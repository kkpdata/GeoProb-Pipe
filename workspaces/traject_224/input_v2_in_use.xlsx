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git_clones\GeoProb-Pipe\GeoProb-PipeV2\GeoProb-Pipe\workspaces\traject_224\"/>
    </mc:Choice>
  </mc:AlternateContent>
  <xr:revisionPtr revIDLastSave="0" documentId="13_ncr:1_{426FC03A-7A33-4DD7-AE89-A1C54559305F}" xr6:coauthVersionLast="47" xr6:coauthVersionMax="47" xr10:uidLastSave="{00000000-0000-0000-0000-000000000000}"/>
  <bookViews>
    <workbookView xWindow="-120" yWindow="-120" windowWidth="29040" windowHeight="15720" activeTab="1" xr2:uid="{E14FA4F5-43AA-4DAE-BCE2-7688F4F5853B}"/>
  </bookViews>
  <sheets>
    <sheet name="Vakken" sheetId="1" r:id="rId1"/>
    <sheet name="Uittredepunten" sheetId="4" r:id="rId2"/>
    <sheet name="Ondergrondscenarios" sheetId="3" r:id="rId3"/>
    <sheet name="Overzicht_parameters" sheetId="2" r:id="rId4"/>
    <sheet name="Sett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3" l="1"/>
  <c r="I1" i="1"/>
  <c r="N1" i="3"/>
  <c r="L1" i="3"/>
  <c r="J1" i="3"/>
  <c r="H1" i="3"/>
  <c r="F1" i="3"/>
</calcChain>
</file>

<file path=xl/sharedStrings.xml><?xml version="1.0" encoding="utf-8"?>
<sst xmlns="http://schemas.openxmlformats.org/spreadsheetml/2006/main" count="572" uniqueCount="224">
  <si>
    <t>M_van</t>
  </si>
  <si>
    <t>M_tot</t>
  </si>
  <si>
    <t>mv_achterland_vak</t>
  </si>
  <si>
    <t>L_achterland</t>
  </si>
  <si>
    <t>c_voorland_mean</t>
  </si>
  <si>
    <t>c_achterland_mean</t>
  </si>
  <si>
    <t>L_intrede</t>
  </si>
  <si>
    <t>L_but</t>
  </si>
  <si>
    <t>L_bit</t>
  </si>
  <si>
    <t>buitenwaterstand</t>
  </si>
  <si>
    <t>mv_exit</t>
  </si>
  <si>
    <t>polderpeil</t>
  </si>
  <si>
    <t>top_zand_mean</t>
  </si>
  <si>
    <t>gamma_sat_deklaag_mean</t>
  </si>
  <si>
    <t>D_wvp_mean</t>
  </si>
  <si>
    <t>kD_wvp_mean</t>
  </si>
  <si>
    <t>d70_mean</t>
  </si>
  <si>
    <t>PL</t>
  </si>
  <si>
    <t>HL</t>
  </si>
  <si>
    <t>m</t>
  </si>
  <si>
    <t>input</t>
  </si>
  <si>
    <t>_stdev</t>
  </si>
  <si>
    <t>_vc</t>
  </si>
  <si>
    <t>Vakken</t>
  </si>
  <si>
    <t>m+NAP</t>
  </si>
  <si>
    <t>Representatieve bodemhoogte achterland binnen een vak</t>
  </si>
  <si>
    <t>top_zand</t>
  </si>
  <si>
    <t>Geschematiseerde top van het zak in het vak</t>
  </si>
  <si>
    <t>normal</t>
  </si>
  <si>
    <t>gamma_sat_deklaag</t>
  </si>
  <si>
    <t>Gemiddeld volumegewicht van de deklaag</t>
  </si>
  <si>
    <t>kN/m^3</t>
  </si>
  <si>
    <t>d_deklaag</t>
  </si>
  <si>
    <t>Dikte van de cohesieve deklaag</t>
  </si>
  <si>
    <t>d_deklaag_vak</t>
  </si>
  <si>
    <t>Dikte van de cohesieve deklaag van het vak</t>
  </si>
  <si>
    <t>gamma_water</t>
  </si>
  <si>
    <t>Volumegewicht van water</t>
  </si>
  <si>
    <t>kD_wvp</t>
  </si>
  <si>
    <t>Transmissiviteit van het watervoerende pakket</t>
  </si>
  <si>
    <t>m^2/dag</t>
  </si>
  <si>
    <t>D_wvp</t>
  </si>
  <si>
    <t>Dikte van het watervoerende pakket</t>
  </si>
  <si>
    <t>k_wvp</t>
  </si>
  <si>
    <t>Doorlatendheid van het watervoerende pakket</t>
  </si>
  <si>
    <t>m/d</t>
  </si>
  <si>
    <t>d70</t>
  </si>
  <si>
    <t>70% percentiel van de korrelverdeling</t>
  </si>
  <si>
    <t>let op of prob toolkit met de eenheid meters om kan gaan</t>
  </si>
  <si>
    <t>c_voorland</t>
  </si>
  <si>
    <t>Weerstand van de deklaag in het voorland</t>
  </si>
  <si>
    <t>dag</t>
  </si>
  <si>
    <t>c_achterland</t>
  </si>
  <si>
    <t>Weerstand van de deklaag in het achterland</t>
  </si>
  <si>
    <t>modelfactor_u</t>
  </si>
  <si>
    <t>modelfactor voor uplift</t>
  </si>
  <si>
    <t>[-]</t>
  </si>
  <si>
    <t>modelfactor_h</t>
  </si>
  <si>
    <t>modelfactor_p</t>
  </si>
  <si>
    <t>modelfactor voor piping</t>
  </si>
  <si>
    <t>i_c_h</t>
  </si>
  <si>
    <t>Kritieke heave gradiënt</t>
  </si>
  <si>
    <t>Constanten</t>
  </si>
  <si>
    <t>r_c_deklaag</t>
  </si>
  <si>
    <t>Reductieconstante van het verval over de deklaag</t>
  </si>
  <si>
    <t>eta</t>
  </si>
  <si>
    <t>White's weerstandscoefficient (sleepkrachtfactor, constante van White) – Sellmeijer [-]</t>
  </si>
  <si>
    <t>r_exit</t>
  </si>
  <si>
    <t>output</t>
  </si>
  <si>
    <t>phi_exit</t>
  </si>
  <si>
    <t>h_exit</t>
  </si>
  <si>
    <t>Benedestroomse randvoorwaarde verval</t>
  </si>
  <si>
    <t>calculated</t>
  </si>
  <si>
    <t>L_kwelweg</t>
  </si>
  <si>
    <t>Kwelweglengte</t>
  </si>
  <si>
    <t>theta</t>
  </si>
  <si>
    <t>Rolweerstandshoek – Sellmeijer</t>
  </si>
  <si>
    <t>[graden]</t>
  </si>
  <si>
    <t>d70_m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</si>
  <si>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</si>
  <si>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</si>
  <si>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</si>
  <si>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</si>
  <si>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</si>
  <si>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</si>
  <si>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gamma_korrel</t>
  </si>
  <si>
    <t>Volumieke dichtheid zand onder water – Sellmeijer</t>
  </si>
  <si>
    <t>dphi_c_u</t>
  </si>
  <si>
    <t>grenspotentiaal ten opzicht van maaiveld</t>
  </si>
  <si>
    <t>dh_red</t>
  </si>
  <si>
    <t>Gereduceerd verval</t>
  </si>
  <si>
    <t>i_exit</t>
  </si>
  <si>
    <t>Optredende heave gradient</t>
  </si>
  <si>
    <t>dh_c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</si>
  <si>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</si>
  <si>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</si>
  <si>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</si>
  <si>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</si>
  <si>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</si>
  <si>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</si>
  <si>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</si>
  <si>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Z_combi</t>
  </si>
  <si>
    <t>Gecombineerde grenstoestand</t>
  </si>
  <si>
    <t>L_voorland</t>
  </si>
  <si>
    <t>Geometrische voorlandlengte</t>
  </si>
  <si>
    <t>L_dijk</t>
  </si>
  <si>
    <t>Dijkzate</t>
  </si>
  <si>
    <t>lambda_voorland</t>
  </si>
  <si>
    <t>Spreidingslengte van het voorland</t>
  </si>
  <si>
    <t>lambda_achterland</t>
  </si>
  <si>
    <t>Spreidingslengte van het achterland</t>
  </si>
  <si>
    <t>W_voorland</t>
  </si>
  <si>
    <t>Geohydrologische weerstand van het voorland</t>
  </si>
  <si>
    <t>W_achterland</t>
  </si>
  <si>
    <t>Geohydrologische weerstand van het achterland</t>
  </si>
  <si>
    <t>FoS_u</t>
  </si>
  <si>
    <t>Veiligheidsfactor Uplift</t>
  </si>
  <si>
    <t>FoS_h</t>
  </si>
  <si>
    <t>Veiligheidsfactor Heave</t>
  </si>
  <si>
    <t>FoS_p</t>
  </si>
  <si>
    <t>Veiligheidsfactor Piping</t>
  </si>
  <si>
    <t>k_v_boven_gws</t>
  </si>
  <si>
    <t>Verticale doorlatendheid deklaag boven grondwaterstand</t>
  </si>
  <si>
    <t>k_v_onder_gws</t>
  </si>
  <si>
    <t>Verticale doorlatendheid deklaag onder grondwaterstand</t>
  </si>
  <si>
    <t>gws_m_mv</t>
  </si>
  <si>
    <t>Grondwaterstand meters min maaiveld (scheiding verticale doorlatendheid)</t>
  </si>
  <si>
    <t>vak_id</t>
  </si>
  <si>
    <t>vak_naam</t>
  </si>
  <si>
    <t>vak_lengte</t>
  </si>
  <si>
    <t>uittredelocatie</t>
  </si>
  <si>
    <t>M_value</t>
  </si>
  <si>
    <t>hydra_locatie_id</t>
  </si>
  <si>
    <t>uittredepunt_id</t>
  </si>
  <si>
    <t>uittredepunt_x_coord</t>
  </si>
  <si>
    <t>uittredepunt_y_coord</t>
  </si>
  <si>
    <t>ondergrondscenario_id</t>
  </si>
  <si>
    <t>ondergrondscenario_naam</t>
  </si>
  <si>
    <t>ondergrondscenario_kans</t>
  </si>
  <si>
    <t>potentiaalberekening</t>
  </si>
  <si>
    <t>opmerkingen</t>
  </si>
  <si>
    <t>limit_state_uplift</t>
  </si>
  <si>
    <t>limit_state_heave</t>
  </si>
  <si>
    <t>limit_state_piping</t>
  </si>
  <si>
    <t xml:space="preserve">n </t>
  </si>
  <si>
    <t>Uittredepunten</t>
  </si>
  <si>
    <t>Dempingsfactor bij Uittredepunten</t>
  </si>
  <si>
    <t>Ondergrondscenarios</t>
  </si>
  <si>
    <t>Theoretische stijghoogte bij uittredepunten</t>
  </si>
  <si>
    <t>Polderpeil ter plaatse van uittredepunten</t>
  </si>
  <si>
    <t>Bodemhoogte ter plaatse van uittredepunten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</si>
  <si>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</si>
  <si>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</si>
  <si>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</si>
  <si>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</si>
  <si>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RD x</t>
  </si>
  <si>
    <t>RD y</t>
  </si>
  <si>
    <t>vrij in te vullen</t>
  </si>
  <si>
    <t>geheel getal startend bij 1</t>
  </si>
  <si>
    <t>?</t>
  </si>
  <si>
    <t>0 ≤ x ≤ 1</t>
  </si>
  <si>
    <t>Kans van optreden van ondergrondscenario</t>
  </si>
  <si>
    <t>Identificatienummer van het ondergrondscenario, wordt gebruikt in de tool</t>
  </si>
  <si>
    <t>Identificatienummer van het uittredepunt, wordt gebruikt in de tool</t>
  </si>
  <si>
    <t>Identificatienummer van het vak, wordt gebruikt in de tool</t>
  </si>
  <si>
    <t xml:space="preserve">Naam van het vak zoals deze door gebruiker wordt gedefinieerd </t>
  </si>
  <si>
    <t xml:space="preserve">Naam van het ondergrondscenario zoals deze door gebruiker wordt gedefinieerd </t>
  </si>
  <si>
    <t xml:space="preserve">Lengte van het vak </t>
  </si>
  <si>
    <t>X-coordinaat van het uittrededpunt</t>
  </si>
  <si>
    <t>Y-coordinaat van het uittrededpunt</t>
  </si>
  <si>
    <t>Omschrijving van de uittredelocatie</t>
  </si>
  <si>
    <t>Calculated variables</t>
  </si>
  <si>
    <t>deterministic</t>
  </si>
  <si>
    <t>by functional design &gt;0,1 m</t>
  </si>
  <si>
    <t>log_normal</t>
  </si>
  <si>
    <t>bool</t>
  </si>
  <si>
    <t>save_realizations</t>
  </si>
  <si>
    <t>int</t>
  </si>
  <si>
    <t>maximum_iterations</t>
  </si>
  <si>
    <t>int / float</t>
  </si>
  <si>
    <t>variation_coefficient</t>
  </si>
  <si>
    <t>relaxation_factor</t>
  </si>
  <si>
    <t>str</t>
  </si>
  <si>
    <t>form</t>
  </si>
  <si>
    <t>reliability_method</t>
  </si>
  <si>
    <t>type</t>
  </si>
  <si>
    <t>value</t>
  </si>
  <si>
    <t>name</t>
  </si>
  <si>
    <t>metadata</t>
  </si>
  <si>
    <t>variable</t>
  </si>
  <si>
    <t>constant</t>
  </si>
  <si>
    <t>parameter_description</t>
  </si>
  <si>
    <t>parameter_unit</t>
  </si>
  <si>
    <t>parameter_type</t>
  </si>
  <si>
    <t>parameter_distribution</t>
  </si>
  <si>
    <t>parameter_spreidingstype</t>
  </si>
  <si>
    <t>parameter_default_value_mean</t>
  </si>
  <si>
    <t>parameter_mean_lower_bound</t>
  </si>
  <si>
    <t>parameter_mean_upper_bound</t>
  </si>
  <si>
    <t>parameter_member_of</t>
  </si>
  <si>
    <t>parameter_name</t>
  </si>
  <si>
    <t>parameter_default_value_spreiding</t>
  </si>
  <si>
    <t>m^2/s</t>
  </si>
  <si>
    <t>o.b.v. overschrijdingsfrequentielijn berekend met Pydra in Python</t>
  </si>
  <si>
    <t>Buitenwaterstand, o.b.v. overschrijdingsfrequentielijn berekend met Pydra in Python</t>
  </si>
  <si>
    <t>vk0224_0001_1_WA_hm0386</t>
  </si>
  <si>
    <t>vk0224_0002_1_WA_hm0384</t>
  </si>
  <si>
    <t>vk0224_0003_1_WA_hm0383</t>
  </si>
  <si>
    <t>vk0224_0004_1_WA_hm0382</t>
  </si>
  <si>
    <t>vk0224_0005_1_WA_hm0382</t>
  </si>
  <si>
    <t>vk0224_0008_1_WA_hm0379</t>
  </si>
  <si>
    <t>vk0224_0009_1_WA_hm0377</t>
  </si>
  <si>
    <t>vk0224_0010_1_WA_hm0376</t>
  </si>
  <si>
    <t>vk0224_0011_1_WA_hm0375</t>
  </si>
  <si>
    <t>vk0224_0012_1_WA_hm0374</t>
  </si>
  <si>
    <t>vk0224_0013_1_WA_hm0373</t>
  </si>
  <si>
    <t>vk0224_0014_1_WA_hm0372</t>
  </si>
  <si>
    <t>vk0224_0015_1_WA_hm0371</t>
  </si>
  <si>
    <t>0-HA057.+029</t>
  </si>
  <si>
    <t>HA057.+029-HA058.+020</t>
  </si>
  <si>
    <t>HA058.+020-HA060.+025</t>
  </si>
  <si>
    <t>HA060.+025-HA061.+003 Sluis Sint andries</t>
  </si>
  <si>
    <t>HA061.+003-HA063.+074</t>
  </si>
  <si>
    <t>HA063.+074-RK000.+005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</si>
</sst>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1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1" fillId="0" borderId="0" xfId="1"/>
    <xf numFmtId="0" fontId="3" fillId="0" borderId="0" xfId="1" applyFont="1"/>
    <xf numFmtId="0" fontId="2" fillId="4" borderId="0" xfId="0" applyFont="1" applyFill="1"/>
  </cellXfs>
  <cellStyles count="2">
    <cellStyle name="Normal 2" xfId="1" xr:uid="{11010186-4FF4-48E2-AD4E-93BC10A29908}"/>
    <cellStyle name="Standaard" xfId="0" builtinId="0"/>
  </cellStyles>
  <dxfs count="11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5" formatCode="0.00E+00"/>
    </dxf>
    <dxf>
      <numFmt numFmtId="15" formatCode="0.00E+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DB1DEC-E085-4F6B-B7C4-D4E6DD7E1A8E}" name="Tabel9" displayName="Tabel9" ref="A2:M58" headerRowCount="0" totalsRowShown="0">
  <tableColumns count="13">
    <tableColumn id="2" xr3:uid="{8990A576-5075-4246-8F9A-BA6C41A7A01C}" name="Kolom2"/>
    <tableColumn id="15" xr3:uid="{5ACFB144-9626-4B12-88BF-8A0D8D4CFFEC}" name="Column1"/>
    <tableColumn id="3" xr3:uid="{49D363D0-5442-4E42-91BC-AD82E3246FFD}" name="Kolom3"/>
    <tableColumn id="4" xr3:uid="{2B5B55CC-C9C3-42B2-9AFA-CB70AF604173}" name="Kolom4"/>
    <tableColumn id="5" xr3:uid="{AA47A627-CE95-4D80-9EBB-2C3556F0D6AE}" name="Kolom5"/>
    <tableColumn id="6" xr3:uid="{FE4CD4EE-BBA8-49D2-8CDD-3642B2B793B6}" name="Kolom6"/>
    <tableColumn id="7" xr3:uid="{5E87C684-F526-4603-92AC-32E71D1B013D}" name="Kolom7"/>
    <tableColumn id="8" xr3:uid="{66C5E5CE-6B91-43CE-A35C-9AC14F9D1F35}" name="Kolom8"/>
    <tableColumn id="9" xr3:uid="{C7E61DAC-831F-4734-9A0F-D17FA66D5C5C}" name="Kolom9"/>
    <tableColumn id="10" xr3:uid="{DC962EDF-740C-439F-836D-211E1F74A71C}" name="Kolom10"/>
    <tableColumn id="11" xr3:uid="{2DF82AEB-01BF-44F4-BB8B-81DDACEA5D0F}" name="Kolom11"/>
    <tableColumn id="13" xr3:uid="{D266588F-C618-4806-A218-A5D90FF4D5E3}" name="Kolom13" dataDxfId="10"/>
    <tableColumn id="14" xr3:uid="{C17CFC23-4C11-4C47-AEE5-4FB4BCCD1A66}" name="Kolom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44274D-7B34-420F-9662-89C5C9A298BD}" name="Tabel10" displayName="Tabel10" ref="A2:P15" headerRowCount="0" totalsRowShown="0">
  <tableColumns count="16">
    <tableColumn id="2" xr3:uid="{E80206AD-C5FD-4475-B5E4-08A08DA66E4A}" name="Kolom2"/>
    <tableColumn id="13" xr3:uid="{39F38892-EB92-4E2D-A4CE-461B1DC8B27E}" name="Column1"/>
    <tableColumn id="3" xr3:uid="{1769008F-0E39-48C3-B6C5-959D62F52592}" name="Kolom3"/>
    <tableColumn id="4" xr3:uid="{DFE5E45D-588E-4E07-BEFE-30F8B98F73E8}" name="Kolom4"/>
    <tableColumn id="5" xr3:uid="{D8D86CD9-C3BF-42A4-A962-B1DB26AE3B59}" name="Kolom5"/>
    <tableColumn id="6" xr3:uid="{7BE88CD6-31E3-4118-B387-294A1FF1B8B4}" name="Kolom6"/>
    <tableColumn id="7" xr3:uid="{6C73C0C2-7F10-4F3F-8B62-E3B2A460FC52}" name="Kolom7"/>
    <tableColumn id="8" xr3:uid="{44A8D682-C1F2-412E-9F5A-3E4254057E71}" name="Kolom8"/>
    <tableColumn id="9" xr3:uid="{DE4A1EC2-2C76-4840-9AF4-87A3533169E8}" name="Kolom9"/>
    <tableColumn id="10" xr3:uid="{30E95029-7E84-4404-97EA-CC899B222DC3}" name="Kolom10"/>
    <tableColumn id="11" xr3:uid="{21D2E504-CBB5-45F7-9119-E1DA7B53C2D5}" name="Kolom11"/>
    <tableColumn id="12" xr3:uid="{FF7176FB-923E-4ECE-83AA-046E768AD06C}" name="Kolom12"/>
    <tableColumn id="14" xr3:uid="{4E1A767E-8059-4EF5-B52B-A1637577AFDF}" name="Kolom14" headerRowDxfId="9" dataDxfId="8"/>
    <tableColumn id="15" xr3:uid="{E12738E9-E3E4-4A5D-81C1-E333D11489B2}" name="Kolom15"/>
    <tableColumn id="1" xr3:uid="{91551BCD-3114-41AE-9A7A-4845F967A1F2}" name="Kolom1"/>
    <tableColumn id="16" xr3:uid="{5F264CE0-A1C7-48AF-B549-08E4BC8DFD75}" name="Kolom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E0F829-0060-4D7E-94D4-430EA87FED82}" name="Tabel12" displayName="Tabel12" ref="A2:P69" headerRowCount="0" totalsRowShown="0">
  <sortState xmlns:xlrd2="http://schemas.microsoft.com/office/spreadsheetml/2017/richdata2" ref="A2:P69">
    <sortCondition ref="D2:D69" customList="Input,Input,can also be calculated,Constant,Calculated"/>
    <sortCondition ref="A2:A69"/>
  </sortState>
  <tableColumns count="16">
    <tableColumn id="1" xr3:uid="{EE720E76-FC11-4E08-B57C-F3D8111FE800}" name="Kolom1"/>
    <tableColumn id="2" xr3:uid="{66F7EFD3-0F64-415D-88D4-AD6599AC5089}" name="Kolom2"/>
    <tableColumn id="3" xr3:uid="{48C513D2-93DE-4283-A964-0D3B1D63EF63}" name="Kolom3"/>
    <tableColumn id="4" xr3:uid="{61DC9A24-32A8-458F-B848-AC66089F8FD5}" name="Kolom4"/>
    <tableColumn id="5" xr3:uid="{40734F50-32AE-422A-8AE6-7C31490B3045}" name="Kolom5"/>
    <tableColumn id="6" xr3:uid="{FA05A46A-DA45-4C6A-9D17-689A03B15BA8}" name="Kolom6"/>
    <tableColumn id="7" xr3:uid="{25871E16-DA07-4B31-A7EF-FBA1FEE488DB}" name="Kolom7"/>
    <tableColumn id="8" xr3:uid="{A229D98E-F2F0-4491-8C3C-1FB943EA5058}" name="Kolom8"/>
    <tableColumn id="9" xr3:uid="{1FBE756B-5426-4436-B3C8-55410DF75FDB}" name="Kolom9" headerRowDxfId="7"/>
    <tableColumn id="10" xr3:uid="{B851468F-D94B-4F13-9CF8-13DADE13A2A8}" name="Kolom10" headerRowDxfId="6"/>
    <tableColumn id="11" xr3:uid="{41B8BB8E-854F-4E90-B76F-4066FB0CA9A2}" name="Kolom11" headerRowDxfId="5" dataDxfId="4"/>
    <tableColumn id="12" xr3:uid="{E7B2F49E-191F-4D24-8883-DCCF4F196399}" name="Kolom12"/>
    <tableColumn id="13" xr3:uid="{1DB6223F-5250-48AD-B68D-FD511FFC8150}" name="Kolom13"/>
    <tableColumn id="14" xr3:uid="{B2104B25-DEBD-4E44-A26A-46A71C2A832D}" name="Kolom14"/>
    <tableColumn id="15" xr3:uid="{0B80B0AD-EE09-4A75-A09F-6541B44DA3E7}" name="Kolom15"/>
    <tableColumn id="16" xr3:uid="{807212F3-1423-455D-9805-4EB3A756BDE1}" name="Kolom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3AA-AAA1-47E5-9332-CA169F978D7A}">
  <dimension ref="A1:I7"/>
  <sheetViews>
    <sheetView zoomScale="130" zoomScaleNormal="130" workbookViewId="0">
      <selection activeCell="F3" sqref="F3"/>
    </sheetView>
  </sheetViews>
  <sheetFormatPr defaultRowHeight="11.25" x14ac:dyDescent="0.15"/>
  <cols>
    <col min="1" max="1" width="8.25" customWidth="1"/>
    <col min="2" max="2" width="36.125" bestFit="1" customWidth="1"/>
    <col min="3" max="4" width="8.25" customWidth="1"/>
    <col min="5" max="5" width="16.625" customWidth="1"/>
    <col min="6" max="6" width="18.25" customWidth="1"/>
    <col min="7" max="7" width="11.125" bestFit="1" customWidth="1"/>
    <col min="8" max="8" width="15" bestFit="1" customWidth="1"/>
    <col min="9" max="9" width="17.375" customWidth="1"/>
  </cols>
  <sheetData>
    <row r="1" spans="1:9" s="5" customFormat="1" x14ac:dyDescent="0.15">
      <c r="A1" s="9" t="s">
        <v>127</v>
      </c>
      <c r="B1" s="9" t="s">
        <v>128</v>
      </c>
      <c r="C1" s="9" t="s">
        <v>0</v>
      </c>
      <c r="D1" s="9" t="s">
        <v>1</v>
      </c>
      <c r="E1" s="9" t="s">
        <v>129</v>
      </c>
      <c r="F1" s="4" t="s">
        <v>2</v>
      </c>
      <c r="G1" s="9" t="s">
        <v>3</v>
      </c>
      <c r="H1" s="9" t="s">
        <v>4</v>
      </c>
      <c r="I1" s="9" t="str">
        <f>LEFT(H1,LEN(H1)-5)&amp;VLOOKUP(LEFT(H1,LEN(H1)-5),Overzicht_parameters!$A$2:$F$69,6,(FALSE))</f>
        <v>c_voorland_stdev</v>
      </c>
    </row>
    <row r="2" spans="1:9" x14ac:dyDescent="0.15">
      <c r="A2">
        <v>0</v>
      </c>
      <c r="B2" t="s">
        <v>218</v>
      </c>
      <c r="C2">
        <v>0</v>
      </c>
      <c r="D2">
        <v>446.3</v>
      </c>
      <c r="E2">
        <v>446.3</v>
      </c>
      <c r="F2">
        <v>4.9000000000000004</v>
      </c>
      <c r="G2">
        <v>500</v>
      </c>
      <c r="H2">
        <v>10</v>
      </c>
      <c r="I2">
        <v>0.15</v>
      </c>
    </row>
    <row r="3" spans="1:9" x14ac:dyDescent="0.15">
      <c r="A3">
        <v>1</v>
      </c>
      <c r="B3" t="s">
        <v>219</v>
      </c>
      <c r="C3">
        <v>446.3</v>
      </c>
      <c r="D3">
        <v>543.4</v>
      </c>
      <c r="E3">
        <v>97.099999999999966</v>
      </c>
      <c r="F3">
        <v>4.9000000000000004</v>
      </c>
      <c r="G3">
        <v>500</v>
      </c>
      <c r="H3">
        <v>10</v>
      </c>
      <c r="I3">
        <v>0.15</v>
      </c>
    </row>
    <row r="4" spans="1:9" x14ac:dyDescent="0.15">
      <c r="A4">
        <v>2</v>
      </c>
      <c r="B4" t="s">
        <v>220</v>
      </c>
      <c r="C4">
        <v>543.4</v>
      </c>
      <c r="D4">
        <v>750</v>
      </c>
      <c r="E4">
        <v>206.60000000000002</v>
      </c>
      <c r="F4">
        <v>4.9000000000000004</v>
      </c>
      <c r="G4">
        <v>500</v>
      </c>
      <c r="H4">
        <v>10</v>
      </c>
      <c r="I4">
        <v>0.15</v>
      </c>
    </row>
    <row r="5" spans="1:9" x14ac:dyDescent="0.15">
      <c r="A5">
        <v>3</v>
      </c>
      <c r="B5" t="s">
        <v>221</v>
      </c>
      <c r="C5">
        <v>750</v>
      </c>
      <c r="D5">
        <v>844.5</v>
      </c>
      <c r="E5">
        <v>94.5</v>
      </c>
      <c r="F5">
        <v>4.9000000000000004</v>
      </c>
      <c r="G5">
        <v>500</v>
      </c>
      <c r="H5">
        <v>10</v>
      </c>
      <c r="I5">
        <v>0.15</v>
      </c>
    </row>
    <row r="6" spans="1:9" x14ac:dyDescent="0.15">
      <c r="A6">
        <v>4</v>
      </c>
      <c r="B6" t="s">
        <v>222</v>
      </c>
      <c r="C6">
        <v>844.5</v>
      </c>
      <c r="D6">
        <v>1121.2</v>
      </c>
      <c r="E6">
        <v>276.70000000000005</v>
      </c>
      <c r="F6">
        <v>4.9000000000000004</v>
      </c>
      <c r="G6">
        <v>500</v>
      </c>
      <c r="H6">
        <v>10</v>
      </c>
      <c r="I6">
        <v>0.15</v>
      </c>
    </row>
    <row r="7" spans="1:9" x14ac:dyDescent="0.15">
      <c r="A7">
        <v>5</v>
      </c>
      <c r="B7" t="s">
        <v>223</v>
      </c>
      <c r="C7">
        <v>1121.2</v>
      </c>
      <c r="D7">
        <v>1604.4744860538881</v>
      </c>
      <c r="E7">
        <v>483.27448605388804</v>
      </c>
      <c r="F7">
        <v>4.9000000000000004</v>
      </c>
      <c r="G7">
        <v>500</v>
      </c>
      <c r="H7">
        <v>10</v>
      </c>
      <c r="I7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777-746E-45C0-BE11-D138C11C003A}">
  <dimension ref="A1:M58"/>
  <sheetViews>
    <sheetView tabSelected="1"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20" sqref="C20"/>
    </sheetView>
  </sheetViews>
  <sheetFormatPr defaultRowHeight="11.25" x14ac:dyDescent="0.15"/>
  <cols>
    <col min="1" max="1" width="14" bestFit="1" customWidth="1"/>
    <col min="2" max="2" width="7.375" customWidth="1"/>
    <col min="3" max="4" width="19.375" bestFit="1" customWidth="1"/>
    <col min="5" max="5" width="15.5" bestFit="1" customWidth="1"/>
    <col min="6" max="6" width="8.875" bestFit="1" customWidth="1"/>
    <col min="7" max="7" width="29" bestFit="1" customWidth="1"/>
    <col min="8" max="8" width="8.375" bestFit="1" customWidth="1"/>
    <col min="9" max="9" width="7.875" bestFit="1" customWidth="1"/>
    <col min="10" max="10" width="8.25" customWidth="1"/>
    <col min="11" max="11" width="23.875" customWidth="1"/>
    <col min="12" max="12" width="11.875" bestFit="1" customWidth="1"/>
    <col min="13" max="13" width="8.625" bestFit="1" customWidth="1"/>
  </cols>
  <sheetData>
    <row r="1" spans="1:13" s="5" customFormat="1" x14ac:dyDescent="0.15">
      <c r="A1" s="9" t="s">
        <v>133</v>
      </c>
      <c r="B1" s="9" t="s">
        <v>127</v>
      </c>
      <c r="C1" s="9" t="s">
        <v>134</v>
      </c>
      <c r="D1" s="9" t="s">
        <v>135</v>
      </c>
      <c r="E1" s="4" t="s">
        <v>130</v>
      </c>
      <c r="F1" s="9" t="s">
        <v>131</v>
      </c>
      <c r="G1" s="4" t="s">
        <v>128</v>
      </c>
      <c r="H1" s="9" t="s">
        <v>6</v>
      </c>
      <c r="I1" s="9" t="s">
        <v>7</v>
      </c>
      <c r="J1" s="9" t="s">
        <v>8</v>
      </c>
      <c r="K1" s="9" t="s">
        <v>132</v>
      </c>
      <c r="L1" s="9" t="s">
        <v>10</v>
      </c>
      <c r="M1" s="9" t="s">
        <v>11</v>
      </c>
    </row>
    <row r="2" spans="1:13" x14ac:dyDescent="0.15">
      <c r="A2">
        <v>1</v>
      </c>
      <c r="B2">
        <v>0</v>
      </c>
      <c r="C2">
        <v>153537.75</v>
      </c>
      <c r="D2">
        <v>423749.75</v>
      </c>
      <c r="F2">
        <v>0</v>
      </c>
      <c r="H2">
        <v>280</v>
      </c>
      <c r="I2">
        <v>110.4</v>
      </c>
      <c r="J2">
        <v>79.8</v>
      </c>
      <c r="K2" t="s">
        <v>205</v>
      </c>
      <c r="L2" s="3">
        <v>5.940000057220459</v>
      </c>
      <c r="M2">
        <v>3.5</v>
      </c>
    </row>
    <row r="3" spans="1:13" x14ac:dyDescent="0.15">
      <c r="A3">
        <v>2</v>
      </c>
      <c r="B3">
        <v>0</v>
      </c>
      <c r="C3">
        <v>153411.25</v>
      </c>
      <c r="D3">
        <v>423719.75</v>
      </c>
      <c r="F3">
        <v>114.9</v>
      </c>
      <c r="H3">
        <v>241.6</v>
      </c>
      <c r="I3">
        <v>62.5</v>
      </c>
      <c r="J3">
        <v>32.799999999999997</v>
      </c>
      <c r="K3" t="s">
        <v>206</v>
      </c>
      <c r="L3" s="3">
        <v>4.0500001907348633</v>
      </c>
      <c r="M3">
        <v>3.5</v>
      </c>
    </row>
    <row r="4" spans="1:13" x14ac:dyDescent="0.15">
      <c r="A4">
        <v>3</v>
      </c>
      <c r="B4">
        <v>0</v>
      </c>
      <c r="C4">
        <v>153414.75</v>
      </c>
      <c r="D4">
        <v>423676.75</v>
      </c>
      <c r="F4">
        <v>135</v>
      </c>
      <c r="H4">
        <v>277.10000000000002</v>
      </c>
      <c r="I4">
        <v>100.9</v>
      </c>
      <c r="J4">
        <v>68.900000000000006</v>
      </c>
      <c r="K4" t="s">
        <v>206</v>
      </c>
      <c r="L4" s="3">
        <v>4.0399999618530273</v>
      </c>
      <c r="M4">
        <v>3.5</v>
      </c>
    </row>
    <row r="5" spans="1:13" x14ac:dyDescent="0.15">
      <c r="A5">
        <v>4</v>
      </c>
      <c r="B5">
        <v>0</v>
      </c>
      <c r="C5">
        <v>153373.25</v>
      </c>
      <c r="D5">
        <v>423680.25</v>
      </c>
      <c r="F5">
        <v>167.7</v>
      </c>
      <c r="H5">
        <v>251.6</v>
      </c>
      <c r="I5">
        <v>77.099999999999994</v>
      </c>
      <c r="J5">
        <v>43.4</v>
      </c>
      <c r="K5" t="s">
        <v>206</v>
      </c>
      <c r="L5" s="3">
        <v>3.8900001049041748</v>
      </c>
      <c r="M5">
        <v>3.5</v>
      </c>
    </row>
    <row r="6" spans="1:13" x14ac:dyDescent="0.15">
      <c r="A6">
        <v>5</v>
      </c>
      <c r="B6">
        <v>0</v>
      </c>
      <c r="C6">
        <v>153354.25</v>
      </c>
      <c r="D6">
        <v>423662.25</v>
      </c>
      <c r="F6">
        <v>192.9</v>
      </c>
      <c r="H6">
        <v>259.2</v>
      </c>
      <c r="I6">
        <v>81.8</v>
      </c>
      <c r="J6">
        <v>50.2</v>
      </c>
      <c r="K6" t="s">
        <v>206</v>
      </c>
      <c r="L6" s="3">
        <v>3.839999914169312</v>
      </c>
      <c r="M6">
        <v>3.5</v>
      </c>
    </row>
    <row r="7" spans="1:13" x14ac:dyDescent="0.15">
      <c r="A7">
        <v>6</v>
      </c>
      <c r="B7">
        <v>0</v>
      </c>
      <c r="C7">
        <v>153364.25</v>
      </c>
      <c r="D7">
        <v>423633.25</v>
      </c>
      <c r="F7">
        <v>201.1</v>
      </c>
      <c r="H7">
        <v>289.8</v>
      </c>
      <c r="I7">
        <v>111.4</v>
      </c>
      <c r="J7">
        <v>79.7</v>
      </c>
      <c r="K7" t="s">
        <v>207</v>
      </c>
      <c r="L7" s="3">
        <v>4.1100001335144043</v>
      </c>
      <c r="M7">
        <v>3.5</v>
      </c>
    </row>
    <row r="8" spans="1:13" x14ac:dyDescent="0.15">
      <c r="A8">
        <v>7</v>
      </c>
      <c r="B8">
        <v>0</v>
      </c>
      <c r="C8">
        <v>153332.75</v>
      </c>
      <c r="D8">
        <v>423641.75</v>
      </c>
      <c r="F8">
        <v>222.3</v>
      </c>
      <c r="H8">
        <v>270.7</v>
      </c>
      <c r="I8">
        <v>85.9</v>
      </c>
      <c r="J8">
        <v>54.6</v>
      </c>
      <c r="K8" t="s">
        <v>207</v>
      </c>
      <c r="L8" s="3">
        <v>3.9600000381469731</v>
      </c>
      <c r="M8">
        <v>3.5</v>
      </c>
    </row>
    <row r="9" spans="1:13" x14ac:dyDescent="0.15">
      <c r="A9">
        <v>8</v>
      </c>
      <c r="B9">
        <v>0</v>
      </c>
      <c r="C9">
        <v>153299.25</v>
      </c>
      <c r="D9">
        <v>423583.75</v>
      </c>
      <c r="F9">
        <v>282.8</v>
      </c>
      <c r="H9">
        <v>304.5</v>
      </c>
      <c r="I9">
        <v>113.9</v>
      </c>
      <c r="J9">
        <v>82.6</v>
      </c>
      <c r="K9" t="s">
        <v>207</v>
      </c>
      <c r="L9" s="3">
        <v>3.8199999332427979</v>
      </c>
      <c r="M9">
        <v>3.5</v>
      </c>
    </row>
    <row r="10" spans="1:13" x14ac:dyDescent="0.15">
      <c r="A10">
        <v>9</v>
      </c>
      <c r="B10">
        <v>0</v>
      </c>
      <c r="C10">
        <v>153249.75</v>
      </c>
      <c r="D10">
        <v>423563.75</v>
      </c>
      <c r="F10">
        <v>335.8</v>
      </c>
      <c r="H10">
        <v>288.89999999999998</v>
      </c>
      <c r="I10">
        <v>103</v>
      </c>
      <c r="J10">
        <v>71</v>
      </c>
      <c r="K10" t="s">
        <v>208</v>
      </c>
      <c r="L10" s="3">
        <v>2.7100000381469731</v>
      </c>
      <c r="M10">
        <v>3.5</v>
      </c>
    </row>
    <row r="11" spans="1:13" x14ac:dyDescent="0.15">
      <c r="A11">
        <v>10</v>
      </c>
      <c r="B11">
        <v>0</v>
      </c>
      <c r="C11">
        <v>153226.75</v>
      </c>
      <c r="D11">
        <v>423587.75</v>
      </c>
      <c r="F11">
        <v>340.1</v>
      </c>
      <c r="H11">
        <v>256</v>
      </c>
      <c r="I11">
        <v>70.2</v>
      </c>
      <c r="J11">
        <v>38.299999999999997</v>
      </c>
      <c r="K11" t="s">
        <v>208</v>
      </c>
      <c r="L11" s="3">
        <v>3.9900000095367432</v>
      </c>
      <c r="M11">
        <v>3.5</v>
      </c>
    </row>
    <row r="12" spans="1:13" x14ac:dyDescent="0.15">
      <c r="A12">
        <v>11</v>
      </c>
      <c r="B12">
        <v>0</v>
      </c>
      <c r="C12">
        <v>153226.75</v>
      </c>
      <c r="D12">
        <v>423540.75</v>
      </c>
      <c r="F12">
        <v>366.8</v>
      </c>
      <c r="H12">
        <v>295.2</v>
      </c>
      <c r="I12">
        <v>109.1</v>
      </c>
      <c r="J12">
        <v>77.3</v>
      </c>
      <c r="K12" t="s">
        <v>208</v>
      </c>
      <c r="L12" s="3">
        <v>2.630000114440918</v>
      </c>
      <c r="M12">
        <v>3.5</v>
      </c>
    </row>
    <row r="13" spans="1:13" x14ac:dyDescent="0.15">
      <c r="A13">
        <v>12</v>
      </c>
      <c r="B13">
        <v>0</v>
      </c>
      <c r="C13">
        <v>153198.75</v>
      </c>
      <c r="D13">
        <v>423561.25</v>
      </c>
      <c r="F13">
        <v>377.8</v>
      </c>
      <c r="H13">
        <v>263.60000000000002</v>
      </c>
      <c r="I13">
        <v>76.599999999999994</v>
      </c>
      <c r="J13">
        <v>44.6</v>
      </c>
      <c r="K13" t="s">
        <v>208</v>
      </c>
      <c r="L13" s="3">
        <v>3.9800000190734859</v>
      </c>
      <c r="M13">
        <v>3.5</v>
      </c>
    </row>
    <row r="14" spans="1:13" x14ac:dyDescent="0.15">
      <c r="A14">
        <v>13</v>
      </c>
      <c r="B14">
        <v>0</v>
      </c>
      <c r="C14">
        <v>153213.25</v>
      </c>
      <c r="D14">
        <v>423528.25</v>
      </c>
      <c r="F14">
        <v>384.4</v>
      </c>
      <c r="H14">
        <v>299.5</v>
      </c>
      <c r="I14">
        <v>112.1</v>
      </c>
      <c r="J14">
        <v>80.099999999999994</v>
      </c>
      <c r="K14" t="s">
        <v>208</v>
      </c>
      <c r="L14" s="3">
        <v>2.6700000762939449</v>
      </c>
      <c r="M14">
        <v>3.5</v>
      </c>
    </row>
    <row r="15" spans="1:13" x14ac:dyDescent="0.15">
      <c r="A15">
        <v>15</v>
      </c>
      <c r="B15">
        <v>2</v>
      </c>
      <c r="C15">
        <v>153093.75</v>
      </c>
      <c r="D15">
        <v>423471.25</v>
      </c>
      <c r="F15">
        <v>559.4</v>
      </c>
      <c r="H15">
        <v>223.5</v>
      </c>
      <c r="I15">
        <v>34.6</v>
      </c>
      <c r="J15">
        <v>15.4</v>
      </c>
      <c r="K15" t="s">
        <v>209</v>
      </c>
      <c r="L15" s="3">
        <v>6.5900001525878906</v>
      </c>
      <c r="M15">
        <v>3.5</v>
      </c>
    </row>
    <row r="16" spans="1:13" x14ac:dyDescent="0.15">
      <c r="A16">
        <v>16</v>
      </c>
      <c r="B16">
        <v>2</v>
      </c>
      <c r="C16">
        <v>153138.25</v>
      </c>
      <c r="D16">
        <v>423460.75</v>
      </c>
      <c r="F16">
        <v>563.5</v>
      </c>
      <c r="H16">
        <v>253</v>
      </c>
      <c r="I16">
        <v>80.2</v>
      </c>
      <c r="J16">
        <v>60.9</v>
      </c>
      <c r="K16" t="s">
        <v>209</v>
      </c>
      <c r="L16" s="3">
        <v>4.440000057220459</v>
      </c>
      <c r="M16">
        <v>3.5</v>
      </c>
    </row>
    <row r="17" spans="1:13" x14ac:dyDescent="0.15">
      <c r="A17">
        <v>17</v>
      </c>
      <c r="B17">
        <v>2</v>
      </c>
      <c r="C17">
        <v>153162.25</v>
      </c>
      <c r="D17">
        <v>423445.25</v>
      </c>
      <c r="F17">
        <v>566</v>
      </c>
      <c r="H17">
        <v>266.2</v>
      </c>
      <c r="I17">
        <v>106.9</v>
      </c>
      <c r="J17">
        <v>87.7</v>
      </c>
      <c r="K17" t="s">
        <v>209</v>
      </c>
      <c r="L17" s="3">
        <v>3.0499999523162842</v>
      </c>
      <c r="M17">
        <v>3.5</v>
      </c>
    </row>
    <row r="18" spans="1:13" x14ac:dyDescent="0.15">
      <c r="A18">
        <v>18</v>
      </c>
      <c r="B18">
        <v>2</v>
      </c>
      <c r="C18">
        <v>153155.25</v>
      </c>
      <c r="D18">
        <v>423420.75</v>
      </c>
      <c r="F18">
        <v>579.70000000000005</v>
      </c>
      <c r="H18">
        <v>249.5</v>
      </c>
      <c r="I18">
        <v>107.9</v>
      </c>
      <c r="J18">
        <v>87.6</v>
      </c>
      <c r="K18" t="s">
        <v>209</v>
      </c>
      <c r="L18" s="3">
        <v>2.7400000095367432</v>
      </c>
      <c r="M18">
        <v>3.5</v>
      </c>
    </row>
    <row r="19" spans="1:13" x14ac:dyDescent="0.15">
      <c r="A19">
        <v>19</v>
      </c>
      <c r="B19">
        <v>2</v>
      </c>
      <c r="C19">
        <v>153138.75</v>
      </c>
      <c r="D19">
        <v>423386.25</v>
      </c>
      <c r="F19">
        <v>600.1</v>
      </c>
      <c r="H19">
        <v>222.5</v>
      </c>
      <c r="I19">
        <v>107.6</v>
      </c>
      <c r="J19">
        <v>89.1</v>
      </c>
      <c r="K19" t="s">
        <v>210</v>
      </c>
      <c r="L19" s="3">
        <v>3.7999999523162842</v>
      </c>
      <c r="M19">
        <v>3.5</v>
      </c>
    </row>
    <row r="20" spans="1:13" x14ac:dyDescent="0.15">
      <c r="A20">
        <v>20</v>
      </c>
      <c r="B20">
        <v>2</v>
      </c>
      <c r="C20">
        <v>153107.75</v>
      </c>
      <c r="D20">
        <v>423366.25</v>
      </c>
      <c r="F20">
        <v>617.29999999999995</v>
      </c>
      <c r="H20">
        <v>187.5</v>
      </c>
      <c r="I20">
        <v>94.2</v>
      </c>
      <c r="J20">
        <v>77.3</v>
      </c>
      <c r="K20" t="s">
        <v>210</v>
      </c>
      <c r="L20" s="3">
        <v>4.059999942779541</v>
      </c>
      <c r="M20">
        <v>3.5</v>
      </c>
    </row>
    <row r="21" spans="1:13" x14ac:dyDescent="0.15">
      <c r="A21">
        <v>21</v>
      </c>
      <c r="B21">
        <v>2</v>
      </c>
      <c r="C21">
        <v>153045.75</v>
      </c>
      <c r="D21">
        <v>423316.25</v>
      </c>
      <c r="F21">
        <v>683.3</v>
      </c>
      <c r="H21">
        <v>121.1</v>
      </c>
      <c r="I21">
        <v>89.2</v>
      </c>
      <c r="J21">
        <v>71.2</v>
      </c>
      <c r="K21" t="s">
        <v>210</v>
      </c>
      <c r="L21" s="3">
        <v>5.809999942779541</v>
      </c>
      <c r="M21">
        <v>3.5</v>
      </c>
    </row>
    <row r="22" spans="1:13" x14ac:dyDescent="0.15">
      <c r="A22">
        <v>22</v>
      </c>
      <c r="B22">
        <v>3</v>
      </c>
      <c r="C22">
        <v>153028.25</v>
      </c>
      <c r="D22">
        <v>423270.75</v>
      </c>
      <c r="F22">
        <v>753.1</v>
      </c>
      <c r="H22">
        <v>116.6</v>
      </c>
      <c r="I22">
        <v>108.6</v>
      </c>
      <c r="J22">
        <v>77.400000000000006</v>
      </c>
      <c r="K22" t="s">
        <v>210</v>
      </c>
      <c r="L22" s="3">
        <v>6.0300002098083496</v>
      </c>
      <c r="M22">
        <v>3.5</v>
      </c>
    </row>
    <row r="23" spans="1:13" x14ac:dyDescent="0.15">
      <c r="A23">
        <v>23</v>
      </c>
      <c r="B23">
        <v>3</v>
      </c>
      <c r="C23">
        <v>152897.75</v>
      </c>
      <c r="D23">
        <v>423179.75</v>
      </c>
      <c r="F23">
        <v>841.7</v>
      </c>
      <c r="H23">
        <v>124.5</v>
      </c>
      <c r="I23">
        <v>114.4</v>
      </c>
      <c r="J23">
        <v>71.8</v>
      </c>
      <c r="K23" t="s">
        <v>210</v>
      </c>
      <c r="L23" s="3">
        <v>5.4800000190734863</v>
      </c>
      <c r="M23">
        <v>3.5</v>
      </c>
    </row>
    <row r="24" spans="1:13" x14ac:dyDescent="0.15">
      <c r="A24">
        <v>24</v>
      </c>
      <c r="B24">
        <v>3</v>
      </c>
      <c r="C24">
        <v>152914.75</v>
      </c>
      <c r="D24">
        <v>423182.25</v>
      </c>
      <c r="F24">
        <v>841.7</v>
      </c>
      <c r="H24">
        <v>122.6</v>
      </c>
      <c r="I24">
        <v>113.5</v>
      </c>
      <c r="J24">
        <v>72.3</v>
      </c>
      <c r="K24" t="s">
        <v>210</v>
      </c>
      <c r="L24" s="3">
        <v>5.4899997711181641</v>
      </c>
      <c r="M24">
        <v>3.5</v>
      </c>
    </row>
    <row r="25" spans="1:13" x14ac:dyDescent="0.15">
      <c r="A25">
        <v>25</v>
      </c>
      <c r="B25">
        <v>4</v>
      </c>
      <c r="C25">
        <v>152852.75</v>
      </c>
      <c r="D25">
        <v>423187.25</v>
      </c>
      <c r="F25">
        <v>851.5</v>
      </c>
      <c r="H25">
        <v>126.8</v>
      </c>
      <c r="I25">
        <v>115.3</v>
      </c>
      <c r="J25">
        <v>76</v>
      </c>
      <c r="K25" t="s">
        <v>210</v>
      </c>
      <c r="L25" s="3">
        <v>5.5799999237060547</v>
      </c>
      <c r="M25">
        <v>3.5</v>
      </c>
    </row>
    <row r="26" spans="1:13" x14ac:dyDescent="0.15">
      <c r="A26">
        <v>26</v>
      </c>
      <c r="B26">
        <v>4</v>
      </c>
      <c r="C26">
        <v>152784.25</v>
      </c>
      <c r="D26">
        <v>423227.75</v>
      </c>
      <c r="F26">
        <v>908.8</v>
      </c>
      <c r="H26">
        <v>133.80000000000001</v>
      </c>
      <c r="I26">
        <v>123.9</v>
      </c>
      <c r="J26">
        <v>79.8</v>
      </c>
      <c r="K26" t="s">
        <v>211</v>
      </c>
      <c r="L26" s="3">
        <v>4.3499999046325684</v>
      </c>
      <c r="M26">
        <v>3.5</v>
      </c>
    </row>
    <row r="27" spans="1:13" x14ac:dyDescent="0.15">
      <c r="A27">
        <v>27</v>
      </c>
      <c r="B27">
        <v>4</v>
      </c>
      <c r="C27">
        <v>152819.75</v>
      </c>
      <c r="D27">
        <v>423250.25</v>
      </c>
      <c r="F27">
        <v>908.8</v>
      </c>
      <c r="H27">
        <v>93.5</v>
      </c>
      <c r="I27">
        <v>83.2</v>
      </c>
      <c r="J27">
        <v>38.4</v>
      </c>
      <c r="K27" t="s">
        <v>210</v>
      </c>
      <c r="L27" s="3">
        <v>4.7300000190734863</v>
      </c>
      <c r="M27">
        <v>3.5</v>
      </c>
    </row>
    <row r="28" spans="1:13" x14ac:dyDescent="0.15">
      <c r="A28">
        <v>28</v>
      </c>
      <c r="B28">
        <v>4</v>
      </c>
      <c r="C28">
        <v>152772.75</v>
      </c>
      <c r="D28">
        <v>423273.25</v>
      </c>
      <c r="F28">
        <v>935</v>
      </c>
      <c r="H28">
        <v>111</v>
      </c>
      <c r="I28">
        <v>101.6</v>
      </c>
      <c r="J28">
        <v>62.3</v>
      </c>
      <c r="K28" t="s">
        <v>211</v>
      </c>
      <c r="L28" s="3">
        <v>5.5300002098083496</v>
      </c>
      <c r="M28">
        <v>3.5</v>
      </c>
    </row>
    <row r="29" spans="1:13" x14ac:dyDescent="0.15">
      <c r="A29">
        <v>29</v>
      </c>
      <c r="B29">
        <v>4</v>
      </c>
      <c r="C29">
        <v>152784.75</v>
      </c>
      <c r="D29">
        <v>423295.75</v>
      </c>
      <c r="F29">
        <v>943.2</v>
      </c>
      <c r="H29">
        <v>87.1</v>
      </c>
      <c r="I29">
        <v>77.5</v>
      </c>
      <c r="J29">
        <v>38.299999999999997</v>
      </c>
      <c r="K29" t="s">
        <v>211</v>
      </c>
      <c r="L29" s="3">
        <v>5.619999885559082</v>
      </c>
      <c r="M29">
        <v>3.5</v>
      </c>
    </row>
    <row r="30" spans="1:13" x14ac:dyDescent="0.15">
      <c r="A30">
        <v>30</v>
      </c>
      <c r="B30">
        <v>4</v>
      </c>
      <c r="C30">
        <v>152740.25</v>
      </c>
      <c r="D30">
        <v>423268.25</v>
      </c>
      <c r="F30">
        <v>953.7</v>
      </c>
      <c r="H30">
        <v>138.69999999999999</v>
      </c>
      <c r="I30">
        <v>128.69999999999999</v>
      </c>
      <c r="J30">
        <v>89.6</v>
      </c>
      <c r="K30" t="s">
        <v>211</v>
      </c>
      <c r="L30" s="3">
        <v>5.5900001525878906</v>
      </c>
      <c r="M30">
        <v>3.5</v>
      </c>
    </row>
    <row r="31" spans="1:13" x14ac:dyDescent="0.15">
      <c r="A31">
        <v>31</v>
      </c>
      <c r="B31">
        <v>4</v>
      </c>
      <c r="C31">
        <v>152708.75</v>
      </c>
      <c r="D31">
        <v>423320.75</v>
      </c>
      <c r="F31">
        <v>1012.4</v>
      </c>
      <c r="H31">
        <v>127.6</v>
      </c>
      <c r="I31">
        <v>116.2</v>
      </c>
      <c r="J31">
        <v>77.2</v>
      </c>
      <c r="K31" t="s">
        <v>212</v>
      </c>
      <c r="L31" s="3">
        <v>5.7399997711181641</v>
      </c>
      <c r="M31">
        <v>3.5</v>
      </c>
    </row>
    <row r="32" spans="1:13" x14ac:dyDescent="0.15">
      <c r="A32">
        <v>32</v>
      </c>
      <c r="B32">
        <v>4</v>
      </c>
      <c r="C32">
        <v>152728.25</v>
      </c>
      <c r="D32">
        <v>423372.25</v>
      </c>
      <c r="F32">
        <v>1036.8</v>
      </c>
      <c r="H32">
        <v>77.099999999999994</v>
      </c>
      <c r="I32">
        <v>66.8</v>
      </c>
      <c r="J32">
        <v>27.9</v>
      </c>
      <c r="K32" t="s">
        <v>212</v>
      </c>
      <c r="L32" s="3">
        <v>5.7699999809265137</v>
      </c>
      <c r="M32">
        <v>3.5</v>
      </c>
    </row>
    <row r="33" spans="1:13" x14ac:dyDescent="0.15">
      <c r="A33">
        <v>33</v>
      </c>
      <c r="B33">
        <v>4</v>
      </c>
      <c r="C33">
        <v>152686.75</v>
      </c>
      <c r="D33">
        <v>423360.75</v>
      </c>
      <c r="F33">
        <v>1054.4000000000001</v>
      </c>
      <c r="H33">
        <v>114.4</v>
      </c>
      <c r="I33">
        <v>104.6</v>
      </c>
      <c r="J33">
        <v>66.5</v>
      </c>
      <c r="K33" t="s">
        <v>212</v>
      </c>
      <c r="L33" s="3">
        <v>5.8400001525878906</v>
      </c>
      <c r="M33">
        <v>3.5</v>
      </c>
    </row>
    <row r="34" spans="1:13" x14ac:dyDescent="0.15">
      <c r="A34">
        <v>34</v>
      </c>
      <c r="B34">
        <v>4</v>
      </c>
      <c r="C34">
        <v>152674.75</v>
      </c>
      <c r="D34">
        <v>423378.25</v>
      </c>
      <c r="F34">
        <v>1078.2</v>
      </c>
      <c r="H34">
        <v>111.4</v>
      </c>
      <c r="I34">
        <v>93.1</v>
      </c>
      <c r="J34">
        <v>63.8</v>
      </c>
      <c r="K34" t="s">
        <v>212</v>
      </c>
      <c r="L34" s="3">
        <v>5.8400001525878906</v>
      </c>
      <c r="M34">
        <v>3.5</v>
      </c>
    </row>
    <row r="35" spans="1:13" x14ac:dyDescent="0.15">
      <c r="A35">
        <v>35</v>
      </c>
      <c r="B35">
        <v>4</v>
      </c>
      <c r="C35">
        <v>152697.75</v>
      </c>
      <c r="D35">
        <v>423410.25</v>
      </c>
      <c r="F35">
        <v>1087.5</v>
      </c>
      <c r="H35">
        <v>72.900000000000006</v>
      </c>
      <c r="I35">
        <v>60.9</v>
      </c>
      <c r="J35">
        <v>24.7</v>
      </c>
      <c r="K35" t="s">
        <v>212</v>
      </c>
      <c r="L35" s="3">
        <v>5.9200000762939453</v>
      </c>
      <c r="M35">
        <v>3.5</v>
      </c>
    </row>
    <row r="36" spans="1:13" x14ac:dyDescent="0.15">
      <c r="A36">
        <v>36</v>
      </c>
      <c r="B36">
        <v>4</v>
      </c>
      <c r="C36">
        <v>152672.25</v>
      </c>
      <c r="D36">
        <v>423403.25</v>
      </c>
      <c r="F36">
        <v>1116.2</v>
      </c>
      <c r="H36">
        <v>96.5</v>
      </c>
      <c r="I36">
        <v>68</v>
      </c>
      <c r="J36">
        <v>43.4</v>
      </c>
      <c r="K36" t="s">
        <v>213</v>
      </c>
      <c r="L36" s="3">
        <v>5.869999885559082</v>
      </c>
      <c r="M36">
        <v>3.5</v>
      </c>
    </row>
    <row r="37" spans="1:13" x14ac:dyDescent="0.15">
      <c r="A37">
        <v>37</v>
      </c>
      <c r="B37">
        <v>5</v>
      </c>
      <c r="C37">
        <v>152675.75</v>
      </c>
      <c r="D37">
        <v>423425.25</v>
      </c>
      <c r="F37">
        <v>1123.8</v>
      </c>
      <c r="H37">
        <v>79.2</v>
      </c>
      <c r="I37">
        <v>46.3</v>
      </c>
      <c r="J37">
        <v>24.3</v>
      </c>
      <c r="K37" t="s">
        <v>213</v>
      </c>
      <c r="L37" s="3">
        <v>5.869999885559082</v>
      </c>
      <c r="M37">
        <v>3.5</v>
      </c>
    </row>
    <row r="38" spans="1:13" x14ac:dyDescent="0.15">
      <c r="A38">
        <v>38</v>
      </c>
      <c r="B38">
        <v>5</v>
      </c>
      <c r="C38">
        <v>152655.25</v>
      </c>
      <c r="D38">
        <v>423417.25</v>
      </c>
      <c r="F38">
        <v>1163.0999999999999</v>
      </c>
      <c r="H38">
        <v>99.8</v>
      </c>
      <c r="I38">
        <v>53.2</v>
      </c>
      <c r="J38">
        <v>25.2</v>
      </c>
      <c r="K38" t="s">
        <v>213</v>
      </c>
      <c r="L38" s="3">
        <v>5.880000114440918</v>
      </c>
      <c r="M38">
        <v>3.5</v>
      </c>
    </row>
    <row r="39" spans="1:13" x14ac:dyDescent="0.15">
      <c r="A39">
        <v>39</v>
      </c>
      <c r="B39">
        <v>5</v>
      </c>
      <c r="C39">
        <v>152606.25</v>
      </c>
      <c r="D39">
        <v>423391.25</v>
      </c>
      <c r="F39">
        <v>1213.4000000000001</v>
      </c>
      <c r="H39">
        <v>153.6</v>
      </c>
      <c r="I39">
        <v>77.7</v>
      </c>
      <c r="J39">
        <v>52.6</v>
      </c>
      <c r="K39" t="s">
        <v>214</v>
      </c>
      <c r="L39" s="3">
        <v>5.4200000762939453</v>
      </c>
      <c r="M39">
        <v>3.5</v>
      </c>
    </row>
    <row r="40" spans="1:13" x14ac:dyDescent="0.15">
      <c r="A40">
        <v>40</v>
      </c>
      <c r="B40">
        <v>5</v>
      </c>
      <c r="C40">
        <v>152591.25</v>
      </c>
      <c r="D40">
        <v>423432.25</v>
      </c>
      <c r="F40">
        <v>1226.4000000000001</v>
      </c>
      <c r="H40">
        <v>137.1</v>
      </c>
      <c r="I40">
        <v>36.299999999999997</v>
      </c>
      <c r="J40">
        <v>10.9</v>
      </c>
      <c r="K40" t="s">
        <v>214</v>
      </c>
      <c r="L40" s="3">
        <v>6.3600001335144043</v>
      </c>
      <c r="M40">
        <v>3.5</v>
      </c>
    </row>
    <row r="41" spans="1:13" x14ac:dyDescent="0.15">
      <c r="A41">
        <v>41</v>
      </c>
      <c r="B41">
        <v>5</v>
      </c>
      <c r="C41">
        <v>152587.25</v>
      </c>
      <c r="D41">
        <v>423379.25</v>
      </c>
      <c r="F41">
        <v>1232.0999999999999</v>
      </c>
      <c r="H41">
        <v>175.8</v>
      </c>
      <c r="I41">
        <v>89.2</v>
      </c>
      <c r="J41">
        <v>63.7</v>
      </c>
      <c r="K41" t="s">
        <v>214</v>
      </c>
      <c r="L41" s="3">
        <v>5.5900001525878906</v>
      </c>
      <c r="M41">
        <v>3.5</v>
      </c>
    </row>
    <row r="42" spans="1:13" x14ac:dyDescent="0.15">
      <c r="A42">
        <v>42</v>
      </c>
      <c r="B42">
        <v>5</v>
      </c>
      <c r="C42">
        <v>152557.75</v>
      </c>
      <c r="D42">
        <v>423378.75</v>
      </c>
      <c r="F42">
        <v>1261.7</v>
      </c>
      <c r="H42">
        <v>198</v>
      </c>
      <c r="I42">
        <v>89.1</v>
      </c>
      <c r="J42">
        <v>63.2</v>
      </c>
      <c r="K42" t="s">
        <v>214</v>
      </c>
      <c r="L42" s="3">
        <v>5.5</v>
      </c>
      <c r="M42">
        <v>3.5</v>
      </c>
    </row>
    <row r="43" spans="1:13" x14ac:dyDescent="0.15">
      <c r="A43">
        <v>43</v>
      </c>
      <c r="B43">
        <v>5</v>
      </c>
      <c r="C43">
        <v>152525.75</v>
      </c>
      <c r="D43">
        <v>423405.25</v>
      </c>
      <c r="F43">
        <v>1292.5999999999999</v>
      </c>
      <c r="H43">
        <v>203.4</v>
      </c>
      <c r="I43">
        <v>61.8</v>
      </c>
      <c r="J43">
        <v>35.6</v>
      </c>
      <c r="K43" t="s">
        <v>215</v>
      </c>
      <c r="L43" s="3">
        <v>6.070000171661377</v>
      </c>
      <c r="M43">
        <v>3.5</v>
      </c>
    </row>
    <row r="44" spans="1:13" x14ac:dyDescent="0.15">
      <c r="A44">
        <v>44</v>
      </c>
      <c r="B44">
        <v>5</v>
      </c>
      <c r="C44">
        <v>152513.25</v>
      </c>
      <c r="D44">
        <v>423356.75</v>
      </c>
      <c r="F44">
        <v>1306.4000000000001</v>
      </c>
      <c r="H44">
        <v>245.6</v>
      </c>
      <c r="I44">
        <v>109.7</v>
      </c>
      <c r="J44">
        <v>83.7</v>
      </c>
      <c r="K44" t="s">
        <v>215</v>
      </c>
      <c r="L44" s="3">
        <v>5.2800002098083496</v>
      </c>
      <c r="M44">
        <v>3.5</v>
      </c>
    </row>
    <row r="45" spans="1:13" x14ac:dyDescent="0.15">
      <c r="A45">
        <v>45</v>
      </c>
      <c r="B45">
        <v>5</v>
      </c>
      <c r="C45">
        <v>152482.75</v>
      </c>
      <c r="D45">
        <v>423362.25</v>
      </c>
      <c r="F45">
        <v>1332.6</v>
      </c>
      <c r="H45">
        <v>264.2</v>
      </c>
      <c r="I45">
        <v>103.2</v>
      </c>
      <c r="J45">
        <v>71.099999999999994</v>
      </c>
      <c r="K45" t="s">
        <v>215</v>
      </c>
      <c r="L45" s="3">
        <v>5.1599998474121094</v>
      </c>
      <c r="M45">
        <v>3.5</v>
      </c>
    </row>
    <row r="46" spans="1:13" x14ac:dyDescent="0.15">
      <c r="A46">
        <v>46</v>
      </c>
      <c r="B46">
        <v>5</v>
      </c>
      <c r="C46">
        <v>152478.75</v>
      </c>
      <c r="D46">
        <v>423419.25</v>
      </c>
      <c r="F46">
        <v>1337.7</v>
      </c>
      <c r="H46">
        <v>228.7</v>
      </c>
      <c r="I46">
        <v>46.5</v>
      </c>
      <c r="J46">
        <v>15</v>
      </c>
      <c r="K46" t="s">
        <v>215</v>
      </c>
      <c r="L46" s="3">
        <v>6.0799999237060547</v>
      </c>
      <c r="M46">
        <v>3.5</v>
      </c>
    </row>
    <row r="47" spans="1:13" x14ac:dyDescent="0.15">
      <c r="A47">
        <v>47</v>
      </c>
      <c r="B47">
        <v>5</v>
      </c>
      <c r="C47">
        <v>152385.75</v>
      </c>
      <c r="D47">
        <v>423365.75</v>
      </c>
      <c r="F47">
        <v>1422.3</v>
      </c>
      <c r="H47">
        <v>333.6</v>
      </c>
      <c r="I47">
        <v>107.3</v>
      </c>
      <c r="J47">
        <v>76.599999999999994</v>
      </c>
      <c r="K47" t="s">
        <v>216</v>
      </c>
      <c r="L47" s="3">
        <v>3.9900000095367432</v>
      </c>
      <c r="M47">
        <v>3.5</v>
      </c>
    </row>
    <row r="48" spans="1:13" x14ac:dyDescent="0.15">
      <c r="A48">
        <v>48</v>
      </c>
      <c r="B48">
        <v>5</v>
      </c>
      <c r="C48">
        <v>152336.25</v>
      </c>
      <c r="D48">
        <v>423367.75</v>
      </c>
      <c r="F48">
        <v>1470.2</v>
      </c>
      <c r="H48">
        <v>368.4</v>
      </c>
      <c r="I48">
        <v>111.2</v>
      </c>
      <c r="J48">
        <v>83.1</v>
      </c>
      <c r="K48" t="s">
        <v>216</v>
      </c>
      <c r="L48" s="3">
        <v>3.9600000381469731</v>
      </c>
      <c r="M48">
        <v>3.5</v>
      </c>
    </row>
    <row r="49" spans="1:13" x14ac:dyDescent="0.15">
      <c r="A49">
        <v>49</v>
      </c>
      <c r="B49">
        <v>5</v>
      </c>
      <c r="C49">
        <v>152305.25</v>
      </c>
      <c r="D49">
        <v>423375.25</v>
      </c>
      <c r="F49">
        <v>1500.9</v>
      </c>
      <c r="H49">
        <v>371.9</v>
      </c>
      <c r="I49">
        <v>106.7</v>
      </c>
      <c r="J49">
        <v>78.900000000000006</v>
      </c>
      <c r="K49" t="s">
        <v>217</v>
      </c>
      <c r="L49" s="3">
        <v>5.0399999618530273</v>
      </c>
      <c r="M49">
        <v>3.5</v>
      </c>
    </row>
    <row r="50" spans="1:13" x14ac:dyDescent="0.15">
      <c r="A50">
        <v>50</v>
      </c>
      <c r="B50">
        <v>5</v>
      </c>
      <c r="C50">
        <v>152283.75</v>
      </c>
      <c r="D50">
        <v>423411.25</v>
      </c>
      <c r="F50">
        <v>1520.5</v>
      </c>
      <c r="H50">
        <v>341.4</v>
      </c>
      <c r="I50">
        <v>74.8</v>
      </c>
      <c r="J50">
        <v>46.4</v>
      </c>
      <c r="K50" t="s">
        <v>217</v>
      </c>
      <c r="L50" s="3">
        <v>5.0199999809265137</v>
      </c>
      <c r="M50">
        <v>3.5</v>
      </c>
    </row>
    <row r="51" spans="1:13" x14ac:dyDescent="0.15">
      <c r="A51">
        <v>51</v>
      </c>
      <c r="B51">
        <v>5</v>
      </c>
      <c r="C51">
        <v>152264.75</v>
      </c>
      <c r="D51">
        <v>423383.75</v>
      </c>
      <c r="F51">
        <v>1524.9</v>
      </c>
      <c r="H51">
        <v>373.1</v>
      </c>
      <c r="I51">
        <v>106</v>
      </c>
      <c r="J51">
        <v>77.400000000000006</v>
      </c>
      <c r="K51" t="s">
        <v>217</v>
      </c>
      <c r="L51" s="3">
        <v>5.0399999618530273</v>
      </c>
      <c r="M51">
        <v>3.5</v>
      </c>
    </row>
    <row r="52" spans="1:13" x14ac:dyDescent="0.15">
      <c r="A52">
        <v>52</v>
      </c>
      <c r="B52">
        <v>5</v>
      </c>
      <c r="C52">
        <v>152268.75</v>
      </c>
      <c r="D52">
        <v>423411.75</v>
      </c>
      <c r="F52">
        <v>1526.9</v>
      </c>
      <c r="H52">
        <v>345.1</v>
      </c>
      <c r="I52">
        <v>78.099999999999994</v>
      </c>
      <c r="J52">
        <v>49.7</v>
      </c>
      <c r="K52" t="s">
        <v>217</v>
      </c>
      <c r="L52" s="3">
        <v>5.0199999809265137</v>
      </c>
      <c r="M52">
        <v>3.5</v>
      </c>
    </row>
    <row r="53" spans="1:13" x14ac:dyDescent="0.15">
      <c r="A53">
        <v>53</v>
      </c>
      <c r="B53">
        <v>5</v>
      </c>
      <c r="C53">
        <v>152263.25</v>
      </c>
      <c r="D53">
        <v>423439.25</v>
      </c>
      <c r="F53">
        <v>1535.6</v>
      </c>
      <c r="H53">
        <v>320.8</v>
      </c>
      <c r="I53">
        <v>55.5</v>
      </c>
      <c r="J53">
        <v>27.6</v>
      </c>
      <c r="K53" t="s">
        <v>217</v>
      </c>
      <c r="L53" s="3">
        <v>5.0100002288818359</v>
      </c>
      <c r="M53">
        <v>3.5</v>
      </c>
    </row>
    <row r="54" spans="1:13" x14ac:dyDescent="0.15">
      <c r="A54">
        <v>54</v>
      </c>
      <c r="B54">
        <v>5</v>
      </c>
      <c r="C54">
        <v>152232.25</v>
      </c>
      <c r="D54">
        <v>423401.25</v>
      </c>
      <c r="F54">
        <v>1542.5</v>
      </c>
      <c r="H54">
        <v>364.2</v>
      </c>
      <c r="I54">
        <v>103.3</v>
      </c>
      <c r="J54">
        <v>75.599999999999994</v>
      </c>
      <c r="K54" t="s">
        <v>217</v>
      </c>
      <c r="L54" s="3">
        <v>4.9200000762939453</v>
      </c>
      <c r="M54">
        <v>3.5</v>
      </c>
    </row>
    <row r="55" spans="1:13" x14ac:dyDescent="0.15">
      <c r="A55">
        <v>55</v>
      </c>
      <c r="B55">
        <v>5</v>
      </c>
      <c r="C55">
        <v>152236.25</v>
      </c>
      <c r="D55">
        <v>423431.75</v>
      </c>
      <c r="F55">
        <v>1547.8</v>
      </c>
      <c r="H55">
        <v>333.7</v>
      </c>
      <c r="I55">
        <v>74.7</v>
      </c>
      <c r="J55">
        <v>47.4</v>
      </c>
      <c r="K55" t="s">
        <v>217</v>
      </c>
      <c r="L55" s="3">
        <v>4.9800000190734863</v>
      </c>
      <c r="M55">
        <v>3.5</v>
      </c>
    </row>
    <row r="56" spans="1:13" x14ac:dyDescent="0.15">
      <c r="A56">
        <v>56</v>
      </c>
      <c r="B56">
        <v>5</v>
      </c>
      <c r="C56">
        <v>152219.25</v>
      </c>
      <c r="D56">
        <v>423468.25</v>
      </c>
      <c r="F56">
        <v>1571.3</v>
      </c>
      <c r="H56">
        <v>297.5</v>
      </c>
      <c r="I56">
        <v>58.7</v>
      </c>
      <c r="J56">
        <v>25.9</v>
      </c>
      <c r="K56" t="s">
        <v>217</v>
      </c>
      <c r="L56" s="3">
        <v>6.179999828338623</v>
      </c>
      <c r="M56">
        <v>3.5</v>
      </c>
    </row>
    <row r="57" spans="1:13" x14ac:dyDescent="0.15">
      <c r="A57">
        <v>57</v>
      </c>
      <c r="B57">
        <v>5</v>
      </c>
      <c r="C57">
        <v>152168.75</v>
      </c>
      <c r="D57">
        <v>423451.75</v>
      </c>
      <c r="F57">
        <v>1580.5</v>
      </c>
      <c r="H57">
        <v>320.39999999999998</v>
      </c>
      <c r="I57">
        <v>109</v>
      </c>
      <c r="J57">
        <v>77.599999999999994</v>
      </c>
      <c r="K57" t="s">
        <v>217</v>
      </c>
      <c r="L57" s="3">
        <v>5.4699997901916504</v>
      </c>
      <c r="M57">
        <v>3.5</v>
      </c>
    </row>
    <row r="58" spans="1:13" x14ac:dyDescent="0.15">
      <c r="A58">
        <v>58</v>
      </c>
      <c r="B58">
        <v>5</v>
      </c>
      <c r="C58">
        <v>152168.75</v>
      </c>
      <c r="D58">
        <v>423493.75</v>
      </c>
      <c r="F58">
        <v>1593.8</v>
      </c>
      <c r="H58">
        <v>279.39999999999998</v>
      </c>
      <c r="I58">
        <v>90.1</v>
      </c>
      <c r="J58">
        <v>55.1</v>
      </c>
      <c r="K58" t="s">
        <v>217</v>
      </c>
      <c r="L58" s="3">
        <v>4.9600000381469727</v>
      </c>
      <c r="M58">
        <v>3.5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9FF6-8968-4FA6-BAEC-B95365AA2886}">
  <dimension ref="A1:P15"/>
  <sheetViews>
    <sheetView zoomScale="85" zoomScaleNormal="85" workbookViewId="0">
      <selection activeCell="H9" sqref="H9"/>
    </sheetView>
  </sheetViews>
  <sheetFormatPr defaultRowHeight="11.25" x14ac:dyDescent="0.15"/>
  <cols>
    <col min="1" max="1" width="20.75" bestFit="1" customWidth="1"/>
    <col min="2" max="2" width="6.75" bestFit="1" customWidth="1"/>
    <col min="3" max="3" width="21.75" bestFit="1" customWidth="1"/>
    <col min="4" max="4" width="21" bestFit="1" customWidth="1"/>
    <col min="5" max="6" width="13.875" bestFit="1" customWidth="1"/>
    <col min="7" max="8" width="23.125" bestFit="1" customWidth="1"/>
    <col min="9" max="10" width="11.625" bestFit="1" customWidth="1"/>
    <col min="11" max="11" width="12.5" bestFit="1" customWidth="1"/>
    <col min="12" max="12" width="11.375" customWidth="1"/>
    <col min="13" max="13" width="9.25" bestFit="1" customWidth="1"/>
    <col min="14" max="14" width="9.25" customWidth="1"/>
    <col min="15" max="15" width="16.5" bestFit="1" customWidth="1"/>
    <col min="16" max="16" width="16.625" customWidth="1"/>
  </cols>
  <sheetData>
    <row r="1" spans="1:16" s="5" customFormat="1" x14ac:dyDescent="0.15">
      <c r="A1" s="9" t="s">
        <v>136</v>
      </c>
      <c r="B1" s="9" t="s">
        <v>127</v>
      </c>
      <c r="C1" s="9" t="s">
        <v>137</v>
      </c>
      <c r="D1" s="9" t="s">
        <v>138</v>
      </c>
      <c r="E1" s="9" t="s">
        <v>12</v>
      </c>
      <c r="F1" s="9" t="str">
        <f>LEFT(E1,LEN(E1)-5)&amp;VLOOKUP(LEFT(E1,LEN(E1)-5),Overzicht_parameters!$A$2:$F$69,6,(FALSE))</f>
        <v>top_zand_stdev</v>
      </c>
      <c r="G1" s="9" t="s">
        <v>13</v>
      </c>
      <c r="H1" s="9" t="str">
        <f>LEFT(G1,LEN(G1)-5)&amp;VLOOKUP(LEFT(G1,LEN(G1)-5),Overzicht_parameters!$A$2:$F$69,6,(FALSE))</f>
        <v>gamma_sat_deklaag_stdev</v>
      </c>
      <c r="I1" s="9" t="s">
        <v>14</v>
      </c>
      <c r="J1" s="9" t="str">
        <f>LEFT(I1,LEN(I1)-5)&amp;VLOOKUP(LEFT(I1,LEN(I1)-5),Overzicht_parameters!$A$2:$F$69,6,(FALSE))</f>
        <v>D_wvp_stdev</v>
      </c>
      <c r="K1" s="9" t="s">
        <v>15</v>
      </c>
      <c r="L1" s="9" t="str">
        <f>LEFT(K1,LEN(K1)-5)&amp;VLOOKUP(LEFT(K1,LEN(K1)-5),Overzicht_parameters!$A$2:$F$69,6,(FALSE))</f>
        <v>kD_wvp_vc</v>
      </c>
      <c r="M1" s="9" t="s">
        <v>16</v>
      </c>
      <c r="N1" s="9" t="str">
        <f>LEFT(M1,LEN(M1)-5)&amp;VLOOKUP(LEFT(M1,LEN(M1)-5),Overzicht_parameters!$A$2:$F$69,6,(FALSE))</f>
        <v>d70_vc</v>
      </c>
      <c r="O1" s="9" t="s">
        <v>5</v>
      </c>
      <c r="P1" s="9" t="str">
        <f>LEFT(O1,LEN(O1)-5)&amp;VLOOKUP(LEFT(O1,LEN(O1)-5),Overzicht_parameters!$A$2:$F$69,6,(FALSE))</f>
        <v>c_achterland_vc</v>
      </c>
    </row>
    <row r="2" spans="1:16" x14ac:dyDescent="0.15">
      <c r="A2">
        <v>1</v>
      </c>
      <c r="B2">
        <v>1</v>
      </c>
      <c r="C2" t="s">
        <v>17</v>
      </c>
      <c r="D2">
        <v>0.5</v>
      </c>
      <c r="E2">
        <v>1</v>
      </c>
      <c r="F2">
        <v>0.5</v>
      </c>
      <c r="G2">
        <v>18.5</v>
      </c>
      <c r="H2">
        <v>0.92500000000000004</v>
      </c>
      <c r="I2">
        <v>10.5</v>
      </c>
      <c r="J2">
        <v>0.5</v>
      </c>
      <c r="K2">
        <v>588</v>
      </c>
      <c r="L2">
        <v>0.39</v>
      </c>
      <c r="M2" s="1">
        <v>4.4999999999999999E-4</v>
      </c>
      <c r="N2">
        <v>0.12</v>
      </c>
      <c r="O2">
        <v>10</v>
      </c>
      <c r="P2">
        <v>0.25</v>
      </c>
    </row>
    <row r="3" spans="1:16" x14ac:dyDescent="0.15">
      <c r="A3">
        <v>2</v>
      </c>
      <c r="B3">
        <v>1</v>
      </c>
      <c r="C3" t="s">
        <v>18</v>
      </c>
      <c r="D3">
        <v>0.5</v>
      </c>
      <c r="E3">
        <v>-0.5</v>
      </c>
      <c r="F3">
        <v>0.5</v>
      </c>
      <c r="G3">
        <v>18.5</v>
      </c>
      <c r="H3">
        <v>0.92500000000000004</v>
      </c>
      <c r="I3">
        <v>11.8</v>
      </c>
      <c r="J3">
        <v>0.5</v>
      </c>
      <c r="K3">
        <v>613.6</v>
      </c>
      <c r="L3">
        <v>0.35</v>
      </c>
      <c r="M3" s="1">
        <v>4.4999999999999999E-4</v>
      </c>
      <c r="N3">
        <v>0.12</v>
      </c>
      <c r="O3">
        <v>10</v>
      </c>
      <c r="P3">
        <v>0.25</v>
      </c>
    </row>
    <row r="4" spans="1:16" x14ac:dyDescent="0.15">
      <c r="A4">
        <v>1</v>
      </c>
      <c r="B4">
        <v>0</v>
      </c>
      <c r="C4" t="s">
        <v>17</v>
      </c>
      <c r="D4">
        <v>0.5</v>
      </c>
      <c r="E4">
        <v>1</v>
      </c>
      <c r="F4">
        <v>0.5</v>
      </c>
      <c r="G4">
        <v>18.5</v>
      </c>
      <c r="H4">
        <v>0.92500000000000004</v>
      </c>
      <c r="I4">
        <v>10.5</v>
      </c>
      <c r="J4">
        <v>0.5</v>
      </c>
      <c r="K4">
        <v>588</v>
      </c>
      <c r="L4">
        <v>0.39</v>
      </c>
      <c r="M4" s="1">
        <v>4.4999999999999999E-4</v>
      </c>
      <c r="N4">
        <v>0.12</v>
      </c>
      <c r="O4">
        <v>10</v>
      </c>
      <c r="P4">
        <v>0.25</v>
      </c>
    </row>
    <row r="5" spans="1:16" x14ac:dyDescent="0.15">
      <c r="A5">
        <v>2</v>
      </c>
      <c r="B5">
        <v>0</v>
      </c>
      <c r="C5" t="s">
        <v>18</v>
      </c>
      <c r="D5">
        <v>0.5</v>
      </c>
      <c r="E5">
        <v>-0.5</v>
      </c>
      <c r="F5">
        <v>0.5</v>
      </c>
      <c r="G5">
        <v>18.5</v>
      </c>
      <c r="H5">
        <v>0.92500000000000004</v>
      </c>
      <c r="I5">
        <v>11.8</v>
      </c>
      <c r="J5">
        <v>0.5</v>
      </c>
      <c r="K5">
        <v>613.6</v>
      </c>
      <c r="L5">
        <v>0.35</v>
      </c>
      <c r="M5" s="1">
        <v>4.4999999999999999E-4</v>
      </c>
      <c r="N5">
        <v>0.12</v>
      </c>
      <c r="O5">
        <v>10</v>
      </c>
      <c r="P5">
        <v>0.25</v>
      </c>
    </row>
    <row r="6" spans="1:16" x14ac:dyDescent="0.15">
      <c r="A6">
        <v>3</v>
      </c>
      <c r="B6">
        <v>1</v>
      </c>
      <c r="C6" t="s">
        <v>17</v>
      </c>
      <c r="D6">
        <v>0.5</v>
      </c>
      <c r="E6">
        <v>1</v>
      </c>
      <c r="F6">
        <v>0.5</v>
      </c>
      <c r="G6">
        <v>18.5</v>
      </c>
      <c r="H6">
        <v>0.92500000000000004</v>
      </c>
      <c r="I6">
        <v>10.5</v>
      </c>
      <c r="J6">
        <v>0.5</v>
      </c>
      <c r="K6">
        <v>588</v>
      </c>
      <c r="L6">
        <v>0.39</v>
      </c>
      <c r="M6" s="1">
        <v>4.4999999999999999E-4</v>
      </c>
      <c r="N6">
        <v>0.12</v>
      </c>
      <c r="O6">
        <v>10</v>
      </c>
      <c r="P6">
        <v>0.25</v>
      </c>
    </row>
    <row r="7" spans="1:16" x14ac:dyDescent="0.15">
      <c r="A7">
        <v>4</v>
      </c>
      <c r="B7">
        <v>1</v>
      </c>
      <c r="C7" t="s">
        <v>18</v>
      </c>
      <c r="D7">
        <v>0.5</v>
      </c>
      <c r="E7">
        <v>-0.5</v>
      </c>
      <c r="F7">
        <v>0.5</v>
      </c>
      <c r="G7">
        <v>18.5</v>
      </c>
      <c r="H7">
        <v>0.92500000000000004</v>
      </c>
      <c r="I7">
        <v>11.8</v>
      </c>
      <c r="J7">
        <v>0.5</v>
      </c>
      <c r="K7">
        <v>613.6</v>
      </c>
      <c r="L7">
        <v>0.35</v>
      </c>
      <c r="M7" s="1">
        <v>4.4999999999999999E-4</v>
      </c>
      <c r="N7">
        <v>0.12</v>
      </c>
      <c r="O7">
        <v>10</v>
      </c>
      <c r="P7">
        <v>0.25</v>
      </c>
    </row>
    <row r="8" spans="1:16" x14ac:dyDescent="0.15">
      <c r="A8">
        <v>5</v>
      </c>
      <c r="B8">
        <v>2</v>
      </c>
      <c r="C8" t="s">
        <v>17</v>
      </c>
      <c r="D8">
        <v>0.5</v>
      </c>
      <c r="E8">
        <v>1</v>
      </c>
      <c r="F8">
        <v>0.5</v>
      </c>
      <c r="G8">
        <v>18.5</v>
      </c>
      <c r="H8">
        <v>0.92500000000000004</v>
      </c>
      <c r="I8">
        <v>10.5</v>
      </c>
      <c r="J8">
        <v>0.5</v>
      </c>
      <c r="K8">
        <v>588</v>
      </c>
      <c r="L8">
        <v>0.39</v>
      </c>
      <c r="M8" s="1">
        <v>4.4999999999999999E-4</v>
      </c>
      <c r="N8">
        <v>0.12</v>
      </c>
      <c r="O8">
        <v>10</v>
      </c>
      <c r="P8">
        <v>0.25</v>
      </c>
    </row>
    <row r="9" spans="1:16" x14ac:dyDescent="0.15">
      <c r="A9">
        <v>6</v>
      </c>
      <c r="B9">
        <v>2</v>
      </c>
      <c r="C9" t="s">
        <v>18</v>
      </c>
      <c r="D9">
        <v>0.5</v>
      </c>
      <c r="E9">
        <v>-0.5</v>
      </c>
      <c r="F9">
        <v>0.5</v>
      </c>
      <c r="G9">
        <v>18.5</v>
      </c>
      <c r="H9">
        <v>0.92500000000000004</v>
      </c>
      <c r="I9">
        <v>11.8</v>
      </c>
      <c r="J9">
        <v>0.5</v>
      </c>
      <c r="K9">
        <v>613.6</v>
      </c>
      <c r="L9">
        <v>0.35</v>
      </c>
      <c r="M9" s="1">
        <v>4.4999999999999999E-4</v>
      </c>
      <c r="N9">
        <v>0.12</v>
      </c>
      <c r="O9">
        <v>10</v>
      </c>
      <c r="P9">
        <v>0.25</v>
      </c>
    </row>
    <row r="10" spans="1:16" x14ac:dyDescent="0.15">
      <c r="A10">
        <v>7</v>
      </c>
      <c r="B10">
        <v>3</v>
      </c>
      <c r="C10" t="s">
        <v>17</v>
      </c>
      <c r="D10">
        <v>0.5</v>
      </c>
      <c r="E10">
        <v>1</v>
      </c>
      <c r="F10">
        <v>0.5</v>
      </c>
      <c r="G10">
        <v>18.5</v>
      </c>
      <c r="H10">
        <v>0.92500000000000004</v>
      </c>
      <c r="I10">
        <v>10.5</v>
      </c>
      <c r="J10">
        <v>0.5</v>
      </c>
      <c r="K10">
        <v>588</v>
      </c>
      <c r="L10">
        <v>0.39</v>
      </c>
      <c r="M10" s="1">
        <v>4.4999999999999999E-4</v>
      </c>
      <c r="N10">
        <v>0.12</v>
      </c>
      <c r="O10">
        <v>10</v>
      </c>
      <c r="P10">
        <v>0.25</v>
      </c>
    </row>
    <row r="11" spans="1:16" x14ac:dyDescent="0.15">
      <c r="A11">
        <v>8</v>
      </c>
      <c r="B11">
        <v>3</v>
      </c>
      <c r="C11" t="s">
        <v>18</v>
      </c>
      <c r="D11">
        <v>0.5</v>
      </c>
      <c r="E11">
        <v>-0.5</v>
      </c>
      <c r="F11">
        <v>0.5</v>
      </c>
      <c r="G11">
        <v>18.5</v>
      </c>
      <c r="H11">
        <v>0.92500000000000004</v>
      </c>
      <c r="I11">
        <v>11.8</v>
      </c>
      <c r="J11">
        <v>0.5</v>
      </c>
      <c r="K11">
        <v>613.6</v>
      </c>
      <c r="L11">
        <v>0.35</v>
      </c>
      <c r="M11" s="1">
        <v>4.4999999999999999E-4</v>
      </c>
      <c r="N11">
        <v>0.12</v>
      </c>
      <c r="O11">
        <v>10</v>
      </c>
      <c r="P11">
        <v>0.25</v>
      </c>
    </row>
    <row r="12" spans="1:16" x14ac:dyDescent="0.15">
      <c r="A12">
        <v>9</v>
      </c>
      <c r="B12">
        <v>4</v>
      </c>
      <c r="C12" t="s">
        <v>17</v>
      </c>
      <c r="D12">
        <v>0.5</v>
      </c>
      <c r="E12">
        <v>1</v>
      </c>
      <c r="F12">
        <v>0.5</v>
      </c>
      <c r="G12">
        <v>18.5</v>
      </c>
      <c r="H12">
        <v>0.92500000000000004</v>
      </c>
      <c r="I12">
        <v>10.5</v>
      </c>
      <c r="J12">
        <v>0.5</v>
      </c>
      <c r="K12">
        <v>588</v>
      </c>
      <c r="L12">
        <v>0.39</v>
      </c>
      <c r="M12" s="1">
        <v>4.4999999999999999E-4</v>
      </c>
      <c r="N12">
        <v>0.12</v>
      </c>
      <c r="O12">
        <v>10</v>
      </c>
      <c r="P12">
        <v>0.25</v>
      </c>
    </row>
    <row r="13" spans="1:16" x14ac:dyDescent="0.15">
      <c r="A13">
        <v>10</v>
      </c>
      <c r="B13">
        <v>4</v>
      </c>
      <c r="C13" t="s">
        <v>18</v>
      </c>
      <c r="D13">
        <v>0.5</v>
      </c>
      <c r="E13">
        <v>-0.5</v>
      </c>
      <c r="F13">
        <v>0.5</v>
      </c>
      <c r="G13">
        <v>18.5</v>
      </c>
      <c r="H13">
        <v>0.92500000000000004</v>
      </c>
      <c r="I13">
        <v>11.8</v>
      </c>
      <c r="J13">
        <v>0.5</v>
      </c>
      <c r="K13">
        <v>613.6</v>
      </c>
      <c r="L13">
        <v>0.35</v>
      </c>
      <c r="M13" s="1">
        <v>4.4999999999999999E-4</v>
      </c>
      <c r="N13">
        <v>0.12</v>
      </c>
      <c r="O13">
        <v>10</v>
      </c>
      <c r="P13">
        <v>0.25</v>
      </c>
    </row>
    <row r="14" spans="1:16" x14ac:dyDescent="0.15">
      <c r="A14">
        <v>11</v>
      </c>
      <c r="B14">
        <v>5</v>
      </c>
      <c r="C14" t="s">
        <v>17</v>
      </c>
      <c r="D14">
        <v>0.5</v>
      </c>
      <c r="E14">
        <v>1</v>
      </c>
      <c r="F14">
        <v>0.5</v>
      </c>
      <c r="G14">
        <v>18.5</v>
      </c>
      <c r="H14">
        <v>0.92500000000000004</v>
      </c>
      <c r="I14">
        <v>10.5</v>
      </c>
      <c r="J14">
        <v>0.5</v>
      </c>
      <c r="K14">
        <v>588</v>
      </c>
      <c r="L14">
        <v>0.39</v>
      </c>
      <c r="M14" s="1">
        <v>4.4999999999999999E-4</v>
      </c>
      <c r="N14">
        <v>0.12</v>
      </c>
      <c r="O14">
        <v>10</v>
      </c>
      <c r="P14">
        <v>0.25</v>
      </c>
    </row>
    <row r="15" spans="1:16" x14ac:dyDescent="0.15">
      <c r="A15">
        <v>12</v>
      </c>
      <c r="B15">
        <v>5</v>
      </c>
      <c r="C15" t="s">
        <v>18</v>
      </c>
      <c r="D15">
        <v>0.5</v>
      </c>
      <c r="E15">
        <v>-0.5</v>
      </c>
      <c r="F15">
        <v>0.5</v>
      </c>
      <c r="G15">
        <v>18.5</v>
      </c>
      <c r="H15">
        <v>0.92500000000000004</v>
      </c>
      <c r="I15">
        <v>11.8</v>
      </c>
      <c r="J15">
        <v>0.5</v>
      </c>
      <c r="K15">
        <v>613.6</v>
      </c>
      <c r="L15">
        <v>0.35</v>
      </c>
      <c r="M15" s="1">
        <v>4.4999999999999999E-4</v>
      </c>
      <c r="N15">
        <v>0.12</v>
      </c>
      <c r="O15">
        <v>10</v>
      </c>
      <c r="P15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A8CE-63DA-4EEA-9A88-5E62FD2B5E40}">
  <dimension ref="A1:P6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defaultRowHeight="11.25" x14ac:dyDescent="0.15"/>
  <cols>
    <col min="1" max="1" width="22.5" bestFit="1" customWidth="1"/>
    <col min="2" max="2" width="71.125" bestFit="1" customWidth="1"/>
    <col min="3" max="3" width="22.375" bestFit="1" customWidth="1"/>
    <col min="4" max="4" width="23.875" bestFit="1" customWidth="1"/>
    <col min="5" max="5" width="29.625" bestFit="1" customWidth="1"/>
    <col min="6" max="6" width="19.25" bestFit="1" customWidth="1"/>
    <col min="7" max="8" width="23" bestFit="1" customWidth="1"/>
    <col min="9" max="9" width="17.375" bestFit="1" customWidth="1"/>
    <col min="10" max="11" width="17.25" bestFit="1" customWidth="1"/>
    <col min="12" max="12" width="18" bestFit="1" customWidth="1"/>
    <col min="13" max="13" width="13.25" bestFit="1" customWidth="1"/>
    <col min="14" max="14" width="14.25" bestFit="1" customWidth="1"/>
    <col min="15" max="15" width="14" bestFit="1" customWidth="1"/>
    <col min="16" max="16" width="51.125" bestFit="1" customWidth="1"/>
  </cols>
  <sheetData>
    <row r="1" spans="1:16" s="5" customFormat="1" x14ac:dyDescent="0.15">
      <c r="A1" s="4" t="s">
        <v>200</v>
      </c>
      <c r="B1" s="4" t="s">
        <v>191</v>
      </c>
      <c r="C1" s="4" t="s">
        <v>192</v>
      </c>
      <c r="D1" s="4" t="s">
        <v>193</v>
      </c>
      <c r="E1" s="4" t="s">
        <v>194</v>
      </c>
      <c r="F1" s="4" t="s">
        <v>195</v>
      </c>
      <c r="G1" s="4" t="s">
        <v>196</v>
      </c>
      <c r="H1" s="4" t="s">
        <v>201</v>
      </c>
      <c r="I1" s="4" t="s">
        <v>197</v>
      </c>
      <c r="J1" s="4" t="s">
        <v>198</v>
      </c>
      <c r="K1" s="4" t="s">
        <v>199</v>
      </c>
      <c r="L1" s="4" t="s">
        <v>139</v>
      </c>
      <c r="M1" s="4" t="s">
        <v>141</v>
      </c>
      <c r="N1" s="4" t="s">
        <v>142</v>
      </c>
      <c r="O1" s="4" t="s">
        <v>143</v>
      </c>
      <c r="P1" s="4" t="s">
        <v>140</v>
      </c>
    </row>
    <row r="2" spans="1:16" x14ac:dyDescent="0.15">
      <c r="A2" t="s">
        <v>127</v>
      </c>
      <c r="B2" t="s">
        <v>164</v>
      </c>
      <c r="C2" t="s">
        <v>158</v>
      </c>
      <c r="D2" t="s">
        <v>188</v>
      </c>
      <c r="I2" s="2"/>
      <c r="J2" s="2"/>
      <c r="K2" s="2"/>
    </row>
    <row r="3" spans="1:16" x14ac:dyDescent="0.15">
      <c r="A3" t="s">
        <v>128</v>
      </c>
      <c r="B3" t="s">
        <v>165</v>
      </c>
      <c r="C3" t="s">
        <v>157</v>
      </c>
      <c r="D3" t="s">
        <v>188</v>
      </c>
      <c r="I3" s="2"/>
      <c r="J3" s="2"/>
      <c r="K3" s="2"/>
    </row>
    <row r="4" spans="1:16" x14ac:dyDescent="0.15">
      <c r="A4" t="s">
        <v>0</v>
      </c>
      <c r="B4" s="6"/>
      <c r="C4" s="6" t="s">
        <v>159</v>
      </c>
      <c r="D4" t="s">
        <v>188</v>
      </c>
      <c r="I4" s="2"/>
      <c r="J4" s="2"/>
      <c r="K4" s="2"/>
    </row>
    <row r="5" spans="1:16" x14ac:dyDescent="0.15">
      <c r="A5" t="s">
        <v>1</v>
      </c>
      <c r="B5" s="6"/>
      <c r="C5" s="6" t="s">
        <v>159</v>
      </c>
      <c r="D5" t="s">
        <v>188</v>
      </c>
      <c r="I5" s="2"/>
      <c r="J5" s="2"/>
      <c r="K5" s="2"/>
    </row>
    <row r="6" spans="1:16" x14ac:dyDescent="0.15">
      <c r="A6" t="s">
        <v>129</v>
      </c>
      <c r="B6" t="s">
        <v>167</v>
      </c>
      <c r="C6" s="6" t="s">
        <v>159</v>
      </c>
      <c r="D6" t="s">
        <v>188</v>
      </c>
      <c r="I6" s="2"/>
      <c r="J6" s="2"/>
      <c r="K6" s="2"/>
    </row>
    <row r="7" spans="1:16" x14ac:dyDescent="0.15">
      <c r="A7" t="s">
        <v>133</v>
      </c>
      <c r="B7" t="s">
        <v>163</v>
      </c>
      <c r="C7" t="s">
        <v>158</v>
      </c>
      <c r="D7" t="s">
        <v>188</v>
      </c>
      <c r="I7" s="2"/>
      <c r="J7" s="2"/>
      <c r="K7" s="2"/>
    </row>
    <row r="8" spans="1:16" x14ac:dyDescent="0.15">
      <c r="A8" t="s">
        <v>134</v>
      </c>
      <c r="B8" t="s">
        <v>168</v>
      </c>
      <c r="C8" t="s">
        <v>155</v>
      </c>
      <c r="D8" t="s">
        <v>188</v>
      </c>
      <c r="I8" s="2"/>
      <c r="J8" s="2"/>
      <c r="K8" s="2"/>
    </row>
    <row r="9" spans="1:16" x14ac:dyDescent="0.15">
      <c r="A9" t="s">
        <v>135</v>
      </c>
      <c r="B9" t="s">
        <v>169</v>
      </c>
      <c r="C9" t="s">
        <v>156</v>
      </c>
      <c r="D9" t="s">
        <v>188</v>
      </c>
      <c r="I9" s="2"/>
      <c r="J9" s="2"/>
      <c r="K9" s="2"/>
    </row>
    <row r="10" spans="1:16" x14ac:dyDescent="0.15">
      <c r="A10" t="s">
        <v>130</v>
      </c>
      <c r="B10" t="s">
        <v>170</v>
      </c>
      <c r="C10" t="s">
        <v>157</v>
      </c>
      <c r="D10" t="s">
        <v>188</v>
      </c>
      <c r="I10" s="2"/>
      <c r="J10" s="2"/>
      <c r="K10" s="2"/>
    </row>
    <row r="11" spans="1:16" x14ac:dyDescent="0.15">
      <c r="A11" t="s">
        <v>131</v>
      </c>
      <c r="B11" s="6"/>
      <c r="C11" s="6" t="s">
        <v>159</v>
      </c>
      <c r="D11" t="s">
        <v>188</v>
      </c>
      <c r="I11" s="2"/>
      <c r="J11" s="2"/>
      <c r="K11" s="2"/>
    </row>
    <row r="12" spans="1:16" x14ac:dyDescent="0.15">
      <c r="A12" t="s">
        <v>132</v>
      </c>
      <c r="B12" s="6"/>
      <c r="C12" s="6" t="s">
        <v>159</v>
      </c>
      <c r="D12" t="s">
        <v>188</v>
      </c>
      <c r="I12" s="2"/>
      <c r="J12" s="2"/>
      <c r="K12" s="2"/>
    </row>
    <row r="13" spans="1:16" x14ac:dyDescent="0.15">
      <c r="A13" t="s">
        <v>136</v>
      </c>
      <c r="B13" t="s">
        <v>162</v>
      </c>
      <c r="C13" t="s">
        <v>158</v>
      </c>
      <c r="D13" t="s">
        <v>188</v>
      </c>
      <c r="I13" s="2"/>
      <c r="J13" s="2"/>
      <c r="K13" s="2"/>
    </row>
    <row r="14" spans="1:16" x14ac:dyDescent="0.15">
      <c r="A14" t="s">
        <v>137</v>
      </c>
      <c r="B14" t="s">
        <v>166</v>
      </c>
      <c r="C14" t="s">
        <v>157</v>
      </c>
      <c r="D14" t="s">
        <v>188</v>
      </c>
      <c r="I14" s="2"/>
      <c r="J14" s="2"/>
      <c r="K14" s="2"/>
    </row>
    <row r="15" spans="1:16" x14ac:dyDescent="0.15">
      <c r="A15" t="s">
        <v>138</v>
      </c>
      <c r="B15" t="s">
        <v>161</v>
      </c>
      <c r="C15" t="s">
        <v>160</v>
      </c>
      <c r="D15" t="s">
        <v>189</v>
      </c>
      <c r="E15" t="s">
        <v>172</v>
      </c>
      <c r="I15" s="2">
        <v>0</v>
      </c>
      <c r="J15" s="2">
        <v>1</v>
      </c>
      <c r="K15" s="2"/>
    </row>
    <row r="16" spans="1:16" x14ac:dyDescent="0.15">
      <c r="A16" t="s">
        <v>52</v>
      </c>
      <c r="B16" t="s">
        <v>53</v>
      </c>
      <c r="C16" t="s">
        <v>51</v>
      </c>
      <c r="D16" t="s">
        <v>189</v>
      </c>
      <c r="E16" t="s">
        <v>174</v>
      </c>
      <c r="F16" t="s">
        <v>22</v>
      </c>
      <c r="I16" s="2"/>
      <c r="J16" s="2"/>
      <c r="K16" s="2" t="s">
        <v>147</v>
      </c>
      <c r="L16" t="s">
        <v>20</v>
      </c>
    </row>
    <row r="17" spans="1:16" x14ac:dyDescent="0.15">
      <c r="A17" t="s">
        <v>49</v>
      </c>
      <c r="B17" t="s">
        <v>50</v>
      </c>
      <c r="C17" t="s">
        <v>51</v>
      </c>
      <c r="D17" t="s">
        <v>189</v>
      </c>
      <c r="E17" t="s">
        <v>174</v>
      </c>
      <c r="F17" t="s">
        <v>21</v>
      </c>
      <c r="I17" s="2"/>
      <c r="J17" s="2"/>
      <c r="K17" s="2" t="s">
        <v>147</v>
      </c>
      <c r="L17" t="s">
        <v>20</v>
      </c>
      <c r="O17" t="s">
        <v>20</v>
      </c>
    </row>
    <row r="18" spans="1:16" x14ac:dyDescent="0.15">
      <c r="A18" t="s">
        <v>41</v>
      </c>
      <c r="B18" t="s">
        <v>42</v>
      </c>
      <c r="C18" t="s">
        <v>19</v>
      </c>
      <c r="D18" t="s">
        <v>189</v>
      </c>
      <c r="E18" t="s">
        <v>174</v>
      </c>
      <c r="F18" t="s">
        <v>21</v>
      </c>
      <c r="I18" s="2">
        <v>1.5</v>
      </c>
      <c r="J18" s="2">
        <v>60</v>
      </c>
      <c r="K18" s="2" t="s">
        <v>147</v>
      </c>
      <c r="O18" t="s">
        <v>20</v>
      </c>
    </row>
    <row r="19" spans="1:16" x14ac:dyDescent="0.15">
      <c r="A19" t="s">
        <v>46</v>
      </c>
      <c r="B19" t="s">
        <v>47</v>
      </c>
      <c r="C19" t="s">
        <v>19</v>
      </c>
      <c r="D19" t="s">
        <v>189</v>
      </c>
      <c r="E19" t="s">
        <v>174</v>
      </c>
      <c r="F19" t="s">
        <v>22</v>
      </c>
      <c r="I19" s="1">
        <v>1.4999999999999999E-4</v>
      </c>
      <c r="J19" s="1">
        <v>5.0000000000000001E-4</v>
      </c>
      <c r="K19" s="1" t="s">
        <v>147</v>
      </c>
      <c r="O19" t="s">
        <v>20</v>
      </c>
      <c r="P19" t="s">
        <v>48</v>
      </c>
    </row>
    <row r="20" spans="1:16" x14ac:dyDescent="0.15">
      <c r="A20" t="s">
        <v>29</v>
      </c>
      <c r="B20" t="s">
        <v>30</v>
      </c>
      <c r="C20" t="s">
        <v>31</v>
      </c>
      <c r="D20" t="s">
        <v>189</v>
      </c>
      <c r="E20" t="s">
        <v>174</v>
      </c>
      <c r="F20" t="s">
        <v>21</v>
      </c>
      <c r="I20" s="2">
        <v>10</v>
      </c>
      <c r="J20" s="2">
        <v>22</v>
      </c>
      <c r="K20" s="2" t="s">
        <v>147</v>
      </c>
    </row>
    <row r="21" spans="1:16" x14ac:dyDescent="0.15">
      <c r="A21" t="s">
        <v>38</v>
      </c>
      <c r="B21" t="s">
        <v>39</v>
      </c>
      <c r="C21" t="s">
        <v>40</v>
      </c>
      <c r="D21" t="s">
        <v>189</v>
      </c>
      <c r="E21" t="s">
        <v>174</v>
      </c>
      <c r="F21" t="s">
        <v>22</v>
      </c>
      <c r="I21" s="2">
        <v>1.5</v>
      </c>
      <c r="J21" s="2">
        <v>4000</v>
      </c>
      <c r="K21" s="2" t="s">
        <v>147</v>
      </c>
      <c r="L21" t="s">
        <v>20</v>
      </c>
      <c r="M21" t="s">
        <v>20</v>
      </c>
      <c r="N21" t="s">
        <v>20</v>
      </c>
      <c r="O21" t="s">
        <v>20</v>
      </c>
    </row>
    <row r="22" spans="1:16" x14ac:dyDescent="0.15">
      <c r="A22" t="s">
        <v>3</v>
      </c>
      <c r="B22" t="s">
        <v>151</v>
      </c>
      <c r="C22" t="s">
        <v>19</v>
      </c>
      <c r="D22" t="s">
        <v>189</v>
      </c>
      <c r="E22" t="s">
        <v>172</v>
      </c>
      <c r="I22" s="2">
        <v>0</v>
      </c>
      <c r="J22" s="2">
        <v>5000</v>
      </c>
      <c r="K22" s="2" t="s">
        <v>23</v>
      </c>
      <c r="L22" t="s">
        <v>20</v>
      </c>
      <c r="M22" t="s">
        <v>20</v>
      </c>
      <c r="N22" t="s">
        <v>20</v>
      </c>
    </row>
    <row r="23" spans="1:16" x14ac:dyDescent="0.15">
      <c r="A23" t="s">
        <v>8</v>
      </c>
      <c r="B23" t="s">
        <v>152</v>
      </c>
      <c r="C23" t="s">
        <v>19</v>
      </c>
      <c r="D23" t="s">
        <v>189</v>
      </c>
      <c r="E23" t="s">
        <v>172</v>
      </c>
      <c r="I23" s="2">
        <v>0</v>
      </c>
      <c r="J23" s="2"/>
      <c r="K23" s="2" t="s">
        <v>145</v>
      </c>
      <c r="L23" t="s">
        <v>20</v>
      </c>
      <c r="M23" t="s">
        <v>20</v>
      </c>
      <c r="N23" t="s">
        <v>20</v>
      </c>
    </row>
    <row r="24" spans="1:16" x14ac:dyDescent="0.15">
      <c r="A24" t="s">
        <v>7</v>
      </c>
      <c r="B24" t="s">
        <v>153</v>
      </c>
      <c r="C24" t="s">
        <v>19</v>
      </c>
      <c r="D24" t="s">
        <v>189</v>
      </c>
      <c r="E24" t="s">
        <v>172</v>
      </c>
      <c r="I24" s="2">
        <v>0</v>
      </c>
      <c r="J24" s="2"/>
      <c r="K24" s="2" t="s">
        <v>145</v>
      </c>
      <c r="L24" t="s">
        <v>20</v>
      </c>
      <c r="M24" t="s">
        <v>20</v>
      </c>
      <c r="N24" t="s">
        <v>20</v>
      </c>
      <c r="O24" t="s">
        <v>20</v>
      </c>
    </row>
    <row r="25" spans="1:16" x14ac:dyDescent="0.15">
      <c r="A25" t="s">
        <v>6</v>
      </c>
      <c r="B25" t="s">
        <v>154</v>
      </c>
      <c r="C25" t="s">
        <v>19</v>
      </c>
      <c r="D25" t="s">
        <v>189</v>
      </c>
      <c r="E25" t="s">
        <v>172</v>
      </c>
      <c r="I25" s="2">
        <v>5</v>
      </c>
      <c r="J25" s="2">
        <v>2000</v>
      </c>
      <c r="K25" s="2" t="s">
        <v>145</v>
      </c>
      <c r="L25" t="s">
        <v>20</v>
      </c>
      <c r="M25" t="s">
        <v>20</v>
      </c>
      <c r="N25" t="s">
        <v>20</v>
      </c>
      <c r="O25" t="s">
        <v>20</v>
      </c>
    </row>
    <row r="26" spans="1:16" x14ac:dyDescent="0.15">
      <c r="A26" t="s">
        <v>2</v>
      </c>
      <c r="B26" t="s">
        <v>25</v>
      </c>
      <c r="C26" t="s">
        <v>24</v>
      </c>
      <c r="D26" t="s">
        <v>189</v>
      </c>
      <c r="E26" t="s">
        <v>172</v>
      </c>
      <c r="I26" s="2"/>
      <c r="J26" s="2"/>
      <c r="K26" s="2" t="s">
        <v>23</v>
      </c>
    </row>
    <row r="27" spans="1:16" x14ac:dyDescent="0.15">
      <c r="A27" t="s">
        <v>10</v>
      </c>
      <c r="B27" t="s">
        <v>150</v>
      </c>
      <c r="C27" t="s">
        <v>24</v>
      </c>
      <c r="D27" t="s">
        <v>189</v>
      </c>
      <c r="E27" t="s">
        <v>172</v>
      </c>
      <c r="I27" s="2">
        <v>-4</v>
      </c>
      <c r="J27" s="2">
        <v>15</v>
      </c>
      <c r="K27" s="2" t="s">
        <v>145</v>
      </c>
      <c r="O27" t="s">
        <v>20</v>
      </c>
    </row>
    <row r="28" spans="1:16" x14ac:dyDescent="0.15">
      <c r="A28" t="s">
        <v>11</v>
      </c>
      <c r="B28" t="s">
        <v>149</v>
      </c>
      <c r="C28" t="s">
        <v>24</v>
      </c>
      <c r="D28" t="s">
        <v>189</v>
      </c>
      <c r="E28" t="s">
        <v>172</v>
      </c>
      <c r="I28" s="2"/>
      <c r="J28" s="2"/>
      <c r="K28" s="2" t="s">
        <v>145</v>
      </c>
      <c r="L28" t="s">
        <v>20</v>
      </c>
      <c r="M28" t="s">
        <v>20</v>
      </c>
      <c r="N28" t="s">
        <v>20</v>
      </c>
      <c r="O28" t="s">
        <v>20</v>
      </c>
    </row>
    <row r="29" spans="1:16" x14ac:dyDescent="0.15">
      <c r="A29" t="s">
        <v>26</v>
      </c>
      <c r="B29" t="s">
        <v>27</v>
      </c>
      <c r="C29" t="s">
        <v>24</v>
      </c>
      <c r="D29" t="s">
        <v>189</v>
      </c>
      <c r="E29" t="s">
        <v>28</v>
      </c>
      <c r="F29" t="s">
        <v>21</v>
      </c>
      <c r="I29" s="2">
        <v>-18</v>
      </c>
      <c r="J29" s="2">
        <v>15</v>
      </c>
      <c r="K29" s="2" t="s">
        <v>147</v>
      </c>
      <c r="O29" t="s">
        <v>20</v>
      </c>
    </row>
    <row r="30" spans="1:16" x14ac:dyDescent="0.15">
      <c r="A30" t="s">
        <v>78</v>
      </c>
      <c r="B30" t="s">
        <v>79</v>
      </c>
      <c r="C30" t="s">
        <v>19</v>
      </c>
      <c r="D30" t="s">
        <v>190</v>
      </c>
      <c r="E30" t="s">
        <v>172</v>
      </c>
      <c r="G30" s="1">
        <v>2.0799999999999999E-4</v>
      </c>
      <c r="H30" s="1"/>
      <c r="I30" s="2"/>
      <c r="J30" s="2"/>
      <c r="K30" s="2" t="s">
        <v>62</v>
      </c>
      <c r="O30" t="s">
        <v>20</v>
      </c>
    </row>
    <row r="31" spans="1:16" x14ac:dyDescent="0.15">
      <c r="A31" t="s">
        <v>65</v>
      </c>
      <c r="B31" t="s">
        <v>66</v>
      </c>
      <c r="C31" t="s">
        <v>56</v>
      </c>
      <c r="D31" t="s">
        <v>190</v>
      </c>
      <c r="E31" t="s">
        <v>172</v>
      </c>
      <c r="G31">
        <v>0.25</v>
      </c>
      <c r="I31" s="2"/>
      <c r="J31" s="2"/>
      <c r="K31" s="2" t="s">
        <v>62</v>
      </c>
    </row>
    <row r="32" spans="1:16" x14ac:dyDescent="0.15">
      <c r="A32" t="s">
        <v>80</v>
      </c>
      <c r="B32" t="s">
        <v>81</v>
      </c>
      <c r="C32" t="s">
        <v>82</v>
      </c>
      <c r="D32" t="s">
        <v>190</v>
      </c>
      <c r="E32" t="s">
        <v>172</v>
      </c>
      <c r="G32">
        <v>9.81</v>
      </c>
      <c r="I32" s="2"/>
      <c r="J32" s="2"/>
      <c r="K32" s="2" t="s">
        <v>62</v>
      </c>
      <c r="O32" t="s">
        <v>20</v>
      </c>
    </row>
    <row r="33" spans="1:16" x14ac:dyDescent="0.15">
      <c r="A33" t="s">
        <v>85</v>
      </c>
      <c r="B33" t="s">
        <v>86</v>
      </c>
      <c r="C33" t="s">
        <v>31</v>
      </c>
      <c r="D33" t="s">
        <v>190</v>
      </c>
      <c r="E33" t="s">
        <v>172</v>
      </c>
      <c r="G33" s="2">
        <v>26</v>
      </c>
      <c r="H33" s="2"/>
      <c r="I33" s="2"/>
      <c r="J33" s="2"/>
      <c r="K33" s="2" t="s">
        <v>62</v>
      </c>
      <c r="O33" t="s">
        <v>20</v>
      </c>
    </row>
    <row r="34" spans="1:16" x14ac:dyDescent="0.15">
      <c r="A34" t="s">
        <v>36</v>
      </c>
      <c r="B34" t="s">
        <v>37</v>
      </c>
      <c r="C34" t="s">
        <v>31</v>
      </c>
      <c r="D34" t="s">
        <v>190</v>
      </c>
      <c r="E34" t="s">
        <v>172</v>
      </c>
      <c r="G34">
        <v>9.81</v>
      </c>
      <c r="I34" s="2"/>
      <c r="J34" s="2"/>
      <c r="K34" s="2" t="s">
        <v>62</v>
      </c>
    </row>
    <row r="35" spans="1:16" x14ac:dyDescent="0.15">
      <c r="A35" t="s">
        <v>125</v>
      </c>
      <c r="B35" t="s">
        <v>126</v>
      </c>
      <c r="C35" t="s">
        <v>19</v>
      </c>
      <c r="D35" t="s">
        <v>190</v>
      </c>
      <c r="E35" t="s">
        <v>172</v>
      </c>
      <c r="G35">
        <v>1.5</v>
      </c>
      <c r="K35" s="2" t="s">
        <v>62</v>
      </c>
    </row>
    <row r="36" spans="1:16" x14ac:dyDescent="0.15">
      <c r="A36" t="s">
        <v>60</v>
      </c>
      <c r="B36" t="s">
        <v>61</v>
      </c>
      <c r="C36" t="s">
        <v>56</v>
      </c>
      <c r="D36" t="s">
        <v>190</v>
      </c>
      <c r="E36" t="s">
        <v>174</v>
      </c>
      <c r="F36" t="s">
        <v>21</v>
      </c>
      <c r="G36" s="2">
        <v>0.5</v>
      </c>
      <c r="H36" s="2">
        <v>0.1</v>
      </c>
      <c r="I36" s="2"/>
      <c r="J36" s="2"/>
      <c r="K36" s="2" t="s">
        <v>62</v>
      </c>
      <c r="N36" t="s">
        <v>20</v>
      </c>
    </row>
    <row r="37" spans="1:16" x14ac:dyDescent="0.15">
      <c r="A37" t="s">
        <v>121</v>
      </c>
      <c r="B37" t="s">
        <v>122</v>
      </c>
      <c r="C37" t="s">
        <v>45</v>
      </c>
      <c r="D37" t="s">
        <v>190</v>
      </c>
      <c r="E37" t="s">
        <v>174</v>
      </c>
      <c r="F37" t="s">
        <v>21</v>
      </c>
      <c r="G37">
        <v>0.1</v>
      </c>
      <c r="H37">
        <v>0.1</v>
      </c>
      <c r="K37" s="2" t="s">
        <v>62</v>
      </c>
    </row>
    <row r="38" spans="1:16" x14ac:dyDescent="0.15">
      <c r="A38" t="s">
        <v>123</v>
      </c>
      <c r="B38" t="s">
        <v>124</v>
      </c>
      <c r="C38" t="s">
        <v>45</v>
      </c>
      <c r="D38" t="s">
        <v>190</v>
      </c>
      <c r="E38" t="s">
        <v>174</v>
      </c>
      <c r="F38" t="s">
        <v>21</v>
      </c>
      <c r="G38">
        <v>0.01</v>
      </c>
      <c r="H38">
        <v>0.1</v>
      </c>
      <c r="K38" s="2" t="s">
        <v>62</v>
      </c>
    </row>
    <row r="39" spans="1:16" x14ac:dyDescent="0.15">
      <c r="A39" t="s">
        <v>63</v>
      </c>
      <c r="B39" t="s">
        <v>64</v>
      </c>
      <c r="C39" t="s">
        <v>56</v>
      </c>
      <c r="D39" t="s">
        <v>190</v>
      </c>
      <c r="E39" t="s">
        <v>172</v>
      </c>
      <c r="G39" s="2">
        <v>0.3</v>
      </c>
      <c r="H39" s="2"/>
      <c r="I39" s="2"/>
      <c r="J39" s="2"/>
      <c r="K39" s="2" t="s">
        <v>62</v>
      </c>
      <c r="O39" t="s">
        <v>20</v>
      </c>
    </row>
    <row r="40" spans="1:16" x14ac:dyDescent="0.15">
      <c r="A40" t="s">
        <v>75</v>
      </c>
      <c r="B40" t="s">
        <v>76</v>
      </c>
      <c r="C40" t="s">
        <v>77</v>
      </c>
      <c r="D40" t="s">
        <v>190</v>
      </c>
      <c r="E40" t="s">
        <v>172</v>
      </c>
      <c r="G40" s="2">
        <v>37</v>
      </c>
      <c r="H40" s="2"/>
      <c r="I40" s="2"/>
      <c r="J40" s="2"/>
      <c r="K40" s="2" t="s">
        <v>62</v>
      </c>
      <c r="O40" t="s">
        <v>20</v>
      </c>
    </row>
    <row r="41" spans="1:16" x14ac:dyDescent="0.15">
      <c r="A41" t="s">
        <v>83</v>
      </c>
      <c r="B41" t="s">
        <v>84</v>
      </c>
      <c r="C41" t="s">
        <v>202</v>
      </c>
      <c r="D41" t="s">
        <v>190</v>
      </c>
      <c r="E41" t="s">
        <v>172</v>
      </c>
      <c r="G41" s="1">
        <v>1.33E-6</v>
      </c>
      <c r="H41" s="1"/>
      <c r="I41" s="2"/>
      <c r="J41" s="2"/>
      <c r="K41" s="2" t="s">
        <v>62</v>
      </c>
      <c r="O41" t="s">
        <v>20</v>
      </c>
    </row>
    <row r="42" spans="1:16" x14ac:dyDescent="0.15">
      <c r="A42" t="s">
        <v>57</v>
      </c>
      <c r="B42" t="s">
        <v>144</v>
      </c>
      <c r="C42" t="s">
        <v>56</v>
      </c>
      <c r="D42" t="s">
        <v>190</v>
      </c>
      <c r="E42" t="s">
        <v>174</v>
      </c>
      <c r="F42" t="s">
        <v>21</v>
      </c>
      <c r="G42" s="3">
        <v>1</v>
      </c>
      <c r="H42">
        <v>0.1</v>
      </c>
      <c r="I42" s="2"/>
      <c r="J42" s="2"/>
      <c r="K42" s="2" t="s">
        <v>145</v>
      </c>
      <c r="N42" t="s">
        <v>20</v>
      </c>
    </row>
    <row r="43" spans="1:16" x14ac:dyDescent="0.15">
      <c r="A43" t="s">
        <v>58</v>
      </c>
      <c r="B43" t="s">
        <v>59</v>
      </c>
      <c r="C43" t="s">
        <v>56</v>
      </c>
      <c r="D43" t="s">
        <v>190</v>
      </c>
      <c r="E43" t="s">
        <v>174</v>
      </c>
      <c r="F43" t="s">
        <v>21</v>
      </c>
      <c r="G43" s="3">
        <v>1</v>
      </c>
      <c r="H43">
        <v>0.12</v>
      </c>
      <c r="I43" s="2"/>
      <c r="J43" s="2"/>
      <c r="K43" s="2" t="s">
        <v>145</v>
      </c>
      <c r="O43" t="s">
        <v>20</v>
      </c>
    </row>
    <row r="44" spans="1:16" x14ac:dyDescent="0.15">
      <c r="A44" t="s">
        <v>54</v>
      </c>
      <c r="B44" t="s">
        <v>55</v>
      </c>
      <c r="C44" t="s">
        <v>56</v>
      </c>
      <c r="D44" t="s">
        <v>190</v>
      </c>
      <c r="E44" t="s">
        <v>174</v>
      </c>
      <c r="F44" t="s">
        <v>21</v>
      </c>
      <c r="G44" s="3">
        <v>1</v>
      </c>
      <c r="H44">
        <v>0.1</v>
      </c>
      <c r="I44" s="2"/>
      <c r="J44" s="2"/>
      <c r="K44" s="2" t="s">
        <v>145</v>
      </c>
      <c r="M44" t="s">
        <v>20</v>
      </c>
    </row>
    <row r="45" spans="1:16" x14ac:dyDescent="0.15">
      <c r="A45" t="s">
        <v>9</v>
      </c>
      <c r="B45" t="s">
        <v>204</v>
      </c>
      <c r="C45" t="s">
        <v>24</v>
      </c>
      <c r="D45" t="s">
        <v>72</v>
      </c>
      <c r="I45" s="2"/>
      <c r="J45" s="2"/>
      <c r="K45" s="2" t="s">
        <v>171</v>
      </c>
      <c r="L45" t="s">
        <v>72</v>
      </c>
      <c r="P45" t="s">
        <v>203</v>
      </c>
    </row>
    <row r="46" spans="1:16" x14ac:dyDescent="0.15">
      <c r="A46" t="s">
        <v>32</v>
      </c>
      <c r="B46" t="s">
        <v>33</v>
      </c>
      <c r="C46" t="s">
        <v>19</v>
      </c>
      <c r="D46" t="s">
        <v>72</v>
      </c>
      <c r="I46" s="2"/>
      <c r="J46" s="2"/>
      <c r="K46" s="2" t="s">
        <v>171</v>
      </c>
      <c r="P46" t="s">
        <v>173</v>
      </c>
    </row>
    <row r="47" spans="1:16" x14ac:dyDescent="0.15">
      <c r="A47" t="s">
        <v>34</v>
      </c>
      <c r="B47" t="s">
        <v>35</v>
      </c>
      <c r="C47" t="s">
        <v>19</v>
      </c>
      <c r="D47" t="s">
        <v>72</v>
      </c>
      <c r="I47" s="2"/>
      <c r="J47" s="2"/>
      <c r="K47" s="2" t="s">
        <v>171</v>
      </c>
      <c r="P47" t="s">
        <v>173</v>
      </c>
    </row>
    <row r="48" spans="1:16" x14ac:dyDescent="0.15">
      <c r="A48" t="s">
        <v>93</v>
      </c>
      <c r="B48" t="s">
        <v>94</v>
      </c>
      <c r="C48" t="s">
        <v>19</v>
      </c>
      <c r="D48" t="s">
        <v>72</v>
      </c>
      <c r="I48" s="2"/>
      <c r="J48" s="2"/>
      <c r="K48" s="2" t="s">
        <v>171</v>
      </c>
      <c r="O48" t="s">
        <v>72</v>
      </c>
    </row>
    <row r="49" spans="1:15" x14ac:dyDescent="0.15">
      <c r="A49" t="s">
        <v>89</v>
      </c>
      <c r="B49" t="s">
        <v>90</v>
      </c>
      <c r="C49" t="s">
        <v>19</v>
      </c>
      <c r="D49" t="s">
        <v>72</v>
      </c>
      <c r="I49" s="2"/>
      <c r="J49" s="2"/>
      <c r="K49" s="2" t="s">
        <v>171</v>
      </c>
      <c r="O49" t="s">
        <v>72</v>
      </c>
    </row>
    <row r="50" spans="1:15" x14ac:dyDescent="0.15">
      <c r="A50" t="s">
        <v>87</v>
      </c>
      <c r="B50" t="s">
        <v>88</v>
      </c>
      <c r="C50" t="s">
        <v>19</v>
      </c>
      <c r="D50" t="s">
        <v>72</v>
      </c>
      <c r="I50" s="2"/>
      <c r="J50" s="2"/>
      <c r="K50" s="2" t="s">
        <v>171</v>
      </c>
      <c r="M50" t="s">
        <v>72</v>
      </c>
    </row>
    <row r="51" spans="1:15" x14ac:dyDescent="0.15">
      <c r="A51" t="s">
        <v>117</v>
      </c>
      <c r="B51" t="s">
        <v>118</v>
      </c>
      <c r="C51" t="s">
        <v>56</v>
      </c>
      <c r="D51" t="s">
        <v>72</v>
      </c>
      <c r="I51" s="2"/>
      <c r="J51" s="2"/>
      <c r="K51" s="2" t="s">
        <v>171</v>
      </c>
      <c r="N51" t="s">
        <v>68</v>
      </c>
    </row>
    <row r="52" spans="1:15" x14ac:dyDescent="0.15">
      <c r="A52" t="s">
        <v>119</v>
      </c>
      <c r="B52" t="s">
        <v>120</v>
      </c>
      <c r="C52" t="s">
        <v>56</v>
      </c>
      <c r="D52" t="s">
        <v>72</v>
      </c>
      <c r="I52" s="2"/>
      <c r="J52" s="2"/>
      <c r="K52" s="2" t="s">
        <v>171</v>
      </c>
      <c r="O52" t="s">
        <v>68</v>
      </c>
    </row>
    <row r="53" spans="1:15" x14ac:dyDescent="0.15">
      <c r="A53" t="s">
        <v>115</v>
      </c>
      <c r="B53" t="s">
        <v>116</v>
      </c>
      <c r="C53" t="s">
        <v>56</v>
      </c>
      <c r="D53" t="s">
        <v>72</v>
      </c>
      <c r="I53" s="2"/>
      <c r="J53" s="2"/>
      <c r="K53" s="2" t="s">
        <v>171</v>
      </c>
      <c r="M53" t="s">
        <v>68</v>
      </c>
    </row>
    <row r="54" spans="1:15" x14ac:dyDescent="0.15">
      <c r="A54" t="s">
        <v>70</v>
      </c>
      <c r="B54" t="s">
        <v>71</v>
      </c>
      <c r="C54" t="s">
        <v>24</v>
      </c>
      <c r="D54" t="s">
        <v>72</v>
      </c>
      <c r="I54" s="2"/>
      <c r="J54" s="2"/>
      <c r="K54" s="2" t="s">
        <v>171</v>
      </c>
      <c r="O54" t="s">
        <v>72</v>
      </c>
    </row>
    <row r="55" spans="1:15" x14ac:dyDescent="0.15">
      <c r="A55" t="s">
        <v>91</v>
      </c>
      <c r="B55" t="s">
        <v>92</v>
      </c>
      <c r="C55" t="s">
        <v>56</v>
      </c>
      <c r="D55" t="s">
        <v>72</v>
      </c>
      <c r="I55" s="2"/>
      <c r="J55" s="2"/>
      <c r="K55" s="2" t="s">
        <v>171</v>
      </c>
      <c r="N55" t="s">
        <v>72</v>
      </c>
    </row>
    <row r="56" spans="1:15" x14ac:dyDescent="0.15">
      <c r="A56" t="s">
        <v>43</v>
      </c>
      <c r="B56" t="s">
        <v>44</v>
      </c>
      <c r="C56" t="s">
        <v>45</v>
      </c>
      <c r="D56" t="s">
        <v>72</v>
      </c>
      <c r="I56" s="2"/>
      <c r="J56" s="2"/>
      <c r="K56" s="2" t="s">
        <v>171</v>
      </c>
    </row>
    <row r="57" spans="1:15" x14ac:dyDescent="0.15">
      <c r="A57" t="s">
        <v>105</v>
      </c>
      <c r="B57" t="s">
        <v>106</v>
      </c>
      <c r="C57" t="s">
        <v>19</v>
      </c>
      <c r="D57" t="s">
        <v>72</v>
      </c>
      <c r="I57" s="2"/>
      <c r="J57" s="2"/>
      <c r="K57" s="2" t="s">
        <v>171</v>
      </c>
      <c r="L57" t="s">
        <v>72</v>
      </c>
    </row>
    <row r="58" spans="1:15" x14ac:dyDescent="0.15">
      <c r="A58" t="s">
        <v>73</v>
      </c>
      <c r="B58" t="s">
        <v>74</v>
      </c>
      <c r="C58" t="s">
        <v>19</v>
      </c>
      <c r="D58" t="s">
        <v>72</v>
      </c>
      <c r="I58" s="2"/>
      <c r="J58" s="2"/>
      <c r="K58" s="2" t="s">
        <v>171</v>
      </c>
      <c r="O58" t="s">
        <v>72</v>
      </c>
    </row>
    <row r="59" spans="1:15" x14ac:dyDescent="0.15">
      <c r="A59" t="s">
        <v>103</v>
      </c>
      <c r="B59" t="s">
        <v>104</v>
      </c>
      <c r="C59" t="s">
        <v>19</v>
      </c>
      <c r="D59" t="s">
        <v>72</v>
      </c>
      <c r="I59" s="2"/>
      <c r="J59" s="2"/>
      <c r="K59" s="2" t="s">
        <v>171</v>
      </c>
      <c r="L59" t="s">
        <v>72</v>
      </c>
    </row>
    <row r="60" spans="1:15" x14ac:dyDescent="0.15">
      <c r="A60" t="s">
        <v>109</v>
      </c>
      <c r="B60" t="s">
        <v>110</v>
      </c>
      <c r="C60" t="s">
        <v>19</v>
      </c>
      <c r="D60" t="s">
        <v>72</v>
      </c>
      <c r="I60" s="2"/>
      <c r="J60" s="2"/>
      <c r="K60" s="2" t="s">
        <v>171</v>
      </c>
      <c r="L60" t="s">
        <v>72</v>
      </c>
    </row>
    <row r="61" spans="1:15" x14ac:dyDescent="0.15">
      <c r="A61" t="s">
        <v>107</v>
      </c>
      <c r="B61" t="s">
        <v>108</v>
      </c>
      <c r="C61" t="s">
        <v>19</v>
      </c>
      <c r="D61" t="s">
        <v>72</v>
      </c>
      <c r="I61" s="2"/>
      <c r="J61" s="2"/>
      <c r="K61" s="2" t="s">
        <v>171</v>
      </c>
      <c r="L61" t="s">
        <v>72</v>
      </c>
    </row>
    <row r="62" spans="1:15" x14ac:dyDescent="0.15">
      <c r="A62" t="s">
        <v>69</v>
      </c>
      <c r="B62" t="s">
        <v>148</v>
      </c>
      <c r="C62" t="s">
        <v>24</v>
      </c>
      <c r="D62" t="s">
        <v>72</v>
      </c>
      <c r="I62" s="2"/>
      <c r="J62" s="2"/>
      <c r="K62" s="2" t="s">
        <v>171</v>
      </c>
      <c r="L62" t="s">
        <v>68</v>
      </c>
      <c r="M62" t="s">
        <v>20</v>
      </c>
      <c r="N62" t="s">
        <v>20</v>
      </c>
    </row>
    <row r="63" spans="1:15" x14ac:dyDescent="0.15">
      <c r="A63" t="s">
        <v>67</v>
      </c>
      <c r="B63" t="s">
        <v>146</v>
      </c>
      <c r="C63" t="s">
        <v>56</v>
      </c>
      <c r="D63" t="s">
        <v>72</v>
      </c>
      <c r="I63" s="2"/>
      <c r="J63" s="2"/>
      <c r="K63" s="2" t="s">
        <v>171</v>
      </c>
      <c r="L63" t="s">
        <v>68</v>
      </c>
    </row>
    <row r="64" spans="1:15" x14ac:dyDescent="0.15">
      <c r="A64" t="s">
        <v>113</v>
      </c>
      <c r="B64" t="s">
        <v>114</v>
      </c>
      <c r="C64" t="s">
        <v>19</v>
      </c>
      <c r="D64" t="s">
        <v>72</v>
      </c>
      <c r="I64" s="2"/>
      <c r="J64" s="2"/>
      <c r="K64" s="2" t="s">
        <v>171</v>
      </c>
      <c r="L64" t="s">
        <v>72</v>
      </c>
    </row>
    <row r="65" spans="1:15" x14ac:dyDescent="0.15">
      <c r="A65" t="s">
        <v>111</v>
      </c>
      <c r="B65" t="s">
        <v>112</v>
      </c>
      <c r="C65" t="s">
        <v>19</v>
      </c>
      <c r="D65" t="s">
        <v>72</v>
      </c>
      <c r="I65" s="2"/>
      <c r="J65" s="2"/>
      <c r="K65" s="2" t="s">
        <v>171</v>
      </c>
      <c r="L65" t="s">
        <v>72</v>
      </c>
    </row>
    <row r="66" spans="1:15" x14ac:dyDescent="0.15">
      <c r="A66" t="s">
        <v>101</v>
      </c>
      <c r="B66" t="s">
        <v>102</v>
      </c>
      <c r="C66" t="s">
        <v>56</v>
      </c>
      <c r="D66" t="s">
        <v>72</v>
      </c>
      <c r="I66" s="2"/>
      <c r="J66" s="2"/>
      <c r="K66" s="2" t="s">
        <v>171</v>
      </c>
      <c r="M66" t="s">
        <v>20</v>
      </c>
      <c r="N66" t="s">
        <v>20</v>
      </c>
      <c r="O66" t="s">
        <v>20</v>
      </c>
    </row>
    <row r="67" spans="1:15" x14ac:dyDescent="0.15">
      <c r="A67" t="s">
        <v>97</v>
      </c>
      <c r="B67" t="s">
        <v>98</v>
      </c>
      <c r="C67" t="s">
        <v>56</v>
      </c>
      <c r="D67" t="s">
        <v>72</v>
      </c>
      <c r="I67" s="2"/>
      <c r="J67" s="2"/>
      <c r="K67" s="2" t="s">
        <v>171</v>
      </c>
      <c r="N67" t="s">
        <v>68</v>
      </c>
    </row>
    <row r="68" spans="1:15" x14ac:dyDescent="0.15">
      <c r="A68" t="s">
        <v>99</v>
      </c>
      <c r="B68" t="s">
        <v>100</v>
      </c>
      <c r="C68" t="s">
        <v>56</v>
      </c>
      <c r="D68" t="s">
        <v>72</v>
      </c>
      <c r="I68" s="2"/>
      <c r="J68" s="2"/>
      <c r="K68" s="2" t="s">
        <v>171</v>
      </c>
      <c r="O68" t="s">
        <v>68</v>
      </c>
    </row>
    <row r="69" spans="1:15" x14ac:dyDescent="0.15">
      <c r="A69" t="s">
        <v>95</v>
      </c>
      <c r="B69" t="s">
        <v>96</v>
      </c>
      <c r="C69" t="s">
        <v>56</v>
      </c>
      <c r="D69" t="s">
        <v>72</v>
      </c>
      <c r="I69" s="2"/>
      <c r="J69" s="2"/>
      <c r="K69" s="2" t="s">
        <v>171</v>
      </c>
      <c r="M69" t="s">
        <v>68</v>
      </c>
    </row>
  </sheetData>
  <conditionalFormatting sqref="E1:E1048576">
    <cfRule type="expression" dxfId="3" priority="2">
      <formula>OR($D1="metadata", $D1="calculated")</formula>
    </cfRule>
  </conditionalFormatting>
  <conditionalFormatting sqref="F1:F69">
    <cfRule type="expression" dxfId="2" priority="4">
      <formula>OR($E1="deterministic", ISBLANK($E1))</formula>
    </cfRule>
  </conditionalFormatting>
  <conditionalFormatting sqref="G2:H69">
    <cfRule type="expression" dxfId="1" priority="3">
      <formula>$D2&lt;&gt;"constant"</formula>
    </cfRule>
  </conditionalFormatting>
  <conditionalFormatting sqref="I2:J69">
    <cfRule type="expression" dxfId="0" priority="1">
      <formula>AND($D2&lt;&gt;"variable",$D2&lt;&gt;"constant")</formula>
    </cfRule>
  </conditionalFormatting>
  <dataValidations count="3">
    <dataValidation type="list" allowBlank="1" showInputMessage="1" showErrorMessage="1" sqref="F2:F69" xr:uid="{0C4D3287-2227-4749-A999-A3EC2866277F}">
      <formula1>"_stdev,_vc"</formula1>
    </dataValidation>
    <dataValidation type="list" showInputMessage="1" showErrorMessage="1" sqref="D1:D1048576" xr:uid="{7DBF22A6-4D9E-4F91-90D4-678B52A281D8}">
      <formula1>"metadata,variable,constant,calculated"</formula1>
    </dataValidation>
    <dataValidation type="list" allowBlank="1" showInputMessage="1" showErrorMessage="1" sqref="E2:E69" xr:uid="{275783A2-AEC2-4F92-8AAF-45A3C5FDAAC7}">
      <formula1>"deterministic,normal,log_normal"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D5E8-359B-4F56-B38E-FCA72B85D698}">
  <dimension ref="A1:C6"/>
  <sheetViews>
    <sheetView zoomScale="160" zoomScaleNormal="160" workbookViewId="0">
      <selection activeCell="F7" sqref="F7"/>
    </sheetView>
  </sheetViews>
  <sheetFormatPr defaultColWidth="8.75" defaultRowHeight="15" x14ac:dyDescent="0.25"/>
  <cols>
    <col min="1" max="1" width="23.125" style="7" bestFit="1" customWidth="1"/>
    <col min="2" max="16384" width="8.75" style="7"/>
  </cols>
  <sheetData>
    <row r="1" spans="1:3" x14ac:dyDescent="0.25">
      <c r="A1" s="8" t="s">
        <v>187</v>
      </c>
      <c r="B1" s="8" t="s">
        <v>186</v>
      </c>
      <c r="C1" s="8" t="s">
        <v>185</v>
      </c>
    </row>
    <row r="2" spans="1:3" x14ac:dyDescent="0.25">
      <c r="A2" s="7" t="s">
        <v>184</v>
      </c>
      <c r="B2" s="7" t="s">
        <v>183</v>
      </c>
      <c r="C2" s="7" t="s">
        <v>182</v>
      </c>
    </row>
    <row r="3" spans="1:3" x14ac:dyDescent="0.25">
      <c r="A3" s="7" t="s">
        <v>181</v>
      </c>
      <c r="B3" s="7">
        <v>0.75</v>
      </c>
      <c r="C3" s="7" t="s">
        <v>179</v>
      </c>
    </row>
    <row r="4" spans="1:3" x14ac:dyDescent="0.25">
      <c r="A4" s="7" t="s">
        <v>180</v>
      </c>
      <c r="B4" s="7">
        <v>0.01</v>
      </c>
      <c r="C4" s="7" t="s">
        <v>179</v>
      </c>
    </row>
    <row r="5" spans="1:3" x14ac:dyDescent="0.25">
      <c r="A5" s="7" t="s">
        <v>178</v>
      </c>
      <c r="B5" s="7">
        <v>100</v>
      </c>
      <c r="C5" s="7" t="s">
        <v>177</v>
      </c>
    </row>
    <row r="6" spans="1:3" x14ac:dyDescent="0.25">
      <c r="A6" s="7" t="s">
        <v>176</v>
      </c>
      <c r="B6" s="7" t="b">
        <v>1</v>
      </c>
      <c r="C6" s="7" t="s">
        <v>175</v>
      </c>
    </row>
  </sheetData>
  <dataValidations count="4">
    <dataValidation type="custom" allowBlank="1" showInputMessage="1" showErrorMessage="1" sqref="B5" xr:uid="{94AA1909-8159-4ABD-8194-E5CC31B00066}">
      <formula1>AND(ISNUMBER(B5),B5=INT(B5))</formula1>
    </dataValidation>
    <dataValidation type="list" allowBlank="1" showInputMessage="1" showErrorMessage="1" sqref="B2" xr:uid="{73A82C8D-457E-4F26-8920-E365EC9333FD}">
      <formula1>"form,numerical_integration,crude_monte_carlo,importance_sampling,directional_sampling,subset_simulation,numerical_bisection,latin_hypercube,cobyla_reliability,form_then_directional_sampling,directional_sampling_then_form"</formula1>
    </dataValidation>
    <dataValidation type="list" allowBlank="1" showInputMessage="1" showErrorMessage="1" sqref="B6" xr:uid="{05F071D7-CE12-4A8B-B2AB-37DFC65D1C77}">
      <formula1>"True,False"</formula1>
    </dataValidation>
    <dataValidation type="custom" showInputMessage="1" showErrorMessage="1" sqref="B3:B4" xr:uid="{0F940659-071E-4396-94AE-334C05124B18}">
      <formula1>ISNUMBER(B3)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Vakken</vt:lpstr>
      <vt:lpstr>Uittredepunten</vt:lpstr>
      <vt:lpstr>Ondergrondscenarios</vt:lpstr>
      <vt:lpstr>Overzicht_parameters</vt:lpstr>
      <vt:lpstr>Settings</vt:lpstr>
    </vt:vector>
  </TitlesOfParts>
  <Company>Waterschap Hollandse 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Ophof</dc:creator>
  <cp:lastModifiedBy>Pitzalis, Chris</cp:lastModifiedBy>
  <dcterms:created xsi:type="dcterms:W3CDTF">2025-04-30T09:21:20Z</dcterms:created>
  <dcterms:modified xsi:type="dcterms:W3CDTF">2025-09-29T13:22:13Z</dcterms:modified>
</cp:coreProperties>
</file>