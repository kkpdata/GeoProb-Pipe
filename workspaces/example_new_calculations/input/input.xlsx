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op\Documents\GeoProb-Pipe\workspaces\example_new_calculations\input\"/>
    </mc:Choice>
  </mc:AlternateContent>
  <xr:revisionPtr revIDLastSave="0" documentId="13_ncr:1_{4FB427C6-6B29-41A0-A209-FAFB22771210}" xr6:coauthVersionLast="47" xr6:coauthVersionMax="47" xr10:uidLastSave="{00000000-0000-0000-0000-000000000000}"/>
  <bookViews>
    <workbookView xWindow="-108" yWindow="-108" windowWidth="23256" windowHeight="12456" activeTab="2" xr2:uid="{E14FA4F5-43AA-4DAE-BCE2-7688F4F5853B}"/>
  </bookViews>
  <sheets>
    <sheet name="Vakken" sheetId="1" r:id="rId1"/>
    <sheet name="Uittredepunten" sheetId="4" r:id="rId2"/>
    <sheet name="Ondergrondscenarios" sheetId="3" r:id="rId3"/>
    <sheet name="Overzicht_parameters" sheetId="2" r:id="rId4"/>
    <sheet name="Sett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3" l="1"/>
  <c r="I1" i="1"/>
  <c r="N1" i="3"/>
  <c r="L1" i="3"/>
  <c r="J1" i="3"/>
  <c r="H1" i="3"/>
  <c r="F1" i="3"/>
</calcChain>
</file>

<file path=xl/sharedStrings.xml><?xml version="1.0" encoding="utf-8"?>
<sst xmlns="http://schemas.openxmlformats.org/spreadsheetml/2006/main" count="837" uniqueCount="233">
  <si>
    <t>M_van</t>
  </si>
  <si>
    <t>M_tot</t>
  </si>
  <si>
    <t>mv_achterland_vak</t>
  </si>
  <si>
    <t>L_achterland</t>
  </si>
  <si>
    <t>c_voorland_mean</t>
  </si>
  <si>
    <t>c_achterland_mean</t>
  </si>
  <si>
    <t>0-41.033+014</t>
  </si>
  <si>
    <t>41.033+014-41.033+034 coupure Mook</t>
  </si>
  <si>
    <t>41.033+034-41.033+088 spoordijk</t>
  </si>
  <si>
    <t>41.033+088-41.034+088</t>
  </si>
  <si>
    <t>41.034+088-41.038+067</t>
  </si>
  <si>
    <t>41.038+067-HD000.+071</t>
  </si>
  <si>
    <t>HD000.+071-HD003.+000</t>
  </si>
  <si>
    <t>HD003.+000-HD006.+070</t>
  </si>
  <si>
    <t>HD006.+070-HD009.+000</t>
  </si>
  <si>
    <t>L_intrede</t>
  </si>
  <si>
    <t>L_but</t>
  </si>
  <si>
    <t>L_bit</t>
  </si>
  <si>
    <t>buitenwaterstand</t>
  </si>
  <si>
    <t>mv_exit</t>
  </si>
  <si>
    <t>polderpeil</t>
  </si>
  <si>
    <t>&gt;10 m binnenteen</t>
  </si>
  <si>
    <t>&lt;10 m binnenteen</t>
  </si>
  <si>
    <t>Watergang</t>
  </si>
  <si>
    <t>top_zand_mean</t>
  </si>
  <si>
    <t>gamma_sat_deklaag_mean</t>
  </si>
  <si>
    <t>D_wvp_mean</t>
  </si>
  <si>
    <t>kD_wvp_mean</t>
  </si>
  <si>
    <t>d70_mean</t>
  </si>
  <si>
    <t>PL</t>
  </si>
  <si>
    <t>HL</t>
  </si>
  <si>
    <t>TZ</t>
  </si>
  <si>
    <t>m</t>
  </si>
  <si>
    <t>input</t>
  </si>
  <si>
    <t>_stdev</t>
  </si>
  <si>
    <t>_vc</t>
  </si>
  <si>
    <t>Vakken</t>
  </si>
  <si>
    <t>m+NAP</t>
  </si>
  <si>
    <t>Representatieve bodemhoogte achterland binnen een vak</t>
  </si>
  <si>
    <t>top_zand</t>
  </si>
  <si>
    <t>Geschematiseerde top van het zak in het vak</t>
  </si>
  <si>
    <t>normal</t>
  </si>
  <si>
    <t>gamma_sat_deklaag</t>
  </si>
  <si>
    <t>Gemiddeld volumegewicht van de deklaag</t>
  </si>
  <si>
    <t>kN/m^3</t>
  </si>
  <si>
    <t>d_deklaag</t>
  </si>
  <si>
    <t>Dikte van de cohesieve deklaag</t>
  </si>
  <si>
    <t>d_deklaag_vak</t>
  </si>
  <si>
    <t>Dikte van de cohesieve deklaag van het vak</t>
  </si>
  <si>
    <t>gamma_water</t>
  </si>
  <si>
    <t>Volumegewicht van water</t>
  </si>
  <si>
    <t>kD_wvp</t>
  </si>
  <si>
    <t>Transmissiviteit van het watervoerende pakket</t>
  </si>
  <si>
    <t>m^2/dag</t>
  </si>
  <si>
    <t>D_wvp</t>
  </si>
  <si>
    <t>Dikte van het watervoerende pakket</t>
  </si>
  <si>
    <t>k_wvp</t>
  </si>
  <si>
    <t>Doorlatendheid van het watervoerende pakket</t>
  </si>
  <si>
    <t>m/d</t>
  </si>
  <si>
    <t>d70</t>
  </si>
  <si>
    <t>70% percentiel van de korrelverdeling</t>
  </si>
  <si>
    <t>let op of prob toolkit met de eenheid meters om kan gaan</t>
  </si>
  <si>
    <t>c_voorland</t>
  </si>
  <si>
    <t>Weerstand van de deklaag in het voorland</t>
  </si>
  <si>
    <t>dag</t>
  </si>
  <si>
    <t>c_achterland</t>
  </si>
  <si>
    <t>Weerstand van de deklaag in het achterland</t>
  </si>
  <si>
    <t>modelfactor_u</t>
  </si>
  <si>
    <t>modelfactor voor uplift</t>
  </si>
  <si>
    <t>[-]</t>
  </si>
  <si>
    <t>modelfactor_h</t>
  </si>
  <si>
    <t>modelfactor_p</t>
  </si>
  <si>
    <t>modelfactor voor piping</t>
  </si>
  <si>
    <t>i_c_h</t>
  </si>
  <si>
    <t>Kritieke heave gradiënt</t>
  </si>
  <si>
    <t>Constanten</t>
  </si>
  <si>
    <t>r_c_deklaag</t>
  </si>
  <si>
    <t>Reductieconstante van het verval over de deklaag</t>
  </si>
  <si>
    <t>eta</t>
  </si>
  <si>
    <t>White's weerstandscoefficient (sleepkrachtfactor, constante van White) – Sellmeijer [-]</t>
  </si>
  <si>
    <t>r_exit</t>
  </si>
  <si>
    <t>output</t>
  </si>
  <si>
    <t>phi_exit</t>
  </si>
  <si>
    <t>h_exit</t>
  </si>
  <si>
    <t>Benedestroomse randvoorwaarde verval</t>
  </si>
  <si>
    <t>calculated</t>
  </si>
  <si>
    <t>L_kwelweg</t>
  </si>
  <si>
    <t>Kwelweglengte</t>
  </si>
  <si>
    <t>theta</t>
  </si>
  <si>
    <t>Rolweerstandshoek – Sellmeijer</t>
  </si>
  <si>
    <t>[graden]</t>
  </si>
  <si>
    <t>d70_m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</si>
  <si>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</si>
  <si>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</si>
  <si>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</si>
  <si>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</si>
  <si>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</si>
  <si>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</si>
  <si>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gamma_korrel</t>
  </si>
  <si>
    <t>Volumieke dichtheid zand onder water – Sellmeijer</t>
  </si>
  <si>
    <t>dphi_c_u</t>
  </si>
  <si>
    <t>grenspotentiaal ten opzicht van maaiveld</t>
  </si>
  <si>
    <t>dh_red</t>
  </si>
  <si>
    <t>Gereduceerd verval</t>
  </si>
  <si>
    <t>i_exit</t>
  </si>
  <si>
    <t>Optredende heave gradient</t>
  </si>
  <si>
    <t>dh_c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</si>
  <si>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</si>
  <si>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</si>
  <si>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</si>
  <si>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</si>
  <si>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</si>
  <si>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</si>
  <si>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</si>
  <si>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Z_combi</t>
  </si>
  <si>
    <t>Gecombineerde grenstoestand</t>
  </si>
  <si>
    <t>L_voorland</t>
  </si>
  <si>
    <t>Geometrische voorlandlengte</t>
  </si>
  <si>
    <t>L_dijk</t>
  </si>
  <si>
    <t>Dijkzate</t>
  </si>
  <si>
    <t>lambda_voorland</t>
  </si>
  <si>
    <t>Spreidingslengte van het voorland</t>
  </si>
  <si>
    <t>lambda_achterland</t>
  </si>
  <si>
    <t>Spreidingslengte van het achterland</t>
  </si>
  <si>
    <t>W_voorland</t>
  </si>
  <si>
    <t>Geohydrologische weerstand van het voorland</t>
  </si>
  <si>
    <t>W_achterland</t>
  </si>
  <si>
    <t>Geohydrologische weerstand van het achterland</t>
  </si>
  <si>
    <t>FoS_u</t>
  </si>
  <si>
    <t>Veiligheidsfactor Uplift</t>
  </si>
  <si>
    <t>FoS_h</t>
  </si>
  <si>
    <t>Veiligheidsfactor Heave</t>
  </si>
  <si>
    <t>FoS_p</t>
  </si>
  <si>
    <t>Veiligheidsfactor Piping</t>
  </si>
  <si>
    <t>k_v_boven_gws</t>
  </si>
  <si>
    <t>Verticale doorlatendheid deklaag boven grondwaterstand</t>
  </si>
  <si>
    <t>k_v_onder_gws</t>
  </si>
  <si>
    <t>Verticale doorlatendheid deklaag onder grondwaterstand</t>
  </si>
  <si>
    <t>gws_m_mv</t>
  </si>
  <si>
    <t>Grondwaterstand meters min maaiveld (scheiding verticale doorlatendheid)</t>
  </si>
  <si>
    <t>vak_id</t>
  </si>
  <si>
    <t>vak_naam</t>
  </si>
  <si>
    <t>vak_lengte</t>
  </si>
  <si>
    <t>uittredelocatie</t>
  </si>
  <si>
    <t>M_value</t>
  </si>
  <si>
    <t>hydra_locatie_id</t>
  </si>
  <si>
    <t>uittredepunt_id</t>
  </si>
  <si>
    <t>uittredepunt_x_coord</t>
  </si>
  <si>
    <t>uittredepunt_y_coord</t>
  </si>
  <si>
    <t>ondergrondscenario_id</t>
  </si>
  <si>
    <t>ondergrondscenario_naam</t>
  </si>
  <si>
    <t>ondergrondscenario_kans</t>
  </si>
  <si>
    <t>potentiaalberekening</t>
  </si>
  <si>
    <t>opmerkingen</t>
  </si>
  <si>
    <t>limit_state_uplift</t>
  </si>
  <si>
    <t>limit_state_heave</t>
  </si>
  <si>
    <t>limit_state_piping</t>
  </si>
  <si>
    <t xml:space="preserve">n </t>
  </si>
  <si>
    <t>Uittredepunten</t>
  </si>
  <si>
    <t>Dempingsfactor bij Uittredepunten</t>
  </si>
  <si>
    <t>Ondergrondscenarios</t>
  </si>
  <si>
    <t>Theoretische stijghoogte bij uittredepunten</t>
  </si>
  <si>
    <t>Polderpeil ter plaatse van uittredepunten</t>
  </si>
  <si>
    <t>Bodemhoogte ter plaatse van uittredepunten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</si>
  <si>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</si>
  <si>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</si>
  <si>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</si>
  <si>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</si>
  <si>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RD x</t>
  </si>
  <si>
    <t>RD y</t>
  </si>
  <si>
    <t>vrij in te vullen</t>
  </si>
  <si>
    <t>geheel getal startend bij 1</t>
  </si>
  <si>
    <t>?</t>
  </si>
  <si>
    <t>0 ≤ x ≤ 1</t>
  </si>
  <si>
    <t>Kans van optreden van ondergrondscenario</t>
  </si>
  <si>
    <t>Identificatienummer van het ondergrondscenario, wordt gebruikt in de tool</t>
  </si>
  <si>
    <t>Identificatienummer van het uittredepunt, wordt gebruikt in de tool</t>
  </si>
  <si>
    <t>Identificatienummer van het vak, wordt gebruikt in de tool</t>
  </si>
  <si>
    <t xml:space="preserve">Naam van het vak zoals deze door gebruiker wordt gedefinieerd </t>
  </si>
  <si>
    <t xml:space="preserve">Naam van het ondergrondscenario zoals deze door gebruiker wordt gedefinieerd </t>
  </si>
  <si>
    <t xml:space="preserve">Lengte van het vak </t>
  </si>
  <si>
    <t>X-coordinaat van het uittrededpunt</t>
  </si>
  <si>
    <t>Y-coordinaat van het uittrededpunt</t>
  </si>
  <si>
    <t>Omschrijving van de uittredelocatie</t>
  </si>
  <si>
    <t>Calculated variables</t>
  </si>
  <si>
    <t>deterministic</t>
  </si>
  <si>
    <t>by functional design &gt;0,1 m</t>
  </si>
  <si>
    <t>log_normal</t>
  </si>
  <si>
    <t>bool</t>
  </si>
  <si>
    <t>save_realizations</t>
  </si>
  <si>
    <t>int</t>
  </si>
  <si>
    <t>maximum_iterations</t>
  </si>
  <si>
    <t>int / float</t>
  </si>
  <si>
    <t>variation_coefficient</t>
  </si>
  <si>
    <t>relaxation_factor</t>
  </si>
  <si>
    <t>str</t>
  </si>
  <si>
    <t>form</t>
  </si>
  <si>
    <t>reliability_method</t>
  </si>
  <si>
    <t>type</t>
  </si>
  <si>
    <t>value</t>
  </si>
  <si>
    <t>name</t>
  </si>
  <si>
    <t>metadata</t>
  </si>
  <si>
    <t>variable</t>
  </si>
  <si>
    <t>constant</t>
  </si>
  <si>
    <t>parameter_description</t>
  </si>
  <si>
    <t>parameter_unit</t>
  </si>
  <si>
    <t>parameter_type</t>
  </si>
  <si>
    <t>parameter_distribution</t>
  </si>
  <si>
    <t>parameter_spreidingstype</t>
  </si>
  <si>
    <t>parameter_default_value_mean</t>
  </si>
  <si>
    <t>parameter_mean_lower_bound</t>
  </si>
  <si>
    <t>parameter_mean_upper_bound</t>
  </si>
  <si>
    <t>parameter_member_of</t>
  </si>
  <si>
    <t>parameter_name</t>
  </si>
  <si>
    <t>parameter_default_value_spreiding</t>
  </si>
  <si>
    <t>m^2/s</t>
  </si>
  <si>
    <t>MA_1_41-4_dk_00004</t>
  </si>
  <si>
    <t>MA_1_41-4_dk_00005</t>
  </si>
  <si>
    <t>MA_1_41-4_dk_00006</t>
  </si>
  <si>
    <t>MA_1_41-4_dk_00007</t>
  </si>
  <si>
    <t>MA_1_41-4_dk_00008</t>
  </si>
  <si>
    <t>MA_1_41-4_dk_00009</t>
  </si>
  <si>
    <t>MA_1_41-4_dk_00010</t>
  </si>
  <si>
    <t>MA_1_41-4_dk_00011</t>
  </si>
  <si>
    <t>MA_1_41-4_dk_00012</t>
  </si>
  <si>
    <t>MA_1_41-4_dk_00013</t>
  </si>
  <si>
    <t>MA_1_41-4_dk_00014</t>
  </si>
  <si>
    <t>MA_1_41-4_dk_00015</t>
  </si>
  <si>
    <t>MA_1_41-4_dk_00016</t>
  </si>
  <si>
    <t>MA_1_41-4_dk_00017</t>
  </si>
  <si>
    <t>MA_1_41-4_dk_00018</t>
  </si>
  <si>
    <t>o.b.v. overschrijdingsfrequentielijn berekend met Pydra in Python</t>
  </si>
  <si>
    <t>Buitenwaterstand, o.b.v. overschrijdingsfrequentielijn berekend met Pydra in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</si>
</sst>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1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1" fillId="0" borderId="0" xfId="1"/>
    <xf numFmtId="0" fontId="3" fillId="0" borderId="0" xfId="1" applyFont="1"/>
  </cellXfs>
  <cellStyles count="2">
    <cellStyle name="Normal 2" xfId="1" xr:uid="{11010186-4FF4-48E2-AD4E-93BC10A29908}"/>
    <cellStyle name="Standaard" xfId="0" builtinId="0"/>
  </cellStyles>
  <dxfs count="1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DF574F-BB2D-4F45-983A-2F40030BA30E}" name="Tabel8" displayName="Tabel8" ref="A2:K10" headerRowCount="0" totalsRowShown="0">
  <tableColumns count="11">
    <tableColumn id="1" xr3:uid="{ED91B529-5CA2-45E4-9C35-FB2791BC9472}" name="Kolom1"/>
    <tableColumn id="2" xr3:uid="{6451F148-AA59-4DB3-B134-BC4EA4C09A38}" name="Kolom2"/>
    <tableColumn id="3" xr3:uid="{ED3D5EAC-E087-4743-8487-EF8C4C707E15}" name="Kolom3"/>
    <tableColumn id="4" xr3:uid="{96F9E6E9-B6AE-4D96-B29D-4E3954133940}" name="Kolom4"/>
    <tableColumn id="5" xr3:uid="{B8EB618A-EC9D-4075-A22E-E29A6DDD8687}" name="Kolom5"/>
    <tableColumn id="6" xr3:uid="{14683B6E-A235-4D4A-AC6B-DF84FDD07CB0}" name="Kolom6"/>
    <tableColumn id="7" xr3:uid="{7D04DB3F-88A2-4BEA-BA56-E8C526AE5450}" name="Kolom7"/>
    <tableColumn id="8" xr3:uid="{E43E242C-E2DF-40D4-9306-2F6E194C37B4}" name="Kolom8"/>
    <tableColumn id="9" xr3:uid="{0A91B959-6FA5-4373-8F21-907B723707BA}" name="Kolom9"/>
    <tableColumn id="10" xr3:uid="{7C7DBA02-8FF7-4CB2-9A10-B2F42A3F041C}" name="Kolom10"/>
    <tableColumn id="11" xr3:uid="{4D2C6EEB-BD36-4D62-BA43-E0E9049ADB77}" name="Kolom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DB1DEC-E085-4F6B-B7C4-D4E6DD7E1A8E}" name="Tabel9" displayName="Tabel9" ref="A2:M103" headerRowCount="0" totalsRowShown="0">
  <tableColumns count="13">
    <tableColumn id="2" xr3:uid="{8990A576-5075-4246-8F9A-BA6C41A7A01C}" name="Kolom2"/>
    <tableColumn id="15" xr3:uid="{5ACFB144-9626-4B12-88BF-8A0D8D4CFFEC}" name="Column1"/>
    <tableColumn id="3" xr3:uid="{49D363D0-5442-4E42-91BC-AD82E3246FFD}" name="Kolom3"/>
    <tableColumn id="4" xr3:uid="{2B5B55CC-C9C3-42B2-9AFA-CB70AF604173}" name="Kolom4"/>
    <tableColumn id="5" xr3:uid="{AA47A627-CE95-4D80-9EBB-2C3556F0D6AE}" name="Kolom5"/>
    <tableColumn id="6" xr3:uid="{FE4CD4EE-BBA8-49D2-8CDD-3642B2B793B6}" name="Kolom6"/>
    <tableColumn id="7" xr3:uid="{5E87C684-F526-4603-92AC-32E71D1B013D}" name="Kolom7"/>
    <tableColumn id="8" xr3:uid="{66C5E5CE-6B91-43CE-A35C-9AC14F9D1F35}" name="Kolom8"/>
    <tableColumn id="9" xr3:uid="{C7E61DAC-831F-4734-9A0F-D17FA66D5C5C}" name="Kolom9"/>
    <tableColumn id="10" xr3:uid="{DC962EDF-740C-439F-836D-211E1F74A71C}" name="Kolom10"/>
    <tableColumn id="11" xr3:uid="{2DF82AEB-01BF-44F4-BB8B-81DDACEA5D0F}" name="Kolom11"/>
    <tableColumn id="13" xr3:uid="{D266588F-C618-4806-A218-A5D90FF4D5E3}" name="Kolom13"/>
    <tableColumn id="14" xr3:uid="{C17CFC23-4C11-4C47-AEE5-4FB4BCCD1A66}" name="Kolom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44274D-7B34-420F-9662-89C5C9A298BD}" name="Tabel10" displayName="Tabel10" ref="A2:P55" headerRowCount="0" totalsRowShown="0">
  <tableColumns count="16">
    <tableColumn id="2" xr3:uid="{E80206AD-C5FD-4475-B5E4-08A08DA66E4A}" name="Kolom2"/>
    <tableColumn id="13" xr3:uid="{39F38892-EB92-4E2D-A4CE-461B1DC8B27E}" name="Column1"/>
    <tableColumn id="3" xr3:uid="{1769008F-0E39-48C3-B6C5-959D62F52592}" name="Kolom3"/>
    <tableColumn id="4" xr3:uid="{DFE5E45D-588E-4E07-BEFE-30F8B98F73E8}" name="Kolom4"/>
    <tableColumn id="5" xr3:uid="{D8D86CD9-C3BF-42A4-A962-B1DB26AE3B59}" name="Kolom5"/>
    <tableColumn id="6" xr3:uid="{7BE88CD6-31E3-4118-B387-294A1FF1B8B4}" name="Kolom6"/>
    <tableColumn id="7" xr3:uid="{6C73C0C2-7F10-4F3F-8B62-E3B2A460FC52}" name="Kolom7"/>
    <tableColumn id="8" xr3:uid="{44A8D682-C1F2-412E-9F5A-3E4254057E71}" name="Kolom8"/>
    <tableColumn id="9" xr3:uid="{DE4A1EC2-2C76-4840-9AF4-87A3533169E8}" name="Kolom9"/>
    <tableColumn id="10" xr3:uid="{30E95029-7E84-4404-97EA-CC899B222DC3}" name="Kolom10"/>
    <tableColumn id="11" xr3:uid="{21D2E504-CBB5-45F7-9119-E1DA7B53C2D5}" name="Kolom11"/>
    <tableColumn id="12" xr3:uid="{FF7176FB-923E-4ECE-83AA-046E768AD06C}" name="Kolom12"/>
    <tableColumn id="14" xr3:uid="{4E1A767E-8059-4EF5-B52B-A1637577AFDF}" name="Kolom14" headerRowDxfId="9" dataDxfId="8"/>
    <tableColumn id="15" xr3:uid="{E12738E9-E3E4-4A5D-81C1-E333D11489B2}" name="Kolom15"/>
    <tableColumn id="1" xr3:uid="{91551BCD-3114-41AE-9A7A-4845F967A1F2}" name="Kolom1"/>
    <tableColumn id="16" xr3:uid="{5F264CE0-A1C7-48AF-B549-08E4BC8DFD75}" name="Kolom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E0F829-0060-4D7E-94D4-430EA87FED82}" name="Tabel12" displayName="Tabel12" ref="A2:P69" headerRowCount="0" totalsRowShown="0">
  <sortState xmlns:xlrd2="http://schemas.microsoft.com/office/spreadsheetml/2017/richdata2" ref="A2:P69">
    <sortCondition ref="D2:D69" customList="Input,Input,can also be calculated,Constant,Calculated"/>
    <sortCondition ref="A2:A69"/>
  </sortState>
  <tableColumns count="16">
    <tableColumn id="1" xr3:uid="{EE720E76-FC11-4E08-B57C-F3D8111FE800}" name="Kolom1"/>
    <tableColumn id="2" xr3:uid="{66F7EFD3-0F64-415D-88D4-AD6599AC5089}" name="Kolom2"/>
    <tableColumn id="3" xr3:uid="{48C513D2-93DE-4283-A964-0D3B1D63EF63}" name="Kolom3"/>
    <tableColumn id="4" xr3:uid="{61DC9A24-32A8-458F-B848-AC66089F8FD5}" name="Kolom4"/>
    <tableColumn id="5" xr3:uid="{40734F50-32AE-422A-8AE6-7C31490B3045}" name="Kolom5"/>
    <tableColumn id="6" xr3:uid="{FA05A46A-DA45-4C6A-9D17-689A03B15BA8}" name="Kolom6"/>
    <tableColumn id="7" xr3:uid="{25871E16-DA07-4B31-A7EF-FBA1FEE488DB}" name="Kolom7"/>
    <tableColumn id="8" xr3:uid="{A229D98E-F2F0-4491-8C3C-1FB943EA5058}" name="Kolom8"/>
    <tableColumn id="9" xr3:uid="{1FBE756B-5426-4436-B3C8-55410DF75FDB}" name="Kolom9" headerRowDxfId="7"/>
    <tableColumn id="10" xr3:uid="{B851468F-D94B-4F13-9CF8-13DADE13A2A8}" name="Kolom10" headerRowDxfId="6"/>
    <tableColumn id="11" xr3:uid="{41B8BB8E-854F-4E90-B76F-4066FB0CA9A2}" name="Kolom11" headerRowDxfId="5" dataDxfId="4"/>
    <tableColumn id="12" xr3:uid="{E7B2F49E-191F-4D24-8883-DCCF4F196399}" name="Kolom12"/>
    <tableColumn id="13" xr3:uid="{1DB6223F-5250-48AD-B68D-FD511FFC8150}" name="Kolom13"/>
    <tableColumn id="14" xr3:uid="{B2104B25-DEBD-4E44-A26A-46A71C2A832D}" name="Kolom14"/>
    <tableColumn id="15" xr3:uid="{0B80B0AD-EE09-4A75-A09F-6541B44DA3E7}" name="Kolom15"/>
    <tableColumn id="16" xr3:uid="{807212F3-1423-455D-9805-4EB3A756BDE1}" name="Kolom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53AA-AAA1-47E5-9332-CA169F978D7A}">
  <dimension ref="A1:I10"/>
  <sheetViews>
    <sheetView topLeftCell="C1" zoomScale="130" zoomScaleNormal="130" workbookViewId="0">
      <selection activeCell="J1" sqref="J1:K1048576"/>
    </sheetView>
  </sheetViews>
  <sheetFormatPr defaultRowHeight="11.4" x14ac:dyDescent="0.2"/>
  <cols>
    <col min="1" max="1" width="8.19921875" customWidth="1"/>
    <col min="2" max="2" width="32.8984375" bestFit="1" customWidth="1"/>
    <col min="3" max="4" width="8.19921875" customWidth="1"/>
    <col min="5" max="5" width="16.59765625" customWidth="1"/>
    <col min="6" max="6" width="16.3984375" bestFit="1" customWidth="1"/>
    <col min="7" max="7" width="11.09765625" bestFit="1" customWidth="1"/>
    <col min="8" max="8" width="15" bestFit="1" customWidth="1"/>
    <col min="9" max="9" width="17.3984375" customWidth="1"/>
  </cols>
  <sheetData>
    <row r="1" spans="1:9" s="5" customFormat="1" x14ac:dyDescent="0.2">
      <c r="A1" s="4" t="s">
        <v>140</v>
      </c>
      <c r="B1" s="4" t="s">
        <v>141</v>
      </c>
      <c r="C1" s="4" t="s">
        <v>0</v>
      </c>
      <c r="D1" s="4" t="s">
        <v>1</v>
      </c>
      <c r="E1" s="4" t="s">
        <v>142</v>
      </c>
      <c r="F1" s="4" t="s">
        <v>2</v>
      </c>
      <c r="G1" s="4" t="s">
        <v>3</v>
      </c>
      <c r="H1" s="4" t="s">
        <v>4</v>
      </c>
      <c r="I1" s="4" t="str">
        <f>LEFT(H1,LEN(H1)-5)&amp;VLOOKUP(LEFT(H1,LEN(H1)-5),Overzicht_parameters!$A$2:$F$69,6,(FALSE))</f>
        <v>c_voorland_stdev</v>
      </c>
    </row>
    <row r="2" spans="1:9" x14ac:dyDescent="0.2">
      <c r="A2">
        <v>1</v>
      </c>
      <c r="B2" t="s">
        <v>6</v>
      </c>
      <c r="C2">
        <v>0</v>
      </c>
      <c r="D2">
        <v>26.7</v>
      </c>
      <c r="E2">
        <v>26.7</v>
      </c>
      <c r="F2">
        <v>10.5</v>
      </c>
      <c r="G2">
        <v>3500</v>
      </c>
      <c r="H2">
        <v>10</v>
      </c>
      <c r="I2">
        <v>0.15</v>
      </c>
    </row>
    <row r="3" spans="1:9" x14ac:dyDescent="0.2">
      <c r="A3">
        <v>2</v>
      </c>
      <c r="B3" t="s">
        <v>7</v>
      </c>
      <c r="C3">
        <v>26.7</v>
      </c>
      <c r="D3">
        <v>46.6</v>
      </c>
      <c r="E3">
        <v>19.899999999999999</v>
      </c>
      <c r="F3">
        <v>10.5</v>
      </c>
      <c r="G3">
        <v>3500</v>
      </c>
      <c r="H3">
        <v>10</v>
      </c>
      <c r="I3">
        <v>0.15</v>
      </c>
    </row>
    <row r="4" spans="1:9" x14ac:dyDescent="0.2">
      <c r="A4">
        <v>3</v>
      </c>
      <c r="B4" t="s">
        <v>8</v>
      </c>
      <c r="C4">
        <v>46.6</v>
      </c>
      <c r="D4">
        <v>101</v>
      </c>
      <c r="E4">
        <v>54.4</v>
      </c>
      <c r="F4">
        <v>10.5</v>
      </c>
      <c r="G4">
        <v>3500</v>
      </c>
      <c r="H4">
        <v>10</v>
      </c>
      <c r="I4">
        <v>0.15</v>
      </c>
    </row>
    <row r="5" spans="1:9" x14ac:dyDescent="0.2">
      <c r="A5">
        <v>4</v>
      </c>
      <c r="B5" t="s">
        <v>9</v>
      </c>
      <c r="C5">
        <v>101</v>
      </c>
      <c r="D5">
        <v>200</v>
      </c>
      <c r="E5">
        <v>99</v>
      </c>
      <c r="F5">
        <v>10.65</v>
      </c>
      <c r="G5">
        <v>3500</v>
      </c>
      <c r="H5">
        <v>10</v>
      </c>
      <c r="I5">
        <v>0.15</v>
      </c>
    </row>
    <row r="6" spans="1:9" x14ac:dyDescent="0.2">
      <c r="A6">
        <v>5</v>
      </c>
      <c r="B6" t="s">
        <v>10</v>
      </c>
      <c r="C6">
        <v>200</v>
      </c>
      <c r="D6">
        <v>580</v>
      </c>
      <c r="E6">
        <v>380</v>
      </c>
      <c r="F6">
        <v>10.65</v>
      </c>
      <c r="G6">
        <v>3500</v>
      </c>
      <c r="H6">
        <v>10</v>
      </c>
      <c r="I6">
        <v>0.15</v>
      </c>
    </row>
    <row r="7" spans="1:9" x14ac:dyDescent="0.2">
      <c r="A7">
        <v>6</v>
      </c>
      <c r="B7" t="s">
        <v>11</v>
      </c>
      <c r="C7">
        <v>580</v>
      </c>
      <c r="D7">
        <v>702.3</v>
      </c>
      <c r="E7">
        <v>122.3</v>
      </c>
      <c r="F7">
        <v>10.32332222</v>
      </c>
      <c r="G7">
        <v>3500</v>
      </c>
      <c r="H7">
        <v>10</v>
      </c>
      <c r="I7">
        <v>0.15</v>
      </c>
    </row>
    <row r="8" spans="1:9" x14ac:dyDescent="0.2">
      <c r="A8">
        <v>7</v>
      </c>
      <c r="B8" t="s">
        <v>12</v>
      </c>
      <c r="C8">
        <v>702.3</v>
      </c>
      <c r="D8">
        <v>932.7</v>
      </c>
      <c r="E8">
        <v>230.4</v>
      </c>
      <c r="F8">
        <v>9.6850000000000005</v>
      </c>
      <c r="G8">
        <v>3500</v>
      </c>
      <c r="H8">
        <v>10</v>
      </c>
      <c r="I8">
        <v>0.15</v>
      </c>
    </row>
    <row r="9" spans="1:9" x14ac:dyDescent="0.2">
      <c r="A9">
        <v>8</v>
      </c>
      <c r="B9" t="s">
        <v>13</v>
      </c>
      <c r="C9">
        <v>932.7</v>
      </c>
      <c r="D9">
        <v>1303.4000000000001</v>
      </c>
      <c r="E9">
        <v>370.7</v>
      </c>
      <c r="F9">
        <v>9.5903525129999991</v>
      </c>
      <c r="G9">
        <v>3500</v>
      </c>
      <c r="H9">
        <v>10</v>
      </c>
      <c r="I9">
        <v>0.15</v>
      </c>
    </row>
    <row r="10" spans="1:9" x14ac:dyDescent="0.2">
      <c r="A10">
        <v>9</v>
      </c>
      <c r="B10" t="s">
        <v>14</v>
      </c>
      <c r="C10">
        <v>1303.4000000000001</v>
      </c>
      <c r="D10">
        <v>1528.9</v>
      </c>
      <c r="E10">
        <v>225.5</v>
      </c>
      <c r="F10">
        <v>9.4749999999999996</v>
      </c>
      <c r="G10">
        <v>3500</v>
      </c>
      <c r="H10">
        <v>10</v>
      </c>
      <c r="I10">
        <v>0.15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7777-746E-45C0-BE11-D138C11C003A}">
  <dimension ref="A1:M103"/>
  <sheetViews>
    <sheetView zoomScale="115" zoomScaleNormal="115" workbookViewId="0">
      <selection activeCell="N2" sqref="N2"/>
    </sheetView>
  </sheetViews>
  <sheetFormatPr defaultRowHeight="11.4" x14ac:dyDescent="0.2"/>
  <cols>
    <col min="1" max="1" width="14" bestFit="1" customWidth="1"/>
    <col min="2" max="2" width="7.3984375" customWidth="1"/>
    <col min="3" max="4" width="19.3984375" bestFit="1" customWidth="1"/>
    <col min="5" max="5" width="15.5" bestFit="1" customWidth="1"/>
    <col min="6" max="6" width="8.8984375" bestFit="1" customWidth="1"/>
    <col min="7" max="7" width="29" bestFit="1" customWidth="1"/>
    <col min="8" max="8" width="8.3984375" bestFit="1" customWidth="1"/>
    <col min="9" max="9" width="7.8984375" bestFit="1" customWidth="1"/>
    <col min="10" max="10" width="8.19921875" customWidth="1"/>
    <col min="11" max="11" width="23.8984375" customWidth="1"/>
    <col min="12" max="12" width="11.8984375" bestFit="1" customWidth="1"/>
    <col min="13" max="13" width="8.59765625" bestFit="1" customWidth="1"/>
  </cols>
  <sheetData>
    <row r="1" spans="1:13" s="5" customFormat="1" x14ac:dyDescent="0.2">
      <c r="A1" s="4" t="s">
        <v>146</v>
      </c>
      <c r="B1" s="4" t="s">
        <v>140</v>
      </c>
      <c r="C1" s="4" t="s">
        <v>147</v>
      </c>
      <c r="D1" s="4" t="s">
        <v>148</v>
      </c>
      <c r="E1" s="4" t="s">
        <v>143</v>
      </c>
      <c r="F1" s="4" t="s">
        <v>144</v>
      </c>
      <c r="G1" s="4" t="s">
        <v>141</v>
      </c>
      <c r="H1" s="4" t="s">
        <v>15</v>
      </c>
      <c r="I1" s="4" t="s">
        <v>16</v>
      </c>
      <c r="J1" s="4" t="s">
        <v>17</v>
      </c>
      <c r="K1" s="4" t="s">
        <v>145</v>
      </c>
      <c r="L1" s="4" t="s">
        <v>19</v>
      </c>
      <c r="M1" s="4" t="s">
        <v>20</v>
      </c>
    </row>
    <row r="2" spans="1:13" x14ac:dyDescent="0.2">
      <c r="A2">
        <v>1</v>
      </c>
      <c r="B2">
        <v>1</v>
      </c>
      <c r="C2">
        <v>188535.09099999999</v>
      </c>
      <c r="D2">
        <v>418878.19900000002</v>
      </c>
      <c r="E2" t="s">
        <v>21</v>
      </c>
      <c r="F2">
        <v>8.4789999999999992</v>
      </c>
      <c r="G2" t="s">
        <v>6</v>
      </c>
      <c r="H2">
        <v>220.119</v>
      </c>
      <c r="I2">
        <v>110.515</v>
      </c>
      <c r="J2">
        <v>90.481999999999999</v>
      </c>
      <c r="K2" t="s">
        <v>216</v>
      </c>
      <c r="L2">
        <v>10.2043</v>
      </c>
      <c r="M2">
        <v>7.75</v>
      </c>
    </row>
    <row r="3" spans="1:13" x14ac:dyDescent="0.2">
      <c r="A3">
        <v>2</v>
      </c>
      <c r="B3">
        <v>3</v>
      </c>
      <c r="C3">
        <v>188488.46799999999</v>
      </c>
      <c r="D3">
        <v>418854.745</v>
      </c>
      <c r="E3" t="s">
        <v>21</v>
      </c>
      <c r="F3">
        <v>49.552</v>
      </c>
      <c r="G3" t="s">
        <v>8</v>
      </c>
      <c r="H3">
        <v>172.89500000000001</v>
      </c>
      <c r="I3">
        <v>62.963000000000001</v>
      </c>
      <c r="J3">
        <v>47.110999999999997</v>
      </c>
      <c r="K3" t="s">
        <v>216</v>
      </c>
      <c r="L3">
        <v>11.3071</v>
      </c>
      <c r="M3">
        <v>7.75</v>
      </c>
    </row>
    <row r="4" spans="1:13" x14ac:dyDescent="0.2">
      <c r="A4">
        <v>3</v>
      </c>
      <c r="B4">
        <v>4</v>
      </c>
      <c r="C4">
        <v>188448.99600000001</v>
      </c>
      <c r="D4">
        <v>418827.85800000001</v>
      </c>
      <c r="E4" t="s">
        <v>22</v>
      </c>
      <c r="F4">
        <v>147.995</v>
      </c>
      <c r="G4" t="s">
        <v>9</v>
      </c>
      <c r="H4">
        <v>127.381</v>
      </c>
      <c r="I4">
        <v>18.085999999999999</v>
      </c>
      <c r="J4">
        <v>3.133</v>
      </c>
      <c r="K4" t="s">
        <v>216</v>
      </c>
      <c r="L4">
        <v>14.162699999999999</v>
      </c>
      <c r="M4">
        <v>7.75</v>
      </c>
    </row>
    <row r="5" spans="1:13" x14ac:dyDescent="0.2">
      <c r="A5">
        <v>4</v>
      </c>
      <c r="B5">
        <v>4</v>
      </c>
      <c r="C5">
        <v>188412.38399999999</v>
      </c>
      <c r="D5">
        <v>418852.74300000002</v>
      </c>
      <c r="E5" t="s">
        <v>22</v>
      </c>
      <c r="F5">
        <v>192.261</v>
      </c>
      <c r="G5" t="s">
        <v>9</v>
      </c>
      <c r="H5">
        <v>124.376</v>
      </c>
      <c r="I5">
        <v>16.905000000000001</v>
      </c>
      <c r="J5">
        <v>3.5219999999999998</v>
      </c>
      <c r="K5" t="s">
        <v>217</v>
      </c>
      <c r="L5">
        <v>14.102399999999999</v>
      </c>
      <c r="M5">
        <v>7.75</v>
      </c>
    </row>
    <row r="6" spans="1:13" x14ac:dyDescent="0.2">
      <c r="A6">
        <v>5</v>
      </c>
      <c r="B6">
        <v>4</v>
      </c>
      <c r="C6">
        <v>188460.43700000001</v>
      </c>
      <c r="D6">
        <v>418871.62099999998</v>
      </c>
      <c r="E6" t="s">
        <v>21</v>
      </c>
      <c r="F6">
        <v>163.553</v>
      </c>
      <c r="G6" t="s">
        <v>9</v>
      </c>
      <c r="H6">
        <v>168.881</v>
      </c>
      <c r="I6">
        <v>60.292000000000002</v>
      </c>
      <c r="J6">
        <v>46.121000000000002</v>
      </c>
      <c r="K6" t="s">
        <v>216</v>
      </c>
      <c r="L6">
        <v>12.430300000000001</v>
      </c>
      <c r="M6">
        <v>7.75</v>
      </c>
    </row>
    <row r="7" spans="1:13" x14ac:dyDescent="0.2">
      <c r="A7">
        <v>6</v>
      </c>
      <c r="B7">
        <v>5</v>
      </c>
      <c r="C7">
        <v>188355.46400000001</v>
      </c>
      <c r="D7">
        <v>418892.50099999999</v>
      </c>
      <c r="E7" t="s">
        <v>22</v>
      </c>
      <c r="F7">
        <v>261.37900000000002</v>
      </c>
      <c r="G7" t="s">
        <v>10</v>
      </c>
      <c r="H7">
        <v>120.447</v>
      </c>
      <c r="I7">
        <v>19.428000000000001</v>
      </c>
      <c r="J7">
        <v>4.4450000000000003</v>
      </c>
      <c r="K7" t="s">
        <v>217</v>
      </c>
      <c r="L7">
        <v>13.128</v>
      </c>
      <c r="M7">
        <v>7.75</v>
      </c>
    </row>
    <row r="8" spans="1:13" x14ac:dyDescent="0.2">
      <c r="A8">
        <v>7</v>
      </c>
      <c r="B8">
        <v>5</v>
      </c>
      <c r="C8">
        <v>188366.61900000001</v>
      </c>
      <c r="D8">
        <v>418922.82</v>
      </c>
      <c r="E8" t="s">
        <v>21</v>
      </c>
      <c r="F8">
        <v>267.91199999999998</v>
      </c>
      <c r="G8" t="s">
        <v>10</v>
      </c>
      <c r="H8">
        <v>151.054</v>
      </c>
      <c r="I8">
        <v>50.954000000000001</v>
      </c>
      <c r="J8">
        <v>35.957999999999998</v>
      </c>
      <c r="K8" t="s">
        <v>217</v>
      </c>
      <c r="L8">
        <v>12.598000000000001</v>
      </c>
      <c r="M8">
        <v>7.75</v>
      </c>
    </row>
    <row r="9" spans="1:13" x14ac:dyDescent="0.2">
      <c r="A9">
        <v>8</v>
      </c>
      <c r="B9">
        <v>5</v>
      </c>
      <c r="C9">
        <v>188341.16200000001</v>
      </c>
      <c r="D9">
        <v>418899.93800000002</v>
      </c>
      <c r="E9" t="s">
        <v>22</v>
      </c>
      <c r="F9">
        <v>277.45100000000002</v>
      </c>
      <c r="G9" t="s">
        <v>10</v>
      </c>
      <c r="H9">
        <v>117.26300000000001</v>
      </c>
      <c r="I9">
        <v>18.332999999999998</v>
      </c>
      <c r="J9">
        <v>2.915</v>
      </c>
      <c r="K9" t="s">
        <v>217</v>
      </c>
      <c r="L9">
        <v>12.921900000000001</v>
      </c>
      <c r="M9">
        <v>7.75</v>
      </c>
    </row>
    <row r="10" spans="1:13" x14ac:dyDescent="0.2">
      <c r="A10">
        <v>9</v>
      </c>
      <c r="B10">
        <v>5</v>
      </c>
      <c r="C10">
        <v>188313.13099999999</v>
      </c>
      <c r="D10">
        <v>418917.386</v>
      </c>
      <c r="E10" t="s">
        <v>22</v>
      </c>
      <c r="F10">
        <v>310.37799999999999</v>
      </c>
      <c r="G10" t="s">
        <v>10</v>
      </c>
      <c r="H10">
        <v>113.259</v>
      </c>
      <c r="I10">
        <v>19.45</v>
      </c>
      <c r="J10">
        <v>3.0369999999999999</v>
      </c>
      <c r="K10" t="s">
        <v>218</v>
      </c>
      <c r="L10">
        <v>12.8507</v>
      </c>
      <c r="M10">
        <v>7.75</v>
      </c>
    </row>
    <row r="11" spans="1:13" x14ac:dyDescent="0.2">
      <c r="A11">
        <v>10</v>
      </c>
      <c r="B11">
        <v>5</v>
      </c>
      <c r="C11">
        <v>188258.785</v>
      </c>
      <c r="D11">
        <v>418947.99099999998</v>
      </c>
      <c r="E11" t="s">
        <v>22</v>
      </c>
      <c r="F11">
        <v>372.47800000000001</v>
      </c>
      <c r="G11" t="s">
        <v>10</v>
      </c>
      <c r="H11">
        <v>102.98699999999999</v>
      </c>
      <c r="I11">
        <v>18.824999999999999</v>
      </c>
      <c r="J11">
        <v>2.4630000000000001</v>
      </c>
      <c r="K11" t="s">
        <v>219</v>
      </c>
      <c r="L11">
        <v>12.9312</v>
      </c>
      <c r="M11">
        <v>7.75</v>
      </c>
    </row>
    <row r="12" spans="1:13" x14ac:dyDescent="0.2">
      <c r="A12">
        <v>11</v>
      </c>
      <c r="B12">
        <v>5</v>
      </c>
      <c r="C12">
        <v>188206.155</v>
      </c>
      <c r="D12">
        <v>418975.16399999999</v>
      </c>
      <c r="E12" t="s">
        <v>22</v>
      </c>
      <c r="F12">
        <v>431.47</v>
      </c>
      <c r="G12" t="s">
        <v>10</v>
      </c>
      <c r="H12">
        <v>91.12</v>
      </c>
      <c r="I12">
        <v>18.282</v>
      </c>
      <c r="J12">
        <v>3.2130000000000001</v>
      </c>
      <c r="K12" t="s">
        <v>219</v>
      </c>
      <c r="L12">
        <v>13.003399999999999</v>
      </c>
      <c r="M12">
        <v>7.75</v>
      </c>
    </row>
    <row r="13" spans="1:13" x14ac:dyDescent="0.2">
      <c r="A13">
        <v>12</v>
      </c>
      <c r="B13">
        <v>5</v>
      </c>
      <c r="C13">
        <v>188203.97399999999</v>
      </c>
      <c r="D13">
        <v>419023.45</v>
      </c>
      <c r="E13" t="s">
        <v>21</v>
      </c>
      <c r="F13">
        <v>453.46699999999998</v>
      </c>
      <c r="G13" t="s">
        <v>10</v>
      </c>
      <c r="H13">
        <v>127.34699999999999</v>
      </c>
      <c r="I13">
        <v>61.148000000000003</v>
      </c>
      <c r="J13">
        <v>45.564</v>
      </c>
      <c r="K13" t="s">
        <v>219</v>
      </c>
      <c r="L13">
        <v>10.3439</v>
      </c>
      <c r="M13">
        <v>7.75</v>
      </c>
    </row>
    <row r="14" spans="1:13" x14ac:dyDescent="0.2">
      <c r="A14">
        <v>13</v>
      </c>
      <c r="B14">
        <v>5</v>
      </c>
      <c r="C14">
        <v>188152.57800000001</v>
      </c>
      <c r="D14">
        <v>418998.86900000001</v>
      </c>
      <c r="E14" t="s">
        <v>22</v>
      </c>
      <c r="F14">
        <v>489.88200000000001</v>
      </c>
      <c r="G14" t="s">
        <v>10</v>
      </c>
      <c r="H14">
        <v>75.956999999999994</v>
      </c>
      <c r="I14">
        <v>17.192</v>
      </c>
      <c r="J14">
        <v>1.6319999999999999</v>
      </c>
      <c r="K14" t="s">
        <v>220</v>
      </c>
      <c r="L14">
        <v>12.850300000000001</v>
      </c>
      <c r="M14">
        <v>7.75</v>
      </c>
    </row>
    <row r="15" spans="1:13" x14ac:dyDescent="0.2">
      <c r="A15">
        <v>14</v>
      </c>
      <c r="B15">
        <v>5</v>
      </c>
      <c r="C15">
        <v>188093.584</v>
      </c>
      <c r="D15">
        <v>419025.68400000001</v>
      </c>
      <c r="E15" t="s">
        <v>22</v>
      </c>
      <c r="F15">
        <v>554.654</v>
      </c>
      <c r="G15" t="s">
        <v>10</v>
      </c>
      <c r="H15">
        <v>61.780999999999999</v>
      </c>
      <c r="I15">
        <v>19.518999999999998</v>
      </c>
      <c r="J15">
        <v>2.2530000000000001</v>
      </c>
      <c r="K15" t="s">
        <v>220</v>
      </c>
      <c r="L15">
        <v>12.824999999999999</v>
      </c>
      <c r="M15">
        <v>7.75</v>
      </c>
    </row>
    <row r="16" spans="1:13" x14ac:dyDescent="0.2">
      <c r="A16">
        <v>15</v>
      </c>
      <c r="B16">
        <v>5</v>
      </c>
      <c r="C16">
        <v>188092.655</v>
      </c>
      <c r="D16">
        <v>419053.89199999999</v>
      </c>
      <c r="E16" t="s">
        <v>21</v>
      </c>
      <c r="F16">
        <v>566.74599999999998</v>
      </c>
      <c r="G16" t="s">
        <v>10</v>
      </c>
      <c r="H16">
        <v>84.786000000000001</v>
      </c>
      <c r="I16">
        <v>46.13</v>
      </c>
      <c r="J16">
        <v>25.902000000000001</v>
      </c>
      <c r="K16" t="s">
        <v>220</v>
      </c>
      <c r="L16">
        <v>9.9861000000000004</v>
      </c>
      <c r="M16">
        <v>7.75</v>
      </c>
    </row>
    <row r="17" spans="1:13" x14ac:dyDescent="0.2">
      <c r="A17">
        <v>16</v>
      </c>
      <c r="B17">
        <v>6</v>
      </c>
      <c r="C17">
        <v>188069.57399999999</v>
      </c>
      <c r="D17">
        <v>419047.56599999999</v>
      </c>
      <c r="E17" t="s">
        <v>22</v>
      </c>
      <c r="F17">
        <v>585.04399999999998</v>
      </c>
      <c r="G17" t="s">
        <v>11</v>
      </c>
      <c r="H17">
        <v>66.768000000000001</v>
      </c>
      <c r="I17">
        <v>32.805999999999997</v>
      </c>
      <c r="J17">
        <v>6.2789999999999999</v>
      </c>
      <c r="K17" t="s">
        <v>220</v>
      </c>
      <c r="L17">
        <v>10.509600000000001</v>
      </c>
      <c r="M17">
        <v>7.75</v>
      </c>
    </row>
    <row r="18" spans="1:13" x14ac:dyDescent="0.2">
      <c r="A18">
        <v>17</v>
      </c>
      <c r="B18">
        <v>6</v>
      </c>
      <c r="C18">
        <v>188060.905</v>
      </c>
      <c r="D18">
        <v>419046.98</v>
      </c>
      <c r="E18" t="s">
        <v>22</v>
      </c>
      <c r="F18">
        <v>592.95100000000002</v>
      </c>
      <c r="G18" t="s">
        <v>11</v>
      </c>
      <c r="H18">
        <v>61.493000000000002</v>
      </c>
      <c r="I18">
        <v>29.058</v>
      </c>
      <c r="J18">
        <v>3.6560000000000001</v>
      </c>
      <c r="K18" t="s">
        <v>221</v>
      </c>
      <c r="L18">
        <v>10.592499999999999</v>
      </c>
      <c r="M18">
        <v>7.75</v>
      </c>
    </row>
    <row r="19" spans="1:13" x14ac:dyDescent="0.2">
      <c r="A19">
        <v>18</v>
      </c>
      <c r="B19">
        <v>6</v>
      </c>
      <c r="C19">
        <v>188054.845</v>
      </c>
      <c r="D19">
        <v>419049.81800000003</v>
      </c>
      <c r="E19" t="s">
        <v>22</v>
      </c>
      <c r="F19">
        <v>599.83299999999997</v>
      </c>
      <c r="G19" t="s">
        <v>11</v>
      </c>
      <c r="H19">
        <v>60.514000000000003</v>
      </c>
      <c r="I19">
        <v>29.456</v>
      </c>
      <c r="J19">
        <v>4.9770000000000003</v>
      </c>
      <c r="K19" t="s">
        <v>221</v>
      </c>
      <c r="L19">
        <v>10.4916</v>
      </c>
      <c r="M19">
        <v>7.75</v>
      </c>
    </row>
    <row r="20" spans="1:13" x14ac:dyDescent="0.2">
      <c r="A20">
        <v>19</v>
      </c>
      <c r="B20">
        <v>6</v>
      </c>
      <c r="C20">
        <v>188026.242</v>
      </c>
      <c r="D20">
        <v>419060.68699999998</v>
      </c>
      <c r="E20" t="s">
        <v>22</v>
      </c>
      <c r="F20">
        <v>630.61300000000006</v>
      </c>
      <c r="G20" t="s">
        <v>11</v>
      </c>
      <c r="H20">
        <v>53.783000000000001</v>
      </c>
      <c r="I20">
        <v>28.986999999999998</v>
      </c>
      <c r="J20">
        <v>5.0990000000000002</v>
      </c>
      <c r="K20" t="s">
        <v>221</v>
      </c>
      <c r="L20">
        <v>10.553800000000001</v>
      </c>
      <c r="M20">
        <v>7.75</v>
      </c>
    </row>
    <row r="21" spans="1:13" x14ac:dyDescent="0.2">
      <c r="A21">
        <v>20</v>
      </c>
      <c r="B21">
        <v>6</v>
      </c>
      <c r="C21">
        <v>188013.084</v>
      </c>
      <c r="D21">
        <v>419069.84</v>
      </c>
      <c r="E21" t="s">
        <v>22</v>
      </c>
      <c r="F21">
        <v>646.86800000000005</v>
      </c>
      <c r="G21" t="s">
        <v>11</v>
      </c>
      <c r="H21">
        <v>54.15</v>
      </c>
      <c r="I21">
        <v>32.630000000000003</v>
      </c>
      <c r="J21">
        <v>7.1630000000000003</v>
      </c>
      <c r="K21" t="s">
        <v>221</v>
      </c>
      <c r="L21">
        <v>10.2805</v>
      </c>
      <c r="M21">
        <v>7.75</v>
      </c>
    </row>
    <row r="22" spans="1:13" x14ac:dyDescent="0.2">
      <c r="A22">
        <v>21</v>
      </c>
      <c r="B22">
        <v>6</v>
      </c>
      <c r="C22">
        <v>188011.78200000001</v>
      </c>
      <c r="D22">
        <v>419075.22</v>
      </c>
      <c r="E22" t="s">
        <v>21</v>
      </c>
      <c r="F22">
        <v>650.18899999999996</v>
      </c>
      <c r="G22" t="s">
        <v>11</v>
      </c>
      <c r="H22">
        <v>57.915999999999997</v>
      </c>
      <c r="I22">
        <v>37.15</v>
      </c>
      <c r="J22">
        <v>11.342000000000001</v>
      </c>
      <c r="K22" t="s">
        <v>221</v>
      </c>
      <c r="L22">
        <v>10.1736</v>
      </c>
      <c r="M22">
        <v>7.75</v>
      </c>
    </row>
    <row r="23" spans="1:13" x14ac:dyDescent="0.2">
      <c r="A23">
        <v>22</v>
      </c>
      <c r="B23">
        <v>6</v>
      </c>
      <c r="C23">
        <v>188019.50599999999</v>
      </c>
      <c r="D23">
        <v>419090.66600000003</v>
      </c>
      <c r="E23" t="s">
        <v>21</v>
      </c>
      <c r="F23">
        <v>649.197</v>
      </c>
      <c r="G23" t="s">
        <v>11</v>
      </c>
      <c r="H23">
        <v>75.058999999999997</v>
      </c>
      <c r="I23">
        <v>54.354999999999997</v>
      </c>
      <c r="J23">
        <v>28.609000000000002</v>
      </c>
      <c r="K23" t="s">
        <v>221</v>
      </c>
      <c r="L23">
        <v>10.081200000000001</v>
      </c>
      <c r="M23">
        <v>7.75</v>
      </c>
    </row>
    <row r="24" spans="1:13" x14ac:dyDescent="0.2">
      <c r="A24">
        <v>23</v>
      </c>
      <c r="B24">
        <v>6</v>
      </c>
      <c r="C24">
        <v>187979.166</v>
      </c>
      <c r="D24">
        <v>419100.18800000002</v>
      </c>
      <c r="E24" t="s">
        <v>21</v>
      </c>
      <c r="F24">
        <v>695.50300000000004</v>
      </c>
      <c r="G24" t="s">
        <v>11</v>
      </c>
      <c r="H24">
        <v>59.593000000000004</v>
      </c>
      <c r="I24">
        <v>43.83</v>
      </c>
      <c r="J24">
        <v>16.428000000000001</v>
      </c>
      <c r="K24" t="s">
        <v>222</v>
      </c>
      <c r="L24">
        <v>9.9170999999999996</v>
      </c>
      <c r="M24">
        <v>7.75</v>
      </c>
    </row>
    <row r="25" spans="1:13" x14ac:dyDescent="0.2">
      <c r="A25">
        <v>24</v>
      </c>
      <c r="B25">
        <v>6</v>
      </c>
      <c r="C25">
        <v>187970.318</v>
      </c>
      <c r="D25">
        <v>419087.66700000002</v>
      </c>
      <c r="E25" t="s">
        <v>22</v>
      </c>
      <c r="F25">
        <v>695.95699999999999</v>
      </c>
      <c r="G25" t="s">
        <v>11</v>
      </c>
      <c r="H25">
        <v>44.274000000000001</v>
      </c>
      <c r="I25">
        <v>28.526</v>
      </c>
      <c r="J25">
        <v>2.2360000000000002</v>
      </c>
      <c r="K25" t="s">
        <v>222</v>
      </c>
      <c r="L25">
        <v>10.31</v>
      </c>
      <c r="M25">
        <v>7.75</v>
      </c>
    </row>
    <row r="26" spans="1:13" x14ac:dyDescent="0.2">
      <c r="A26">
        <v>25</v>
      </c>
      <c r="B26">
        <v>7</v>
      </c>
      <c r="C26">
        <v>187970.318</v>
      </c>
      <c r="D26">
        <v>419101.538</v>
      </c>
      <c r="E26" t="s">
        <v>23</v>
      </c>
      <c r="F26">
        <v>703.73099999999999</v>
      </c>
      <c r="G26" t="s">
        <v>12</v>
      </c>
      <c r="H26">
        <v>55.253999999999998</v>
      </c>
      <c r="I26">
        <v>39.348999999999997</v>
      </c>
      <c r="J26">
        <v>10.31</v>
      </c>
      <c r="K26" t="s">
        <v>222</v>
      </c>
      <c r="L26">
        <v>9.5640999999999998</v>
      </c>
      <c r="M26">
        <v>7.75</v>
      </c>
    </row>
    <row r="27" spans="1:13" x14ac:dyDescent="0.2">
      <c r="A27">
        <v>26</v>
      </c>
      <c r="B27">
        <v>7</v>
      </c>
      <c r="C27">
        <v>187965.96900000001</v>
      </c>
      <c r="D27">
        <v>419104.837</v>
      </c>
      <c r="E27" t="s">
        <v>23</v>
      </c>
      <c r="F27">
        <v>710.54200000000003</v>
      </c>
      <c r="G27" t="s">
        <v>12</v>
      </c>
      <c r="H27">
        <v>55.207999999999998</v>
      </c>
      <c r="I27">
        <v>39.204000000000001</v>
      </c>
      <c r="J27">
        <v>10.231999999999999</v>
      </c>
      <c r="K27" t="s">
        <v>222</v>
      </c>
      <c r="L27">
        <v>9.5790000000000006</v>
      </c>
      <c r="M27">
        <v>7.75</v>
      </c>
    </row>
    <row r="28" spans="1:13" x14ac:dyDescent="0.2">
      <c r="A28">
        <v>27</v>
      </c>
      <c r="B28">
        <v>7</v>
      </c>
      <c r="C28">
        <v>187943.85</v>
      </c>
      <c r="D28">
        <v>419121.408</v>
      </c>
      <c r="E28" t="s">
        <v>23</v>
      </c>
      <c r="F28">
        <v>738.33199999999999</v>
      </c>
      <c r="G28" t="s">
        <v>12</v>
      </c>
      <c r="H28">
        <v>54.808</v>
      </c>
      <c r="I28">
        <v>38.299999999999997</v>
      </c>
      <c r="J28">
        <v>10.26</v>
      </c>
      <c r="K28" t="s">
        <v>222</v>
      </c>
      <c r="L28">
        <v>9.4616000000000007</v>
      </c>
      <c r="M28">
        <v>7.75</v>
      </c>
    </row>
    <row r="29" spans="1:13" x14ac:dyDescent="0.2">
      <c r="A29">
        <v>28</v>
      </c>
      <c r="B29">
        <v>7</v>
      </c>
      <c r="C29">
        <v>187930.42800000001</v>
      </c>
      <c r="D29">
        <v>419119.15899999999</v>
      </c>
      <c r="E29" t="s">
        <v>22</v>
      </c>
      <c r="F29">
        <v>747.67100000000005</v>
      </c>
      <c r="G29" t="s">
        <v>12</v>
      </c>
      <c r="H29">
        <v>44.825000000000003</v>
      </c>
      <c r="I29">
        <v>28.15</v>
      </c>
      <c r="J29">
        <v>3.0219999999999998</v>
      </c>
      <c r="K29" t="s">
        <v>222</v>
      </c>
      <c r="L29">
        <v>11.1126</v>
      </c>
      <c r="M29">
        <v>7.75</v>
      </c>
    </row>
    <row r="30" spans="1:13" x14ac:dyDescent="0.2">
      <c r="A30">
        <v>29</v>
      </c>
      <c r="B30">
        <v>7</v>
      </c>
      <c r="C30">
        <v>187962.89499999999</v>
      </c>
      <c r="D30">
        <v>419096.88900000002</v>
      </c>
      <c r="E30" t="s">
        <v>22</v>
      </c>
      <c r="F30">
        <v>707.31399999999996</v>
      </c>
      <c r="G30" t="s">
        <v>12</v>
      </c>
      <c r="H30">
        <v>47.037999999999997</v>
      </c>
      <c r="I30">
        <v>31.079000000000001</v>
      </c>
      <c r="J30">
        <v>2.0760000000000001</v>
      </c>
      <c r="K30" t="s">
        <v>222</v>
      </c>
      <c r="L30">
        <v>10.895899999999999</v>
      </c>
      <c r="M30">
        <v>7.75</v>
      </c>
    </row>
    <row r="31" spans="1:13" x14ac:dyDescent="0.2">
      <c r="A31">
        <v>30</v>
      </c>
      <c r="B31">
        <v>7</v>
      </c>
      <c r="C31">
        <v>187947.299</v>
      </c>
      <c r="D31">
        <v>419109.03600000002</v>
      </c>
      <c r="E31" t="s">
        <v>22</v>
      </c>
      <c r="F31">
        <v>728.125</v>
      </c>
      <c r="G31" t="s">
        <v>12</v>
      </c>
      <c r="H31">
        <v>47.122</v>
      </c>
      <c r="I31">
        <v>30.803000000000001</v>
      </c>
      <c r="J31">
        <v>2.0449999999999999</v>
      </c>
      <c r="K31" t="s">
        <v>222</v>
      </c>
      <c r="L31">
        <v>10.970700000000001</v>
      </c>
      <c r="M31">
        <v>7.75</v>
      </c>
    </row>
    <row r="32" spans="1:13" x14ac:dyDescent="0.2">
      <c r="A32">
        <v>31</v>
      </c>
      <c r="B32">
        <v>7</v>
      </c>
      <c r="C32">
        <v>187929.45300000001</v>
      </c>
      <c r="D32">
        <v>419132.505</v>
      </c>
      <c r="E32" t="s">
        <v>23</v>
      </c>
      <c r="F32">
        <v>754.85</v>
      </c>
      <c r="G32" t="s">
        <v>12</v>
      </c>
      <c r="H32">
        <v>54.793999999999997</v>
      </c>
      <c r="I32">
        <v>37.985999999999997</v>
      </c>
      <c r="J32">
        <v>13.978</v>
      </c>
      <c r="K32" t="s">
        <v>222</v>
      </c>
      <c r="L32">
        <v>9.3927999999999994</v>
      </c>
      <c r="M32">
        <v>7.75</v>
      </c>
    </row>
    <row r="33" spans="1:13" x14ac:dyDescent="0.2">
      <c r="A33">
        <v>32</v>
      </c>
      <c r="B33">
        <v>7</v>
      </c>
      <c r="C33">
        <v>187903.32800000001</v>
      </c>
      <c r="D33">
        <v>419151.09899999999</v>
      </c>
      <c r="E33" t="s">
        <v>23</v>
      </c>
      <c r="F33">
        <v>789.178</v>
      </c>
      <c r="G33" t="s">
        <v>12</v>
      </c>
      <c r="H33">
        <v>53.546999999999997</v>
      </c>
      <c r="I33">
        <v>37.548000000000002</v>
      </c>
      <c r="J33">
        <v>13.022</v>
      </c>
      <c r="K33" t="s">
        <v>223</v>
      </c>
      <c r="L33">
        <v>9.4320000000000004</v>
      </c>
      <c r="M33">
        <v>7.75</v>
      </c>
    </row>
    <row r="34" spans="1:13" x14ac:dyDescent="0.2">
      <c r="A34">
        <v>33</v>
      </c>
      <c r="B34">
        <v>7</v>
      </c>
      <c r="C34">
        <v>187892.783</v>
      </c>
      <c r="D34">
        <v>419159.00699999998</v>
      </c>
      <c r="E34" t="s">
        <v>23</v>
      </c>
      <c r="F34">
        <v>800.52499999999998</v>
      </c>
      <c r="G34" t="s">
        <v>12</v>
      </c>
      <c r="H34">
        <v>53.363</v>
      </c>
      <c r="I34">
        <v>37.697000000000003</v>
      </c>
      <c r="J34">
        <v>13.021000000000001</v>
      </c>
      <c r="K34" t="s">
        <v>223</v>
      </c>
      <c r="L34">
        <v>9.3580000000000005</v>
      </c>
      <c r="M34">
        <v>7.75</v>
      </c>
    </row>
    <row r="35" spans="1:13" x14ac:dyDescent="0.2">
      <c r="A35">
        <v>34</v>
      </c>
      <c r="B35">
        <v>7</v>
      </c>
      <c r="C35">
        <v>187910.39799999999</v>
      </c>
      <c r="D35">
        <v>419145.946</v>
      </c>
      <c r="E35" t="s">
        <v>23</v>
      </c>
      <c r="F35">
        <v>780.13199999999995</v>
      </c>
      <c r="G35" t="s">
        <v>12</v>
      </c>
      <c r="H35">
        <v>53.787999999999997</v>
      </c>
      <c r="I35">
        <v>37.569000000000003</v>
      </c>
      <c r="J35">
        <v>13.185</v>
      </c>
      <c r="K35" t="s">
        <v>223</v>
      </c>
      <c r="L35">
        <v>10.359500000000001</v>
      </c>
      <c r="M35">
        <v>7.75</v>
      </c>
    </row>
    <row r="36" spans="1:13" x14ac:dyDescent="0.2">
      <c r="A36">
        <v>35</v>
      </c>
      <c r="B36">
        <v>7</v>
      </c>
      <c r="C36">
        <v>187875.76699999999</v>
      </c>
      <c r="D36">
        <v>419171.94900000002</v>
      </c>
      <c r="E36" t="s">
        <v>23</v>
      </c>
      <c r="F36">
        <v>823.99099999999999</v>
      </c>
      <c r="G36" t="s">
        <v>12</v>
      </c>
      <c r="H36">
        <v>53.158999999999999</v>
      </c>
      <c r="I36">
        <v>38.082999999999998</v>
      </c>
      <c r="J36">
        <v>13.202999999999999</v>
      </c>
      <c r="K36" t="s">
        <v>223</v>
      </c>
      <c r="L36">
        <v>9.4057999999999993</v>
      </c>
      <c r="M36">
        <v>7.75</v>
      </c>
    </row>
    <row r="37" spans="1:13" x14ac:dyDescent="0.2">
      <c r="A37">
        <v>36</v>
      </c>
      <c r="B37">
        <v>7</v>
      </c>
      <c r="C37">
        <v>187856.35500000001</v>
      </c>
      <c r="D37">
        <v>419186.44799999997</v>
      </c>
      <c r="E37" t="s">
        <v>23</v>
      </c>
      <c r="F37">
        <v>847.505</v>
      </c>
      <c r="G37" t="s">
        <v>12</v>
      </c>
      <c r="H37">
        <v>52.506999999999998</v>
      </c>
      <c r="I37">
        <v>37.58</v>
      </c>
      <c r="J37">
        <v>13.199</v>
      </c>
      <c r="K37" t="s">
        <v>223</v>
      </c>
      <c r="L37">
        <v>9.3960000000000008</v>
      </c>
      <c r="M37">
        <v>7.75</v>
      </c>
    </row>
    <row r="38" spans="1:13" x14ac:dyDescent="0.2">
      <c r="A38">
        <v>37</v>
      </c>
      <c r="B38">
        <v>7</v>
      </c>
      <c r="C38">
        <v>187839.81899999999</v>
      </c>
      <c r="D38">
        <v>419199.03</v>
      </c>
      <c r="E38" t="s">
        <v>23</v>
      </c>
      <c r="F38">
        <v>868.30799999999999</v>
      </c>
      <c r="G38" t="s">
        <v>12</v>
      </c>
      <c r="H38">
        <v>52.131999999999998</v>
      </c>
      <c r="I38">
        <v>37.128</v>
      </c>
      <c r="J38">
        <v>13.427</v>
      </c>
      <c r="K38" t="s">
        <v>223</v>
      </c>
      <c r="L38">
        <v>9.2929999999999993</v>
      </c>
      <c r="M38">
        <v>7.75</v>
      </c>
    </row>
    <row r="39" spans="1:13" x14ac:dyDescent="0.2">
      <c r="A39">
        <v>38</v>
      </c>
      <c r="B39">
        <v>7</v>
      </c>
      <c r="C39">
        <v>187824.12100000001</v>
      </c>
      <c r="D39">
        <v>419211.13299999997</v>
      </c>
      <c r="E39" t="s">
        <v>23</v>
      </c>
      <c r="F39">
        <v>887.98299999999995</v>
      </c>
      <c r="G39" t="s">
        <v>12</v>
      </c>
      <c r="H39">
        <v>51.901000000000003</v>
      </c>
      <c r="I39">
        <v>36.823</v>
      </c>
      <c r="J39">
        <v>13.805999999999999</v>
      </c>
      <c r="K39" t="s">
        <v>224</v>
      </c>
      <c r="L39">
        <v>9.2729999999999997</v>
      </c>
      <c r="M39">
        <v>7.75</v>
      </c>
    </row>
    <row r="40" spans="1:13" x14ac:dyDescent="0.2">
      <c r="A40">
        <v>39</v>
      </c>
      <c r="B40">
        <v>7</v>
      </c>
      <c r="C40">
        <v>187808.06400000001</v>
      </c>
      <c r="D40">
        <v>419222.51699999999</v>
      </c>
      <c r="E40" t="s">
        <v>23</v>
      </c>
      <c r="F40">
        <v>907.00599999999997</v>
      </c>
      <c r="G40" t="s">
        <v>12</v>
      </c>
      <c r="H40">
        <v>50.883000000000003</v>
      </c>
      <c r="I40">
        <v>36.597000000000001</v>
      </c>
      <c r="J40">
        <v>13.393000000000001</v>
      </c>
      <c r="K40" t="s">
        <v>224</v>
      </c>
      <c r="L40">
        <v>9.2373999999999992</v>
      </c>
      <c r="M40">
        <v>7.75</v>
      </c>
    </row>
    <row r="41" spans="1:13" x14ac:dyDescent="0.2">
      <c r="A41">
        <v>40</v>
      </c>
      <c r="B41">
        <v>8</v>
      </c>
      <c r="C41">
        <v>187750.77100000001</v>
      </c>
      <c r="D41">
        <v>419287.82400000002</v>
      </c>
      <c r="E41" t="s">
        <v>23</v>
      </c>
      <c r="F41">
        <v>997.81200000000001</v>
      </c>
      <c r="G41" t="s">
        <v>13</v>
      </c>
      <c r="H41">
        <v>67.12</v>
      </c>
      <c r="I41">
        <v>49.997</v>
      </c>
      <c r="J41">
        <v>25.576000000000001</v>
      </c>
      <c r="K41" t="s">
        <v>225</v>
      </c>
      <c r="L41">
        <v>9.0991</v>
      </c>
      <c r="M41">
        <v>7.75</v>
      </c>
    </row>
    <row r="42" spans="1:13" x14ac:dyDescent="0.2">
      <c r="A42">
        <v>41</v>
      </c>
      <c r="B42">
        <v>8</v>
      </c>
      <c r="C42">
        <v>187736.166</v>
      </c>
      <c r="D42">
        <v>419301.304</v>
      </c>
      <c r="E42" t="s">
        <v>23</v>
      </c>
      <c r="F42">
        <v>1015.9160000000001</v>
      </c>
      <c r="G42" t="s">
        <v>13</v>
      </c>
      <c r="H42">
        <v>68.951999999999998</v>
      </c>
      <c r="I42">
        <v>50.841000000000001</v>
      </c>
      <c r="J42">
        <v>27.145</v>
      </c>
      <c r="K42" t="s">
        <v>225</v>
      </c>
      <c r="L42">
        <v>9.1163000000000007</v>
      </c>
      <c r="M42">
        <v>7.75</v>
      </c>
    </row>
    <row r="43" spans="1:13" x14ac:dyDescent="0.2">
      <c r="A43">
        <v>42</v>
      </c>
      <c r="B43">
        <v>8</v>
      </c>
      <c r="C43">
        <v>187723.80900000001</v>
      </c>
      <c r="D43">
        <v>419313.1</v>
      </c>
      <c r="E43" t="s">
        <v>23</v>
      </c>
      <c r="F43">
        <v>1034.155</v>
      </c>
      <c r="G43" t="s">
        <v>13</v>
      </c>
      <c r="H43">
        <v>70.811999999999998</v>
      </c>
      <c r="I43">
        <v>50.017000000000003</v>
      </c>
      <c r="J43">
        <v>27.32</v>
      </c>
      <c r="K43" t="s">
        <v>225</v>
      </c>
      <c r="L43">
        <v>9.0764999999999993</v>
      </c>
      <c r="M43">
        <v>7.75</v>
      </c>
    </row>
    <row r="44" spans="1:13" x14ac:dyDescent="0.2">
      <c r="A44">
        <v>43</v>
      </c>
      <c r="B44">
        <v>8</v>
      </c>
      <c r="C44">
        <v>187713.13699999999</v>
      </c>
      <c r="D44">
        <v>419322.83600000001</v>
      </c>
      <c r="E44" t="s">
        <v>23</v>
      </c>
      <c r="F44">
        <v>1048.1289999999999</v>
      </c>
      <c r="G44" t="s">
        <v>13</v>
      </c>
      <c r="H44">
        <v>72.058999999999997</v>
      </c>
      <c r="I44">
        <v>48.755000000000003</v>
      </c>
      <c r="J44">
        <v>27.140999999999998</v>
      </c>
      <c r="K44" t="s">
        <v>225</v>
      </c>
      <c r="L44">
        <v>9.0787999999999993</v>
      </c>
      <c r="M44">
        <v>7.75</v>
      </c>
    </row>
    <row r="45" spans="1:13" x14ac:dyDescent="0.2">
      <c r="A45">
        <v>44</v>
      </c>
      <c r="B45">
        <v>8</v>
      </c>
      <c r="C45">
        <v>187704.89799999999</v>
      </c>
      <c r="D45">
        <v>419331.07400000002</v>
      </c>
      <c r="E45" t="s">
        <v>23</v>
      </c>
      <c r="F45">
        <v>1060.712</v>
      </c>
      <c r="G45" t="s">
        <v>13</v>
      </c>
      <c r="H45">
        <v>73.596000000000004</v>
      </c>
      <c r="I45">
        <v>48.594000000000001</v>
      </c>
      <c r="J45">
        <v>27.53</v>
      </c>
      <c r="K45" t="s">
        <v>225</v>
      </c>
      <c r="L45">
        <v>9.0907</v>
      </c>
      <c r="M45">
        <v>7.75</v>
      </c>
    </row>
    <row r="46" spans="1:13" x14ac:dyDescent="0.2">
      <c r="A46">
        <v>45</v>
      </c>
      <c r="B46">
        <v>8</v>
      </c>
      <c r="C46">
        <v>187697.035</v>
      </c>
      <c r="D46">
        <v>419338.00199999998</v>
      </c>
      <c r="E46" t="s">
        <v>23</v>
      </c>
      <c r="F46">
        <v>1070.6469999999999</v>
      </c>
      <c r="G46" t="s">
        <v>13</v>
      </c>
      <c r="H46">
        <v>74.081000000000003</v>
      </c>
      <c r="I46">
        <v>49.82</v>
      </c>
      <c r="J46">
        <v>27.189</v>
      </c>
      <c r="K46" t="s">
        <v>226</v>
      </c>
      <c r="L46">
        <v>9.0299999999999994</v>
      </c>
      <c r="M46">
        <v>7.75</v>
      </c>
    </row>
    <row r="47" spans="1:13" x14ac:dyDescent="0.2">
      <c r="A47">
        <v>46</v>
      </c>
      <c r="B47">
        <v>8</v>
      </c>
      <c r="C47">
        <v>187786.01500000001</v>
      </c>
      <c r="D47">
        <v>419239.05300000001</v>
      </c>
      <c r="E47" t="s">
        <v>22</v>
      </c>
      <c r="F47">
        <v>936.30600000000004</v>
      </c>
      <c r="G47" t="s">
        <v>13</v>
      </c>
      <c r="H47">
        <v>50.195</v>
      </c>
      <c r="I47">
        <v>37.192</v>
      </c>
      <c r="J47">
        <v>9.4960000000000004</v>
      </c>
      <c r="K47" t="s">
        <v>224</v>
      </c>
      <c r="L47">
        <v>10.5002</v>
      </c>
      <c r="M47">
        <v>7.75</v>
      </c>
    </row>
    <row r="48" spans="1:13" x14ac:dyDescent="0.2">
      <c r="A48">
        <v>47</v>
      </c>
      <c r="B48">
        <v>8</v>
      </c>
      <c r="C48">
        <v>187769.59899999999</v>
      </c>
      <c r="D48">
        <v>419252.11499999999</v>
      </c>
      <c r="E48" t="s">
        <v>22</v>
      </c>
      <c r="F48">
        <v>957.68</v>
      </c>
      <c r="G48" t="s">
        <v>13</v>
      </c>
      <c r="H48">
        <v>50.271000000000001</v>
      </c>
      <c r="I48">
        <v>34.924999999999997</v>
      </c>
      <c r="J48">
        <v>8.9510000000000005</v>
      </c>
      <c r="K48" t="s">
        <v>225</v>
      </c>
      <c r="L48">
        <v>10.527699999999999</v>
      </c>
      <c r="M48">
        <v>7.75</v>
      </c>
    </row>
    <row r="49" spans="1:13" x14ac:dyDescent="0.2">
      <c r="A49">
        <v>48</v>
      </c>
      <c r="B49">
        <v>8</v>
      </c>
      <c r="C49">
        <v>187751.864</v>
      </c>
      <c r="D49">
        <v>419266.85399999999</v>
      </c>
      <c r="E49" t="s">
        <v>22</v>
      </c>
      <c r="F49">
        <v>980.90899999999999</v>
      </c>
      <c r="G49" t="s">
        <v>13</v>
      </c>
      <c r="H49">
        <v>51.13</v>
      </c>
      <c r="I49">
        <v>34.704999999999998</v>
      </c>
      <c r="J49">
        <v>9.6110000000000007</v>
      </c>
      <c r="K49" t="s">
        <v>225</v>
      </c>
      <c r="L49">
        <v>10.632</v>
      </c>
      <c r="M49">
        <v>7.75</v>
      </c>
    </row>
    <row r="50" spans="1:13" x14ac:dyDescent="0.2">
      <c r="A50">
        <v>49</v>
      </c>
      <c r="B50">
        <v>8</v>
      </c>
      <c r="C50">
        <v>187736.109</v>
      </c>
      <c r="D50">
        <v>419286.549</v>
      </c>
      <c r="E50" t="s">
        <v>21</v>
      </c>
      <c r="F50">
        <v>1006.271</v>
      </c>
      <c r="G50" t="s">
        <v>13</v>
      </c>
      <c r="H50">
        <v>57.198</v>
      </c>
      <c r="I50">
        <v>39.545999999999999</v>
      </c>
      <c r="J50">
        <v>15.634</v>
      </c>
      <c r="K50" t="s">
        <v>225</v>
      </c>
      <c r="L50">
        <v>10.427</v>
      </c>
      <c r="M50">
        <v>7.75</v>
      </c>
    </row>
    <row r="51" spans="1:13" x14ac:dyDescent="0.2">
      <c r="A51">
        <v>50</v>
      </c>
      <c r="B51">
        <v>8</v>
      </c>
      <c r="C51">
        <v>187715.633</v>
      </c>
      <c r="D51">
        <v>419303.49699999997</v>
      </c>
      <c r="E51" t="s">
        <v>21</v>
      </c>
      <c r="F51">
        <v>1033.482</v>
      </c>
      <c r="G51" t="s">
        <v>13</v>
      </c>
      <c r="H51">
        <v>58.216000000000001</v>
      </c>
      <c r="I51">
        <v>37.497999999999998</v>
      </c>
      <c r="J51">
        <v>14.721</v>
      </c>
      <c r="K51" t="s">
        <v>225</v>
      </c>
      <c r="L51">
        <v>10.532999999999999</v>
      </c>
      <c r="M51">
        <v>7.75</v>
      </c>
    </row>
    <row r="52" spans="1:13" x14ac:dyDescent="0.2">
      <c r="A52">
        <v>51</v>
      </c>
      <c r="B52">
        <v>8</v>
      </c>
      <c r="C52">
        <v>187695.693</v>
      </c>
      <c r="D52">
        <v>419321.36599999998</v>
      </c>
      <c r="E52" t="s">
        <v>21</v>
      </c>
      <c r="F52">
        <v>1060.5540000000001</v>
      </c>
      <c r="G52" t="s">
        <v>13</v>
      </c>
      <c r="H52">
        <v>60.292000000000002</v>
      </c>
      <c r="I52">
        <v>35.235999999999997</v>
      </c>
      <c r="J52">
        <v>14.151999999999999</v>
      </c>
      <c r="K52" t="s">
        <v>225</v>
      </c>
      <c r="L52">
        <v>10.5641</v>
      </c>
      <c r="M52">
        <v>7.75</v>
      </c>
    </row>
    <row r="53" spans="1:13" x14ac:dyDescent="0.2">
      <c r="A53">
        <v>52</v>
      </c>
      <c r="B53">
        <v>8</v>
      </c>
      <c r="C53">
        <v>187693.02799999999</v>
      </c>
      <c r="D53">
        <v>419341.74699999997</v>
      </c>
      <c r="E53" t="s">
        <v>23</v>
      </c>
      <c r="F53">
        <v>1076.2159999999999</v>
      </c>
      <c r="G53" t="s">
        <v>13</v>
      </c>
      <c r="H53">
        <v>73.974000000000004</v>
      </c>
      <c r="I53">
        <v>51.463000000000001</v>
      </c>
      <c r="J53">
        <v>26.984999999999999</v>
      </c>
      <c r="K53" t="s">
        <v>226</v>
      </c>
      <c r="L53">
        <v>9.8963999999999999</v>
      </c>
      <c r="M53">
        <v>7.75</v>
      </c>
    </row>
    <row r="54" spans="1:13" x14ac:dyDescent="0.2">
      <c r="A54">
        <v>53</v>
      </c>
      <c r="B54">
        <v>8</v>
      </c>
      <c r="C54">
        <v>187731.97200000001</v>
      </c>
      <c r="D54">
        <v>419322.09499999997</v>
      </c>
      <c r="E54" t="s">
        <v>21</v>
      </c>
      <c r="F54">
        <v>1034.4190000000001</v>
      </c>
      <c r="G54" t="s">
        <v>13</v>
      </c>
      <c r="H54">
        <v>82.915999999999997</v>
      </c>
      <c r="I54">
        <v>62.115000000000002</v>
      </c>
      <c r="J54">
        <v>39.465000000000003</v>
      </c>
      <c r="K54" t="s">
        <v>225</v>
      </c>
      <c r="L54">
        <v>9.5132999999999992</v>
      </c>
      <c r="M54">
        <v>7.75</v>
      </c>
    </row>
    <row r="55" spans="1:13" x14ac:dyDescent="0.2">
      <c r="A55">
        <v>54</v>
      </c>
      <c r="B55">
        <v>8</v>
      </c>
      <c r="C55">
        <v>187712.56</v>
      </c>
      <c r="D55">
        <v>419339.94900000002</v>
      </c>
      <c r="E55" t="s">
        <v>21</v>
      </c>
      <c r="F55">
        <v>1061.3240000000001</v>
      </c>
      <c r="G55" t="s">
        <v>13</v>
      </c>
      <c r="H55">
        <v>85.3</v>
      </c>
      <c r="I55">
        <v>60.317999999999998</v>
      </c>
      <c r="J55">
        <v>39.244999999999997</v>
      </c>
      <c r="K55" t="s">
        <v>225</v>
      </c>
      <c r="L55">
        <v>9.5338999999999992</v>
      </c>
      <c r="M55">
        <v>7.75</v>
      </c>
    </row>
    <row r="56" spans="1:13" x14ac:dyDescent="0.2">
      <c r="A56">
        <v>55</v>
      </c>
      <c r="B56">
        <v>8</v>
      </c>
      <c r="C56">
        <v>187746.11199999999</v>
      </c>
      <c r="D56">
        <v>419311.31</v>
      </c>
      <c r="E56" t="s">
        <v>21</v>
      </c>
      <c r="F56">
        <v>1015.1609999999999</v>
      </c>
      <c r="G56" t="s">
        <v>13</v>
      </c>
      <c r="H56">
        <v>82.941999999999993</v>
      </c>
      <c r="I56">
        <v>64.903999999999996</v>
      </c>
      <c r="J56">
        <v>41.247</v>
      </c>
      <c r="K56" t="s">
        <v>225</v>
      </c>
      <c r="L56">
        <v>9.5863999999999994</v>
      </c>
      <c r="M56">
        <v>7.75</v>
      </c>
    </row>
    <row r="57" spans="1:13" x14ac:dyDescent="0.2">
      <c r="A57">
        <v>56</v>
      </c>
      <c r="B57">
        <v>8</v>
      </c>
      <c r="C57">
        <v>187688.71400000001</v>
      </c>
      <c r="D57">
        <v>419346.54</v>
      </c>
      <c r="E57" t="s">
        <v>23</v>
      </c>
      <c r="F57">
        <v>1082.752</v>
      </c>
      <c r="G57" t="s">
        <v>13</v>
      </c>
      <c r="H57">
        <v>74.405000000000001</v>
      </c>
      <c r="I57">
        <v>53.665999999999997</v>
      </c>
      <c r="J57">
        <v>27.300999999999998</v>
      </c>
      <c r="K57" t="s">
        <v>226</v>
      </c>
      <c r="L57">
        <v>9.109</v>
      </c>
      <c r="M57">
        <v>7.75</v>
      </c>
    </row>
    <row r="58" spans="1:13" x14ac:dyDescent="0.2">
      <c r="A58">
        <v>57</v>
      </c>
      <c r="B58">
        <v>8</v>
      </c>
      <c r="C58">
        <v>187675.054</v>
      </c>
      <c r="D58">
        <v>419359.96100000001</v>
      </c>
      <c r="E58" t="s">
        <v>23</v>
      </c>
      <c r="F58">
        <v>1102.925</v>
      </c>
      <c r="G58" t="s">
        <v>13</v>
      </c>
      <c r="H58">
        <v>74.510000000000005</v>
      </c>
      <c r="I58">
        <v>53.365000000000002</v>
      </c>
      <c r="J58">
        <v>27.064</v>
      </c>
      <c r="K58" t="s">
        <v>226</v>
      </c>
      <c r="L58">
        <v>9.0741999999999994</v>
      </c>
      <c r="M58">
        <v>7.75</v>
      </c>
    </row>
    <row r="59" spans="1:13" x14ac:dyDescent="0.2">
      <c r="A59">
        <v>58</v>
      </c>
      <c r="B59">
        <v>8</v>
      </c>
      <c r="C59">
        <v>187662.11199999999</v>
      </c>
      <c r="D59">
        <v>419373.50099999999</v>
      </c>
      <c r="E59" t="s">
        <v>23</v>
      </c>
      <c r="F59">
        <v>1121.778</v>
      </c>
      <c r="G59" t="s">
        <v>13</v>
      </c>
      <c r="H59">
        <v>75.201999999999998</v>
      </c>
      <c r="I59">
        <v>53.66</v>
      </c>
      <c r="J59">
        <v>27.420999999999999</v>
      </c>
      <c r="K59" t="s">
        <v>226</v>
      </c>
      <c r="L59">
        <v>9.1675000000000004</v>
      </c>
      <c r="M59">
        <v>7.75</v>
      </c>
    </row>
    <row r="60" spans="1:13" x14ac:dyDescent="0.2">
      <c r="A60">
        <v>59</v>
      </c>
      <c r="B60">
        <v>8</v>
      </c>
      <c r="C60">
        <v>187649.171</v>
      </c>
      <c r="D60">
        <v>419387.641</v>
      </c>
      <c r="E60" t="s">
        <v>23</v>
      </c>
      <c r="F60">
        <v>1142.2719999999999</v>
      </c>
      <c r="G60" t="s">
        <v>13</v>
      </c>
      <c r="H60">
        <v>76.322999999999993</v>
      </c>
      <c r="I60">
        <v>48.649000000000001</v>
      </c>
      <c r="J60">
        <v>27.614999999999998</v>
      </c>
      <c r="K60" t="s">
        <v>226</v>
      </c>
      <c r="L60">
        <v>9.1737000000000002</v>
      </c>
      <c r="M60">
        <v>7.75</v>
      </c>
    </row>
    <row r="61" spans="1:13" x14ac:dyDescent="0.2">
      <c r="A61">
        <v>60</v>
      </c>
      <c r="B61">
        <v>8</v>
      </c>
      <c r="C61">
        <v>187667.74400000001</v>
      </c>
      <c r="D61">
        <v>419352.29200000002</v>
      </c>
      <c r="E61" t="s">
        <v>21</v>
      </c>
      <c r="F61">
        <v>1102.644</v>
      </c>
      <c r="G61" t="s">
        <v>13</v>
      </c>
      <c r="H61">
        <v>63.915999999999997</v>
      </c>
      <c r="I61">
        <v>42.776000000000003</v>
      </c>
      <c r="J61">
        <v>16.472999999999999</v>
      </c>
      <c r="K61" t="s">
        <v>226</v>
      </c>
      <c r="L61">
        <v>10.505100000000001</v>
      </c>
      <c r="M61">
        <v>7.75</v>
      </c>
    </row>
    <row r="62" spans="1:13" x14ac:dyDescent="0.2">
      <c r="A62">
        <v>61</v>
      </c>
      <c r="B62">
        <v>8</v>
      </c>
      <c r="C62">
        <v>187640.78200000001</v>
      </c>
      <c r="D62">
        <v>419381.53</v>
      </c>
      <c r="E62" t="s">
        <v>21</v>
      </c>
      <c r="F62">
        <v>1143.4760000000001</v>
      </c>
      <c r="G62" t="s">
        <v>13</v>
      </c>
      <c r="H62">
        <v>66.094999999999999</v>
      </c>
      <c r="I62">
        <v>38.276000000000003</v>
      </c>
      <c r="J62">
        <v>17.288</v>
      </c>
      <c r="K62" t="s">
        <v>226</v>
      </c>
      <c r="L62">
        <v>10.4526</v>
      </c>
      <c r="M62">
        <v>7.75</v>
      </c>
    </row>
    <row r="63" spans="1:13" x14ac:dyDescent="0.2">
      <c r="A63">
        <v>62</v>
      </c>
      <c r="B63">
        <v>8</v>
      </c>
      <c r="C63">
        <v>187683.32199999999</v>
      </c>
      <c r="D63">
        <v>419368.70799999998</v>
      </c>
      <c r="E63" t="s">
        <v>21</v>
      </c>
      <c r="F63">
        <v>1103.2940000000001</v>
      </c>
      <c r="G63" t="s">
        <v>13</v>
      </c>
      <c r="H63">
        <v>86.546000000000006</v>
      </c>
      <c r="I63">
        <v>65.394000000000005</v>
      </c>
      <c r="J63">
        <v>39.094000000000001</v>
      </c>
      <c r="K63" t="s">
        <v>226</v>
      </c>
      <c r="L63">
        <v>9.7959999999999994</v>
      </c>
      <c r="M63">
        <v>7.75</v>
      </c>
    </row>
    <row r="64" spans="1:13" x14ac:dyDescent="0.2">
      <c r="A64">
        <v>63</v>
      </c>
      <c r="B64">
        <v>8</v>
      </c>
      <c r="C64">
        <v>187657.91800000001</v>
      </c>
      <c r="D64">
        <v>419395.071</v>
      </c>
      <c r="E64" t="s">
        <v>21</v>
      </c>
      <c r="F64">
        <v>1141.7909999999999</v>
      </c>
      <c r="G64" t="s">
        <v>13</v>
      </c>
      <c r="H64">
        <v>87.748000000000005</v>
      </c>
      <c r="I64">
        <v>60.116</v>
      </c>
      <c r="J64">
        <v>39.088000000000001</v>
      </c>
      <c r="K64" t="s">
        <v>226</v>
      </c>
      <c r="L64">
        <v>9.6658000000000008</v>
      </c>
      <c r="M64">
        <v>7.75</v>
      </c>
    </row>
    <row r="65" spans="1:13" x14ac:dyDescent="0.2">
      <c r="A65">
        <v>64</v>
      </c>
      <c r="B65">
        <v>8</v>
      </c>
      <c r="C65">
        <v>187633.71299999999</v>
      </c>
      <c r="D65">
        <v>419404.41700000002</v>
      </c>
      <c r="E65" t="s">
        <v>23</v>
      </c>
      <c r="F65">
        <v>1165.519</v>
      </c>
      <c r="G65" t="s">
        <v>13</v>
      </c>
      <c r="H65">
        <v>77.581999999999994</v>
      </c>
      <c r="I65">
        <v>47.965000000000003</v>
      </c>
      <c r="J65">
        <v>27.256</v>
      </c>
      <c r="K65" t="s">
        <v>227</v>
      </c>
      <c r="L65">
        <v>9.1157000000000004</v>
      </c>
      <c r="M65">
        <v>7.75</v>
      </c>
    </row>
    <row r="66" spans="1:13" x14ac:dyDescent="0.2">
      <c r="A66">
        <v>65</v>
      </c>
      <c r="B66">
        <v>8</v>
      </c>
      <c r="C66">
        <v>187617.89499999999</v>
      </c>
      <c r="D66">
        <v>419422.75099999999</v>
      </c>
      <c r="E66" t="s">
        <v>23</v>
      </c>
      <c r="F66">
        <v>1190.154</v>
      </c>
      <c r="G66" t="s">
        <v>13</v>
      </c>
      <c r="H66">
        <v>79.225999999999999</v>
      </c>
      <c r="I66">
        <v>48.125</v>
      </c>
      <c r="J66">
        <v>27.446000000000002</v>
      </c>
      <c r="K66" t="s">
        <v>227</v>
      </c>
      <c r="L66">
        <v>9.1294000000000004</v>
      </c>
      <c r="M66">
        <v>7.75</v>
      </c>
    </row>
    <row r="67" spans="1:13" x14ac:dyDescent="0.2">
      <c r="A67">
        <v>66</v>
      </c>
      <c r="B67">
        <v>8</v>
      </c>
      <c r="C67">
        <v>187608.429</v>
      </c>
      <c r="D67">
        <v>419416.4</v>
      </c>
      <c r="E67" t="s">
        <v>21</v>
      </c>
      <c r="F67">
        <v>1191.6679999999999</v>
      </c>
      <c r="G67" t="s">
        <v>13</v>
      </c>
      <c r="H67">
        <v>68</v>
      </c>
      <c r="I67">
        <v>36.817999999999998</v>
      </c>
      <c r="J67">
        <v>16.11</v>
      </c>
      <c r="K67" t="s">
        <v>227</v>
      </c>
      <c r="L67">
        <v>10.5085</v>
      </c>
      <c r="M67">
        <v>7.75</v>
      </c>
    </row>
    <row r="68" spans="1:13" x14ac:dyDescent="0.2">
      <c r="A68">
        <v>67</v>
      </c>
      <c r="B68">
        <v>8</v>
      </c>
      <c r="C68">
        <v>187603.39600000001</v>
      </c>
      <c r="D68">
        <v>419439.76699999999</v>
      </c>
      <c r="E68" t="s">
        <v>23</v>
      </c>
      <c r="F68">
        <v>1214.1369999999999</v>
      </c>
      <c r="G68" t="s">
        <v>13</v>
      </c>
      <c r="H68">
        <v>80.566000000000003</v>
      </c>
      <c r="I68">
        <v>48.408999999999999</v>
      </c>
      <c r="J68">
        <v>27.241</v>
      </c>
      <c r="K68" t="s">
        <v>227</v>
      </c>
      <c r="L68">
        <v>9.1258999999999997</v>
      </c>
      <c r="M68">
        <v>7.75</v>
      </c>
    </row>
    <row r="69" spans="1:13" x14ac:dyDescent="0.2">
      <c r="A69">
        <v>68</v>
      </c>
      <c r="B69">
        <v>8</v>
      </c>
      <c r="C69">
        <v>187590.125</v>
      </c>
      <c r="D69">
        <v>419456.14600000001</v>
      </c>
      <c r="E69" t="s">
        <v>23</v>
      </c>
      <c r="F69">
        <v>1236.9159999999999</v>
      </c>
      <c r="G69" t="s">
        <v>13</v>
      </c>
      <c r="H69">
        <v>82.350999999999999</v>
      </c>
      <c r="I69">
        <v>49.048999999999999</v>
      </c>
      <c r="J69">
        <v>27.57</v>
      </c>
      <c r="K69" t="s">
        <v>227</v>
      </c>
      <c r="L69">
        <v>9.1498000000000008</v>
      </c>
      <c r="M69">
        <v>7.75</v>
      </c>
    </row>
    <row r="70" spans="1:13" x14ac:dyDescent="0.2">
      <c r="A70">
        <v>69</v>
      </c>
      <c r="B70">
        <v>8</v>
      </c>
      <c r="C70">
        <v>187578.704</v>
      </c>
      <c r="D70">
        <v>419472.06099999999</v>
      </c>
      <c r="E70" t="s">
        <v>23</v>
      </c>
      <c r="F70">
        <v>1256.5050000000001</v>
      </c>
      <c r="G70" t="s">
        <v>13</v>
      </c>
      <c r="H70">
        <v>85.147000000000006</v>
      </c>
      <c r="I70">
        <v>49.405000000000001</v>
      </c>
      <c r="J70">
        <v>28.573</v>
      </c>
      <c r="K70" t="s">
        <v>227</v>
      </c>
      <c r="L70">
        <v>9.2566000000000006</v>
      </c>
      <c r="M70">
        <v>7.75</v>
      </c>
    </row>
    <row r="71" spans="1:13" x14ac:dyDescent="0.2">
      <c r="A71">
        <v>70</v>
      </c>
      <c r="B71">
        <v>8</v>
      </c>
      <c r="C71">
        <v>187568.59299999999</v>
      </c>
      <c r="D71">
        <v>419487.03899999999</v>
      </c>
      <c r="E71" t="s">
        <v>23</v>
      </c>
      <c r="F71">
        <v>1275.7829999999999</v>
      </c>
      <c r="G71" t="s">
        <v>13</v>
      </c>
      <c r="H71">
        <v>88.239000000000004</v>
      </c>
      <c r="I71">
        <v>50.252000000000002</v>
      </c>
      <c r="J71">
        <v>24.151</v>
      </c>
      <c r="K71" t="s">
        <v>227</v>
      </c>
      <c r="L71">
        <v>9.2270000000000003</v>
      </c>
      <c r="M71">
        <v>7.75</v>
      </c>
    </row>
    <row r="72" spans="1:13" x14ac:dyDescent="0.2">
      <c r="A72">
        <v>71</v>
      </c>
      <c r="B72">
        <v>8</v>
      </c>
      <c r="C72">
        <v>187572.899</v>
      </c>
      <c r="D72">
        <v>419497.712</v>
      </c>
      <c r="E72" t="s">
        <v>23</v>
      </c>
      <c r="F72">
        <v>1282.0719999999999</v>
      </c>
      <c r="G72" t="s">
        <v>13</v>
      </c>
      <c r="H72">
        <v>98.74</v>
      </c>
      <c r="I72">
        <v>60.084000000000003</v>
      </c>
      <c r="J72">
        <v>26.064</v>
      </c>
      <c r="K72" t="s">
        <v>227</v>
      </c>
      <c r="L72">
        <v>9.0945999999999998</v>
      </c>
      <c r="M72">
        <v>7.75</v>
      </c>
    </row>
    <row r="73" spans="1:13" x14ac:dyDescent="0.2">
      <c r="A73">
        <v>72</v>
      </c>
      <c r="B73">
        <v>8</v>
      </c>
      <c r="C73">
        <v>187587.69099999999</v>
      </c>
      <c r="D73">
        <v>419503.516</v>
      </c>
      <c r="E73" t="s">
        <v>23</v>
      </c>
      <c r="F73">
        <v>1278.3689999999999</v>
      </c>
      <c r="G73" t="s">
        <v>13</v>
      </c>
      <c r="H73">
        <v>113.426</v>
      </c>
      <c r="I73">
        <v>75.411000000000001</v>
      </c>
      <c r="J73">
        <v>41.290999999999997</v>
      </c>
      <c r="K73" t="s">
        <v>227</v>
      </c>
      <c r="L73">
        <v>9.1628000000000007</v>
      </c>
      <c r="M73">
        <v>7.75</v>
      </c>
    </row>
    <row r="74" spans="1:13" x14ac:dyDescent="0.2">
      <c r="A74">
        <v>73</v>
      </c>
      <c r="B74">
        <v>8</v>
      </c>
      <c r="C74">
        <v>187568.78</v>
      </c>
      <c r="D74">
        <v>419465.50799999997</v>
      </c>
      <c r="E74" t="s">
        <v>21</v>
      </c>
      <c r="F74">
        <v>1257.171</v>
      </c>
      <c r="G74" t="s">
        <v>13</v>
      </c>
      <c r="H74">
        <v>73.451999999999998</v>
      </c>
      <c r="I74">
        <v>37.531999999999996</v>
      </c>
      <c r="J74">
        <v>16.7</v>
      </c>
      <c r="K74" t="s">
        <v>227</v>
      </c>
      <c r="L74">
        <v>10.579599999999999</v>
      </c>
      <c r="M74">
        <v>7.75</v>
      </c>
    </row>
    <row r="75" spans="1:13" x14ac:dyDescent="0.2">
      <c r="A75">
        <v>74</v>
      </c>
      <c r="B75">
        <v>8</v>
      </c>
      <c r="C75">
        <v>187607.53700000001</v>
      </c>
      <c r="D75">
        <v>419467.56699999998</v>
      </c>
      <c r="E75" t="s">
        <v>21</v>
      </c>
      <c r="F75">
        <v>1235.684</v>
      </c>
      <c r="G75" t="s">
        <v>13</v>
      </c>
      <c r="H75">
        <v>102.819</v>
      </c>
      <c r="I75">
        <v>69.825000000000003</v>
      </c>
      <c r="J75">
        <v>48.253999999999998</v>
      </c>
      <c r="K75" t="s">
        <v>227</v>
      </c>
      <c r="L75">
        <v>9.9273000000000007</v>
      </c>
      <c r="M75">
        <v>7.75</v>
      </c>
    </row>
    <row r="76" spans="1:13" x14ac:dyDescent="0.2">
      <c r="A76">
        <v>75</v>
      </c>
      <c r="B76">
        <v>8</v>
      </c>
      <c r="C76">
        <v>187643.91899999999</v>
      </c>
      <c r="D76">
        <v>419413.65600000002</v>
      </c>
      <c r="E76" t="s">
        <v>21</v>
      </c>
      <c r="F76">
        <v>1165.53</v>
      </c>
      <c r="G76" t="s">
        <v>13</v>
      </c>
      <c r="H76">
        <v>91.32</v>
      </c>
      <c r="I76">
        <v>61.73</v>
      </c>
      <c r="J76">
        <v>41.021999999999998</v>
      </c>
      <c r="K76" t="s">
        <v>227</v>
      </c>
      <c r="L76">
        <v>9.1294002532958896</v>
      </c>
      <c r="M76">
        <v>7.75</v>
      </c>
    </row>
    <row r="77" spans="1:13" x14ac:dyDescent="0.2">
      <c r="A77">
        <v>76</v>
      </c>
      <c r="B77">
        <v>8</v>
      </c>
      <c r="C77">
        <v>187630.16899999999</v>
      </c>
      <c r="D77">
        <v>419432.37900000002</v>
      </c>
      <c r="E77" t="s">
        <v>21</v>
      </c>
      <c r="F77">
        <v>1189.2349999999999</v>
      </c>
      <c r="G77" t="s">
        <v>13</v>
      </c>
      <c r="H77">
        <v>94.747</v>
      </c>
      <c r="I77">
        <v>63.701999999999998</v>
      </c>
      <c r="J77">
        <v>43.037999999999997</v>
      </c>
      <c r="K77" t="s">
        <v>227</v>
      </c>
      <c r="L77">
        <v>9.1294002532958896</v>
      </c>
      <c r="M77">
        <v>7.75</v>
      </c>
    </row>
    <row r="78" spans="1:13" x14ac:dyDescent="0.2">
      <c r="A78">
        <v>77</v>
      </c>
      <c r="B78">
        <v>8</v>
      </c>
      <c r="C78">
        <v>187631.924</v>
      </c>
      <c r="D78">
        <v>419519.26699999999</v>
      </c>
      <c r="E78" t="s">
        <v>23</v>
      </c>
      <c r="F78">
        <v>1263.3040000000001</v>
      </c>
      <c r="G78" t="s">
        <v>13</v>
      </c>
      <c r="H78">
        <v>156.22999999999999</v>
      </c>
      <c r="I78">
        <v>120.288</v>
      </c>
      <c r="J78">
        <v>87.822000000000003</v>
      </c>
      <c r="K78" t="s">
        <v>227</v>
      </c>
      <c r="L78">
        <v>9.0883000000000003</v>
      </c>
      <c r="M78">
        <v>7.75</v>
      </c>
    </row>
    <row r="79" spans="1:13" x14ac:dyDescent="0.2">
      <c r="A79">
        <v>78</v>
      </c>
      <c r="B79">
        <v>8</v>
      </c>
      <c r="C79">
        <v>187620.51500000001</v>
      </c>
      <c r="D79">
        <v>419537.11200000002</v>
      </c>
      <c r="E79" t="s">
        <v>23</v>
      </c>
      <c r="F79">
        <v>1287.1410000000001</v>
      </c>
      <c r="G79" t="s">
        <v>13</v>
      </c>
      <c r="H79">
        <v>160.37299999999999</v>
      </c>
      <c r="I79">
        <v>121.80800000000001</v>
      </c>
      <c r="J79">
        <v>81.563999999999993</v>
      </c>
      <c r="K79" t="s">
        <v>227</v>
      </c>
      <c r="L79">
        <v>9.3460999999999999</v>
      </c>
      <c r="M79">
        <v>7.75</v>
      </c>
    </row>
    <row r="80" spans="1:13" x14ac:dyDescent="0.2">
      <c r="A80">
        <v>79</v>
      </c>
      <c r="B80">
        <v>8</v>
      </c>
      <c r="C80">
        <v>187581.89799999999</v>
      </c>
      <c r="D80">
        <v>419526.58100000001</v>
      </c>
      <c r="E80" t="s">
        <v>23</v>
      </c>
      <c r="F80">
        <v>1301.2470000000001</v>
      </c>
      <c r="G80" t="s">
        <v>13</v>
      </c>
      <c r="H80">
        <v>125.20699999999999</v>
      </c>
      <c r="I80">
        <v>84.554000000000002</v>
      </c>
      <c r="J80">
        <v>41.65</v>
      </c>
      <c r="K80" t="s">
        <v>227</v>
      </c>
      <c r="L80">
        <v>9.4944000000000006</v>
      </c>
      <c r="M80">
        <v>7.75</v>
      </c>
    </row>
    <row r="81" spans="1:13" x14ac:dyDescent="0.2">
      <c r="A81">
        <v>80</v>
      </c>
      <c r="B81">
        <v>9</v>
      </c>
      <c r="C81">
        <v>187548.54699999999</v>
      </c>
      <c r="D81">
        <v>419522.19199999998</v>
      </c>
      <c r="E81" t="s">
        <v>23</v>
      </c>
      <c r="F81">
        <v>1318.586</v>
      </c>
      <c r="G81" t="s">
        <v>14</v>
      </c>
      <c r="H81">
        <v>97.070999999999998</v>
      </c>
      <c r="I81">
        <v>54.765999999999998</v>
      </c>
      <c r="J81">
        <v>12.044</v>
      </c>
      <c r="K81" t="s">
        <v>228</v>
      </c>
      <c r="L81">
        <v>9.1057000000000006</v>
      </c>
      <c r="M81">
        <v>7.75</v>
      </c>
    </row>
    <row r="82" spans="1:13" x14ac:dyDescent="0.2">
      <c r="A82">
        <v>81</v>
      </c>
      <c r="B82">
        <v>9</v>
      </c>
      <c r="C82">
        <v>187525.728</v>
      </c>
      <c r="D82">
        <v>419529.21399999998</v>
      </c>
      <c r="E82" t="s">
        <v>23</v>
      </c>
      <c r="F82">
        <v>1336.444</v>
      </c>
      <c r="G82" t="s">
        <v>14</v>
      </c>
      <c r="H82">
        <v>82.44</v>
      </c>
      <c r="I82">
        <v>38.996000000000002</v>
      </c>
      <c r="J82">
        <v>8.7789999999999999</v>
      </c>
      <c r="K82" t="s">
        <v>228</v>
      </c>
      <c r="L82">
        <v>9.0036000000000005</v>
      </c>
      <c r="M82">
        <v>7.75</v>
      </c>
    </row>
    <row r="83" spans="1:13" x14ac:dyDescent="0.2">
      <c r="A83">
        <v>82</v>
      </c>
      <c r="B83">
        <v>9</v>
      </c>
      <c r="C83">
        <v>187506.432</v>
      </c>
      <c r="D83">
        <v>419553.50699999998</v>
      </c>
      <c r="E83" t="s">
        <v>23</v>
      </c>
      <c r="F83">
        <v>1366.923</v>
      </c>
      <c r="G83" t="s">
        <v>14</v>
      </c>
      <c r="H83">
        <v>73.295000000000002</v>
      </c>
      <c r="I83">
        <v>35.268000000000001</v>
      </c>
      <c r="J83">
        <v>9.6579999999999995</v>
      </c>
      <c r="K83" t="s">
        <v>229</v>
      </c>
      <c r="L83">
        <v>8.82</v>
      </c>
      <c r="M83">
        <v>7.75</v>
      </c>
    </row>
    <row r="84" spans="1:13" x14ac:dyDescent="0.2">
      <c r="A84">
        <v>83</v>
      </c>
      <c r="B84">
        <v>9</v>
      </c>
      <c r="C84">
        <v>187495.01</v>
      </c>
      <c r="D84">
        <v>419573.54100000003</v>
      </c>
      <c r="E84" t="s">
        <v>23</v>
      </c>
      <c r="F84">
        <v>1391.097</v>
      </c>
      <c r="G84" t="s">
        <v>14</v>
      </c>
      <c r="H84">
        <v>70.331999999999994</v>
      </c>
      <c r="I84">
        <v>36.021000000000001</v>
      </c>
      <c r="J84">
        <v>9.3379999999999992</v>
      </c>
      <c r="K84" t="s">
        <v>229</v>
      </c>
      <c r="L84">
        <v>8.8564000000000007</v>
      </c>
      <c r="M84">
        <v>7.75</v>
      </c>
    </row>
    <row r="85" spans="1:13" x14ac:dyDescent="0.2">
      <c r="A85">
        <v>84</v>
      </c>
      <c r="B85">
        <v>9</v>
      </c>
      <c r="C85">
        <v>187483.02799999999</v>
      </c>
      <c r="D85">
        <v>419593.38799999998</v>
      </c>
      <c r="E85" t="s">
        <v>23</v>
      </c>
      <c r="F85">
        <v>1414.4690000000001</v>
      </c>
      <c r="G85" t="s">
        <v>14</v>
      </c>
      <c r="H85">
        <v>66.694000000000003</v>
      </c>
      <c r="I85">
        <v>35.555</v>
      </c>
      <c r="J85">
        <v>8.4359999999999999</v>
      </c>
      <c r="K85" t="s">
        <v>229</v>
      </c>
      <c r="L85">
        <v>8.7265999999999995</v>
      </c>
      <c r="M85">
        <v>7.75</v>
      </c>
    </row>
    <row r="86" spans="1:13" x14ac:dyDescent="0.2">
      <c r="A86">
        <v>85</v>
      </c>
      <c r="B86">
        <v>9</v>
      </c>
      <c r="C86">
        <v>187469.734</v>
      </c>
      <c r="D86">
        <v>419617.353</v>
      </c>
      <c r="E86" t="s">
        <v>23</v>
      </c>
      <c r="F86">
        <v>1442.1369999999999</v>
      </c>
      <c r="G86" t="s">
        <v>14</v>
      </c>
      <c r="H86">
        <v>63.052</v>
      </c>
      <c r="I86">
        <v>35.661999999999999</v>
      </c>
      <c r="J86">
        <v>8.3759999999999994</v>
      </c>
      <c r="K86" t="s">
        <v>229</v>
      </c>
      <c r="L86">
        <v>8.6908999999999992</v>
      </c>
      <c r="M86">
        <v>7.75</v>
      </c>
    </row>
    <row r="87" spans="1:13" x14ac:dyDescent="0.2">
      <c r="A87">
        <v>86</v>
      </c>
      <c r="B87">
        <v>9</v>
      </c>
      <c r="C87">
        <v>187507.18100000001</v>
      </c>
      <c r="D87">
        <v>419604.24699999997</v>
      </c>
      <c r="E87" t="s">
        <v>21</v>
      </c>
      <c r="F87">
        <v>1412.019</v>
      </c>
      <c r="G87" t="s">
        <v>14</v>
      </c>
      <c r="H87">
        <v>93.143000000000001</v>
      </c>
      <c r="I87">
        <v>61.935000000000002</v>
      </c>
      <c r="J87">
        <v>34.829000000000001</v>
      </c>
      <c r="K87" t="s">
        <v>229</v>
      </c>
      <c r="L87">
        <v>9.3066999999999993</v>
      </c>
      <c r="M87">
        <v>7.75</v>
      </c>
    </row>
    <row r="88" spans="1:13" x14ac:dyDescent="0.2">
      <c r="A88">
        <v>87</v>
      </c>
      <c r="B88">
        <v>9</v>
      </c>
      <c r="C88">
        <v>187522.72099999999</v>
      </c>
      <c r="D88">
        <v>419584.21299999999</v>
      </c>
      <c r="E88" t="s">
        <v>21</v>
      </c>
      <c r="F88">
        <v>1385.58</v>
      </c>
      <c r="G88" t="s">
        <v>14</v>
      </c>
      <c r="H88">
        <v>100.02</v>
      </c>
      <c r="I88">
        <v>65.218999999999994</v>
      </c>
      <c r="J88">
        <v>38.756</v>
      </c>
      <c r="K88" t="s">
        <v>229</v>
      </c>
      <c r="L88">
        <v>9.4048999999999996</v>
      </c>
      <c r="M88">
        <v>7.75</v>
      </c>
    </row>
    <row r="89" spans="1:13" x14ac:dyDescent="0.2">
      <c r="A89">
        <v>88</v>
      </c>
      <c r="B89">
        <v>9</v>
      </c>
      <c r="C89">
        <v>187533.76800000001</v>
      </c>
      <c r="D89">
        <v>419562.12</v>
      </c>
      <c r="E89" t="s">
        <v>21</v>
      </c>
      <c r="F89">
        <v>1359.9880000000001</v>
      </c>
      <c r="G89" t="s">
        <v>14</v>
      </c>
      <c r="H89">
        <v>101.854</v>
      </c>
      <c r="I89">
        <v>63.069000000000003</v>
      </c>
      <c r="J89">
        <v>37.752000000000002</v>
      </c>
      <c r="K89" t="s">
        <v>229</v>
      </c>
      <c r="L89">
        <v>9.4594000000000005</v>
      </c>
      <c r="M89">
        <v>7.75</v>
      </c>
    </row>
    <row r="90" spans="1:13" x14ac:dyDescent="0.2">
      <c r="A90">
        <v>89</v>
      </c>
      <c r="B90">
        <v>9</v>
      </c>
      <c r="C90">
        <v>187546.87400000001</v>
      </c>
      <c r="D90">
        <v>419539.09</v>
      </c>
      <c r="E90" t="s">
        <v>21</v>
      </c>
      <c r="F90">
        <v>1331.779</v>
      </c>
      <c r="G90" t="s">
        <v>14</v>
      </c>
      <c r="H90">
        <v>105.548</v>
      </c>
      <c r="I90">
        <v>62.183</v>
      </c>
      <c r="J90">
        <v>27.361999999999998</v>
      </c>
      <c r="K90" t="s">
        <v>228</v>
      </c>
      <c r="L90">
        <v>9.5521999999999991</v>
      </c>
      <c r="M90">
        <v>7.75</v>
      </c>
    </row>
    <row r="91" spans="1:13" x14ac:dyDescent="0.2">
      <c r="A91">
        <v>90</v>
      </c>
      <c r="B91">
        <v>9</v>
      </c>
      <c r="C91">
        <v>187501.182</v>
      </c>
      <c r="D91">
        <v>419626.10100000002</v>
      </c>
      <c r="E91" t="s">
        <v>21</v>
      </c>
      <c r="F91">
        <v>1433.96</v>
      </c>
      <c r="G91" t="s">
        <v>14</v>
      </c>
      <c r="H91">
        <v>95.525000000000006</v>
      </c>
      <c r="I91">
        <v>67.375</v>
      </c>
      <c r="J91">
        <v>40.136000000000003</v>
      </c>
      <c r="K91" t="s">
        <v>229</v>
      </c>
      <c r="L91">
        <v>8.8773999999999997</v>
      </c>
      <c r="M91">
        <v>7.75</v>
      </c>
    </row>
    <row r="92" spans="1:13" x14ac:dyDescent="0.2">
      <c r="A92">
        <v>91</v>
      </c>
      <c r="B92">
        <v>9</v>
      </c>
      <c r="C92">
        <v>187459.96</v>
      </c>
      <c r="D92">
        <v>419634.609</v>
      </c>
      <c r="E92" t="s">
        <v>23</v>
      </c>
      <c r="F92">
        <v>1462.4069999999999</v>
      </c>
      <c r="G92" t="s">
        <v>14</v>
      </c>
      <c r="H92">
        <v>60.241999999999997</v>
      </c>
      <c r="I92">
        <v>35.561999999999998</v>
      </c>
      <c r="J92">
        <v>7.7350000000000003</v>
      </c>
      <c r="K92" t="s">
        <v>229</v>
      </c>
      <c r="L92">
        <v>8.7820999999999998</v>
      </c>
      <c r="M92">
        <v>7.75</v>
      </c>
    </row>
    <row r="93" spans="1:13" x14ac:dyDescent="0.2">
      <c r="A93">
        <v>92</v>
      </c>
      <c r="B93">
        <v>9</v>
      </c>
      <c r="C93">
        <v>187451.33300000001</v>
      </c>
      <c r="D93">
        <v>419652.34299999999</v>
      </c>
      <c r="E93" t="s">
        <v>23</v>
      </c>
      <c r="F93">
        <v>1482.5709999999999</v>
      </c>
      <c r="G93" t="s">
        <v>14</v>
      </c>
      <c r="H93">
        <v>58.673999999999999</v>
      </c>
      <c r="I93">
        <v>36.697000000000003</v>
      </c>
      <c r="J93">
        <v>8.2720000000000002</v>
      </c>
      <c r="K93" t="s">
        <v>230</v>
      </c>
      <c r="L93">
        <v>8.6329999999999991</v>
      </c>
      <c r="M93">
        <v>7.75</v>
      </c>
    </row>
    <row r="94" spans="1:13" x14ac:dyDescent="0.2">
      <c r="A94">
        <v>93</v>
      </c>
      <c r="B94">
        <v>9</v>
      </c>
      <c r="C94">
        <v>187443.90299999999</v>
      </c>
      <c r="D94">
        <v>419666.84299999999</v>
      </c>
      <c r="E94" t="s">
        <v>23</v>
      </c>
      <c r="F94">
        <v>1498.367</v>
      </c>
      <c r="G94" t="s">
        <v>14</v>
      </c>
      <c r="H94">
        <v>57.042000000000002</v>
      </c>
      <c r="I94">
        <v>36.551000000000002</v>
      </c>
      <c r="J94">
        <v>8.3780000000000001</v>
      </c>
      <c r="K94" t="s">
        <v>230</v>
      </c>
      <c r="L94">
        <v>8.5892999999999997</v>
      </c>
      <c r="M94">
        <v>7.75</v>
      </c>
    </row>
    <row r="95" spans="1:13" x14ac:dyDescent="0.2">
      <c r="A95">
        <v>94</v>
      </c>
      <c r="B95">
        <v>9</v>
      </c>
      <c r="C95">
        <v>187436.47399999999</v>
      </c>
      <c r="D95">
        <v>419680.50300000003</v>
      </c>
      <c r="E95" t="s">
        <v>23</v>
      </c>
      <c r="F95">
        <v>1513.9159999999999</v>
      </c>
      <c r="G95" t="s">
        <v>14</v>
      </c>
      <c r="H95">
        <v>55.103999999999999</v>
      </c>
      <c r="I95">
        <v>35.68</v>
      </c>
      <c r="J95">
        <v>8.0960000000000001</v>
      </c>
      <c r="K95" t="s">
        <v>230</v>
      </c>
      <c r="L95">
        <v>8.6798000000000002</v>
      </c>
      <c r="M95">
        <v>7.75</v>
      </c>
    </row>
    <row r="96" spans="1:13" x14ac:dyDescent="0.2">
      <c r="A96">
        <v>95</v>
      </c>
      <c r="B96">
        <v>9</v>
      </c>
      <c r="C96">
        <v>187479.97200000001</v>
      </c>
      <c r="D96">
        <v>419681.58199999999</v>
      </c>
      <c r="E96" t="s">
        <v>21</v>
      </c>
      <c r="F96">
        <v>1495.748</v>
      </c>
      <c r="G96" t="s">
        <v>14</v>
      </c>
      <c r="H96">
        <v>96.001999999999995</v>
      </c>
      <c r="I96">
        <v>75.457999999999998</v>
      </c>
      <c r="J96">
        <v>47.176000000000002</v>
      </c>
      <c r="K96" t="s">
        <v>230</v>
      </c>
      <c r="L96">
        <v>8.9077999999999999</v>
      </c>
      <c r="M96">
        <v>7.75</v>
      </c>
    </row>
    <row r="97" spans="1:13" x14ac:dyDescent="0.2">
      <c r="A97">
        <v>96</v>
      </c>
      <c r="B97">
        <v>9</v>
      </c>
      <c r="C97">
        <v>187502.14</v>
      </c>
      <c r="D97">
        <v>419689.25099999999</v>
      </c>
      <c r="E97" t="s">
        <v>21</v>
      </c>
      <c r="F97">
        <v>1492.5930000000001</v>
      </c>
      <c r="G97" t="s">
        <v>14</v>
      </c>
      <c r="H97">
        <v>119.44</v>
      </c>
      <c r="I97">
        <v>98.775999999999996</v>
      </c>
      <c r="J97">
        <v>70.381</v>
      </c>
      <c r="K97" t="s">
        <v>230</v>
      </c>
      <c r="L97">
        <v>8.5473999999999997</v>
      </c>
      <c r="M97">
        <v>7.75</v>
      </c>
    </row>
    <row r="98" spans="1:13" x14ac:dyDescent="0.2">
      <c r="A98">
        <v>97</v>
      </c>
      <c r="B98">
        <v>9</v>
      </c>
      <c r="C98">
        <v>187524.788</v>
      </c>
      <c r="D98">
        <v>419634.489</v>
      </c>
      <c r="E98" t="s">
        <v>21</v>
      </c>
      <c r="F98">
        <v>1429.615</v>
      </c>
      <c r="G98" t="s">
        <v>14</v>
      </c>
      <c r="H98">
        <v>120.56399999999999</v>
      </c>
      <c r="I98">
        <v>92.070999999999998</v>
      </c>
      <c r="J98">
        <v>64.856999999999999</v>
      </c>
      <c r="K98" t="s">
        <v>229</v>
      </c>
      <c r="L98">
        <v>8.7873999999999999</v>
      </c>
      <c r="M98">
        <v>7.75</v>
      </c>
    </row>
    <row r="99" spans="1:13" x14ac:dyDescent="0.2">
      <c r="A99">
        <v>98</v>
      </c>
      <c r="B99">
        <v>9</v>
      </c>
      <c r="C99">
        <v>187432.52</v>
      </c>
      <c r="D99">
        <v>419689.73</v>
      </c>
      <c r="E99" t="s">
        <v>23</v>
      </c>
      <c r="F99">
        <v>1524.9290000000001</v>
      </c>
      <c r="G99" t="s">
        <v>14</v>
      </c>
      <c r="H99">
        <v>54.786000000000001</v>
      </c>
      <c r="I99">
        <v>36.054000000000002</v>
      </c>
      <c r="J99">
        <v>8.9260000000000002</v>
      </c>
      <c r="K99" t="s">
        <v>230</v>
      </c>
      <c r="L99">
        <v>8.7263000000000002</v>
      </c>
      <c r="M99">
        <v>7.75</v>
      </c>
    </row>
    <row r="100" spans="1:13" x14ac:dyDescent="0.2">
      <c r="A100">
        <v>100</v>
      </c>
      <c r="B100">
        <v>9</v>
      </c>
      <c r="C100">
        <v>187474.58</v>
      </c>
      <c r="D100">
        <v>419641.679</v>
      </c>
      <c r="E100" t="s">
        <v>21</v>
      </c>
      <c r="F100">
        <v>1462.16</v>
      </c>
      <c r="G100" t="s">
        <v>14</v>
      </c>
      <c r="H100">
        <v>76.433000000000007</v>
      </c>
      <c r="I100">
        <v>51.771999999999998</v>
      </c>
      <c r="J100">
        <v>23.966999999999999</v>
      </c>
      <c r="K100" t="s">
        <v>229</v>
      </c>
      <c r="L100">
        <v>9.1720000000000006</v>
      </c>
      <c r="M100">
        <v>7.75</v>
      </c>
    </row>
    <row r="101" spans="1:13" x14ac:dyDescent="0.2">
      <c r="A101">
        <v>101</v>
      </c>
      <c r="B101">
        <v>9</v>
      </c>
      <c r="C101">
        <v>187452.41099999999</v>
      </c>
      <c r="D101">
        <v>419687.45299999998</v>
      </c>
      <c r="E101" t="s">
        <v>21</v>
      </c>
      <c r="F101">
        <v>1512.579</v>
      </c>
      <c r="G101" t="s">
        <v>14</v>
      </c>
      <c r="H101">
        <v>72.478999999999999</v>
      </c>
      <c r="I101">
        <v>53.058999999999997</v>
      </c>
      <c r="J101">
        <v>25.442</v>
      </c>
      <c r="K101" t="s">
        <v>230</v>
      </c>
      <c r="L101">
        <v>9.0852000000000004</v>
      </c>
      <c r="M101">
        <v>7.75</v>
      </c>
    </row>
    <row r="102" spans="1:13" x14ac:dyDescent="0.2">
      <c r="A102">
        <v>102</v>
      </c>
      <c r="B102">
        <v>9</v>
      </c>
      <c r="C102">
        <v>187467.39</v>
      </c>
      <c r="D102">
        <v>419658.81400000001</v>
      </c>
      <c r="E102" t="s">
        <v>21</v>
      </c>
      <c r="F102">
        <v>1481.1030000000001</v>
      </c>
      <c r="G102" t="s">
        <v>14</v>
      </c>
      <c r="H102">
        <v>75.984999999999999</v>
      </c>
      <c r="I102">
        <v>53.869</v>
      </c>
      <c r="J102">
        <v>25.503</v>
      </c>
      <c r="K102" t="s">
        <v>230</v>
      </c>
      <c r="L102">
        <v>9.1880000000000006</v>
      </c>
      <c r="M102">
        <v>7.75</v>
      </c>
    </row>
    <row r="103" spans="1:13" x14ac:dyDescent="0.2">
      <c r="A103">
        <v>103</v>
      </c>
      <c r="B103">
        <v>9</v>
      </c>
      <c r="C103">
        <v>187447.019</v>
      </c>
      <c r="D103">
        <v>419699.67599999998</v>
      </c>
      <c r="E103" t="s">
        <v>21</v>
      </c>
      <c r="F103">
        <v>1527.6120000000001</v>
      </c>
      <c r="G103" t="s">
        <v>14</v>
      </c>
      <c r="H103">
        <v>71.912999999999997</v>
      </c>
      <c r="I103">
        <v>53.414000000000001</v>
      </c>
      <c r="J103">
        <v>26.507999999999999</v>
      </c>
      <c r="K103" t="s">
        <v>230</v>
      </c>
      <c r="L103">
        <v>9.2014999999999993</v>
      </c>
      <c r="M103">
        <v>7.75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9FF6-8968-4FA6-BAEC-B95365AA2886}">
  <dimension ref="A1:P55"/>
  <sheetViews>
    <sheetView tabSelected="1" topLeftCell="D16" zoomScale="85" zoomScaleNormal="85" workbookViewId="0">
      <selection activeCell="R50" sqref="R50"/>
    </sheetView>
  </sheetViews>
  <sheetFormatPr defaultRowHeight="11.4" x14ac:dyDescent="0.2"/>
  <cols>
    <col min="1" max="1" width="19" bestFit="1" customWidth="1"/>
    <col min="2" max="2" width="8.19921875" customWidth="1"/>
    <col min="3" max="3" width="21.69921875" bestFit="1" customWidth="1"/>
    <col min="4" max="4" width="21" bestFit="1" customWidth="1"/>
    <col min="5" max="6" width="13.8984375" bestFit="1" customWidth="1"/>
    <col min="7" max="8" width="23.09765625" bestFit="1" customWidth="1"/>
    <col min="9" max="10" width="11.59765625" bestFit="1" customWidth="1"/>
    <col min="11" max="11" width="12.5" bestFit="1" customWidth="1"/>
    <col min="12" max="12" width="11.3984375" customWidth="1"/>
    <col min="13" max="13" width="9.19921875" bestFit="1" customWidth="1"/>
    <col min="14" max="14" width="9.19921875" customWidth="1"/>
    <col min="15" max="15" width="16.5" bestFit="1" customWidth="1"/>
    <col min="16" max="16" width="16.59765625" customWidth="1"/>
  </cols>
  <sheetData>
    <row r="1" spans="1:16" s="5" customFormat="1" x14ac:dyDescent="0.2">
      <c r="A1" s="4" t="s">
        <v>149</v>
      </c>
      <c r="B1" s="4" t="s">
        <v>140</v>
      </c>
      <c r="C1" s="4" t="s">
        <v>150</v>
      </c>
      <c r="D1" s="4" t="s">
        <v>151</v>
      </c>
      <c r="E1" s="4" t="s">
        <v>24</v>
      </c>
      <c r="F1" s="4" t="str">
        <f>LEFT(E1,LEN(E1)-5)&amp;VLOOKUP(LEFT(E1,LEN(E1)-5),Overzicht_parameters!$A$2:$F$69,6,(FALSE))</f>
        <v>top_zand_stdev</v>
      </c>
      <c r="G1" s="4" t="s">
        <v>25</v>
      </c>
      <c r="H1" s="4" t="str">
        <f>LEFT(G1,LEN(G1)-5)&amp;VLOOKUP(LEFT(G1,LEN(G1)-5),Overzicht_parameters!$A$2:$F$69,6,(FALSE))</f>
        <v>gamma_sat_deklaag_stdev</v>
      </c>
      <c r="I1" s="4" t="s">
        <v>26</v>
      </c>
      <c r="J1" s="4" t="str">
        <f>LEFT(I1,LEN(I1)-5)&amp;VLOOKUP(LEFT(I1,LEN(I1)-5),Overzicht_parameters!$A$2:$F$69,6,(FALSE))</f>
        <v>D_wvp_stdev</v>
      </c>
      <c r="K1" s="4" t="s">
        <v>27</v>
      </c>
      <c r="L1" s="4" t="str">
        <f>LEFT(K1,LEN(K1)-5)&amp;VLOOKUP(LEFT(K1,LEN(K1)-5),Overzicht_parameters!$A$2:$F$69,6,(FALSE))</f>
        <v>kD_wvp_vc</v>
      </c>
      <c r="M1" s="4" t="s">
        <v>28</v>
      </c>
      <c r="N1" s="4" t="str">
        <f>LEFT(M1,LEN(M1)-5)&amp;VLOOKUP(LEFT(M1,LEN(M1)-5),Overzicht_parameters!$A$2:$F$69,6,(FALSE))</f>
        <v>d70_vc</v>
      </c>
      <c r="O1" s="4" t="s">
        <v>5</v>
      </c>
      <c r="P1" s="4" t="str">
        <f>LEFT(O1,LEN(O1)-5)&amp;VLOOKUP(LEFT(O1,LEN(O1)-5),Overzicht_parameters!$A$2:$F$69,6,(FALSE))</f>
        <v>c_achterland_vc</v>
      </c>
    </row>
    <row r="2" spans="1:16" x14ac:dyDescent="0.2">
      <c r="A2">
        <v>1</v>
      </c>
      <c r="B2">
        <v>1</v>
      </c>
      <c r="C2" t="s">
        <v>29</v>
      </c>
      <c r="D2">
        <v>0.5</v>
      </c>
      <c r="E2">
        <v>9.35</v>
      </c>
      <c r="F2">
        <v>0.5</v>
      </c>
      <c r="G2">
        <v>18.5</v>
      </c>
      <c r="H2">
        <v>0.92500000000000004</v>
      </c>
      <c r="I2">
        <v>10.5</v>
      </c>
      <c r="J2">
        <v>0.5</v>
      </c>
      <c r="K2">
        <v>588</v>
      </c>
      <c r="L2">
        <v>0.39</v>
      </c>
      <c r="M2" s="1">
        <v>4.4999999999999999E-4</v>
      </c>
      <c r="N2">
        <v>0.12</v>
      </c>
      <c r="O2">
        <v>10</v>
      </c>
      <c r="P2">
        <v>0.25</v>
      </c>
    </row>
    <row r="3" spans="1:16" x14ac:dyDescent="0.2">
      <c r="A3">
        <v>2</v>
      </c>
      <c r="B3">
        <v>1</v>
      </c>
      <c r="C3" t="s">
        <v>30</v>
      </c>
      <c r="D3">
        <v>0.5</v>
      </c>
      <c r="E3">
        <v>9.35</v>
      </c>
      <c r="F3">
        <v>0.5</v>
      </c>
      <c r="G3">
        <v>18.5</v>
      </c>
      <c r="H3">
        <v>0.92500000000000004</v>
      </c>
      <c r="I3">
        <v>11.8</v>
      </c>
      <c r="J3">
        <v>0.5</v>
      </c>
      <c r="K3">
        <v>613.6</v>
      </c>
      <c r="L3">
        <v>0.35</v>
      </c>
      <c r="M3" s="1">
        <v>4.4999999999999999E-4</v>
      </c>
      <c r="N3">
        <v>0.12</v>
      </c>
      <c r="O3">
        <v>10</v>
      </c>
      <c r="P3">
        <v>0.25</v>
      </c>
    </row>
    <row r="4" spans="1:16" x14ac:dyDescent="0.2">
      <c r="A4">
        <v>3</v>
      </c>
      <c r="B4">
        <v>1</v>
      </c>
      <c r="C4" t="s">
        <v>31</v>
      </c>
      <c r="D4">
        <v>0</v>
      </c>
      <c r="E4">
        <v>9.35</v>
      </c>
      <c r="F4">
        <v>0.5</v>
      </c>
      <c r="G4">
        <v>18.5</v>
      </c>
      <c r="H4">
        <v>0.92500000000000004</v>
      </c>
      <c r="J4">
        <v>0.5</v>
      </c>
      <c r="K4">
        <v>0</v>
      </c>
      <c r="M4" s="1">
        <v>4.4999999999999999E-4</v>
      </c>
      <c r="N4">
        <v>0.12</v>
      </c>
      <c r="O4">
        <v>10</v>
      </c>
      <c r="P4">
        <v>0.25</v>
      </c>
    </row>
    <row r="5" spans="1:16" x14ac:dyDescent="0.2">
      <c r="A5">
        <v>4</v>
      </c>
      <c r="B5">
        <v>1</v>
      </c>
      <c r="D5">
        <v>0</v>
      </c>
      <c r="E5">
        <v>9.35</v>
      </c>
      <c r="F5">
        <v>0.5</v>
      </c>
      <c r="G5">
        <v>18.5</v>
      </c>
      <c r="H5">
        <v>0.92500000000000004</v>
      </c>
      <c r="J5">
        <v>0.5</v>
      </c>
      <c r="K5">
        <v>0</v>
      </c>
      <c r="M5" s="1"/>
      <c r="N5">
        <v>0.12</v>
      </c>
      <c r="O5">
        <v>10</v>
      </c>
      <c r="P5">
        <v>0.25</v>
      </c>
    </row>
    <row r="6" spans="1:16" x14ac:dyDescent="0.2">
      <c r="A6">
        <v>5</v>
      </c>
      <c r="B6">
        <v>1</v>
      </c>
      <c r="D6">
        <v>0</v>
      </c>
      <c r="E6">
        <v>9.35</v>
      </c>
      <c r="F6">
        <v>0.5</v>
      </c>
      <c r="G6">
        <v>18.5</v>
      </c>
      <c r="H6">
        <v>0.92500000000000004</v>
      </c>
      <c r="J6">
        <v>0.5</v>
      </c>
      <c r="K6">
        <v>0</v>
      </c>
      <c r="M6" s="1"/>
      <c r="N6">
        <v>0.12</v>
      </c>
      <c r="O6">
        <v>10</v>
      </c>
      <c r="P6">
        <v>0.25</v>
      </c>
    </row>
    <row r="7" spans="1:16" x14ac:dyDescent="0.2">
      <c r="A7">
        <v>6</v>
      </c>
      <c r="B7">
        <v>1</v>
      </c>
      <c r="D7">
        <v>0</v>
      </c>
      <c r="E7">
        <v>9.35</v>
      </c>
      <c r="F7">
        <v>0.5</v>
      </c>
      <c r="G7">
        <v>18.5</v>
      </c>
      <c r="H7">
        <v>0.92500000000000004</v>
      </c>
      <c r="J7">
        <v>0.5</v>
      </c>
      <c r="K7">
        <v>0</v>
      </c>
      <c r="M7" s="1"/>
      <c r="N7">
        <v>0.12</v>
      </c>
      <c r="O7">
        <v>10</v>
      </c>
      <c r="P7">
        <v>0.25</v>
      </c>
    </row>
    <row r="8" spans="1:16" x14ac:dyDescent="0.2">
      <c r="A8">
        <v>7</v>
      </c>
      <c r="B8">
        <v>2</v>
      </c>
      <c r="C8" t="s">
        <v>29</v>
      </c>
      <c r="D8">
        <v>0.5</v>
      </c>
      <c r="E8">
        <v>9.35</v>
      </c>
      <c r="F8">
        <v>0.5</v>
      </c>
      <c r="G8">
        <v>18.5</v>
      </c>
      <c r="H8">
        <v>0.92500000000000004</v>
      </c>
      <c r="I8">
        <v>11</v>
      </c>
      <c r="J8">
        <v>0.5</v>
      </c>
      <c r="K8">
        <v>616</v>
      </c>
      <c r="L8">
        <v>0.39</v>
      </c>
      <c r="M8" s="1">
        <v>4.4999999999999999E-4</v>
      </c>
      <c r="N8">
        <v>0.12</v>
      </c>
      <c r="O8">
        <v>10</v>
      </c>
      <c r="P8">
        <v>0.25</v>
      </c>
    </row>
    <row r="9" spans="1:16" x14ac:dyDescent="0.2">
      <c r="A9">
        <v>8</v>
      </c>
      <c r="B9">
        <v>2</v>
      </c>
      <c r="C9" t="s">
        <v>30</v>
      </c>
      <c r="D9">
        <v>0.5</v>
      </c>
      <c r="E9">
        <v>9.35</v>
      </c>
      <c r="F9">
        <v>0.5</v>
      </c>
      <c r="G9">
        <v>18.5</v>
      </c>
      <c r="H9">
        <v>0.92500000000000004</v>
      </c>
      <c r="I9">
        <v>12.5</v>
      </c>
      <c r="J9">
        <v>0.5</v>
      </c>
      <c r="K9">
        <v>650</v>
      </c>
      <c r="L9">
        <v>0.35</v>
      </c>
      <c r="M9" s="1">
        <v>4.4999999999999999E-4</v>
      </c>
      <c r="N9">
        <v>0.12</v>
      </c>
      <c r="O9">
        <v>10</v>
      </c>
      <c r="P9">
        <v>0.25</v>
      </c>
    </row>
    <row r="10" spans="1:16" x14ac:dyDescent="0.2">
      <c r="A10">
        <v>9</v>
      </c>
      <c r="B10">
        <v>2</v>
      </c>
      <c r="C10" t="s">
        <v>31</v>
      </c>
      <c r="D10">
        <v>0</v>
      </c>
      <c r="E10">
        <v>9.35</v>
      </c>
      <c r="F10">
        <v>0.5</v>
      </c>
      <c r="G10">
        <v>18.5</v>
      </c>
      <c r="H10">
        <v>0.92500000000000004</v>
      </c>
      <c r="J10">
        <v>0.5</v>
      </c>
      <c r="K10">
        <v>0</v>
      </c>
      <c r="M10" s="1">
        <v>4.4999999999999999E-4</v>
      </c>
      <c r="N10">
        <v>0.12</v>
      </c>
      <c r="O10">
        <v>10</v>
      </c>
      <c r="P10">
        <v>0.25</v>
      </c>
    </row>
    <row r="11" spans="1:16" x14ac:dyDescent="0.2">
      <c r="A11">
        <v>10</v>
      </c>
      <c r="B11">
        <v>2</v>
      </c>
      <c r="D11">
        <v>0</v>
      </c>
      <c r="E11">
        <v>9.35</v>
      </c>
      <c r="F11">
        <v>0.5</v>
      </c>
      <c r="G11">
        <v>18.5</v>
      </c>
      <c r="H11">
        <v>0.92500000000000004</v>
      </c>
      <c r="J11">
        <v>0.5</v>
      </c>
      <c r="K11">
        <v>0</v>
      </c>
      <c r="M11" s="1"/>
      <c r="N11">
        <v>0.12</v>
      </c>
      <c r="O11">
        <v>10</v>
      </c>
      <c r="P11">
        <v>0.25</v>
      </c>
    </row>
    <row r="12" spans="1:16" x14ac:dyDescent="0.2">
      <c r="A12">
        <v>11</v>
      </c>
      <c r="B12">
        <v>2</v>
      </c>
      <c r="D12">
        <v>0</v>
      </c>
      <c r="E12">
        <v>9.35</v>
      </c>
      <c r="F12">
        <v>0.5</v>
      </c>
      <c r="G12">
        <v>18.5</v>
      </c>
      <c r="H12">
        <v>0.92500000000000004</v>
      </c>
      <c r="J12">
        <v>0.5</v>
      </c>
      <c r="K12">
        <v>0</v>
      </c>
      <c r="M12" s="1"/>
      <c r="N12">
        <v>0.12</v>
      </c>
      <c r="O12">
        <v>10</v>
      </c>
      <c r="P12">
        <v>0.25</v>
      </c>
    </row>
    <row r="13" spans="1:16" x14ac:dyDescent="0.2">
      <c r="A13">
        <v>12</v>
      </c>
      <c r="B13">
        <v>2</v>
      </c>
      <c r="D13">
        <v>0</v>
      </c>
      <c r="E13">
        <v>9.35</v>
      </c>
      <c r="F13">
        <v>0.5</v>
      </c>
      <c r="G13">
        <v>18.5</v>
      </c>
      <c r="H13">
        <v>0.92500000000000004</v>
      </c>
      <c r="J13">
        <v>0.5</v>
      </c>
      <c r="K13">
        <v>0</v>
      </c>
      <c r="M13" s="1"/>
      <c r="N13">
        <v>0.12</v>
      </c>
      <c r="O13">
        <v>10</v>
      </c>
      <c r="P13">
        <v>0.25</v>
      </c>
    </row>
    <row r="14" spans="1:16" x14ac:dyDescent="0.2">
      <c r="A14">
        <v>13</v>
      </c>
      <c r="B14">
        <v>3</v>
      </c>
      <c r="C14" t="s">
        <v>29</v>
      </c>
      <c r="D14">
        <v>0.5</v>
      </c>
      <c r="E14">
        <v>9.35</v>
      </c>
      <c r="F14">
        <v>0.5</v>
      </c>
      <c r="G14">
        <v>18.5</v>
      </c>
      <c r="H14">
        <v>0.92500000000000004</v>
      </c>
      <c r="I14">
        <v>12</v>
      </c>
      <c r="J14">
        <v>0.5</v>
      </c>
      <c r="K14">
        <v>672</v>
      </c>
      <c r="L14">
        <v>0.39</v>
      </c>
      <c r="M14" s="1">
        <v>4.4999999999999999E-4</v>
      </c>
      <c r="N14">
        <v>0.12</v>
      </c>
      <c r="O14">
        <v>10</v>
      </c>
      <c r="P14">
        <v>0.25</v>
      </c>
    </row>
    <row r="15" spans="1:16" x14ac:dyDescent="0.2">
      <c r="A15">
        <v>14</v>
      </c>
      <c r="B15">
        <v>3</v>
      </c>
      <c r="C15" t="s">
        <v>30</v>
      </c>
      <c r="D15">
        <v>0.5</v>
      </c>
      <c r="E15">
        <v>9.35</v>
      </c>
      <c r="F15">
        <v>0.5</v>
      </c>
      <c r="G15">
        <v>18.5</v>
      </c>
      <c r="H15">
        <v>0.92500000000000004</v>
      </c>
      <c r="I15">
        <v>13.8</v>
      </c>
      <c r="J15">
        <v>0.5</v>
      </c>
      <c r="K15">
        <v>717.6</v>
      </c>
      <c r="L15">
        <v>0.35</v>
      </c>
      <c r="M15" s="1">
        <v>4.4999999999999999E-4</v>
      </c>
      <c r="N15">
        <v>0.12</v>
      </c>
      <c r="O15">
        <v>10</v>
      </c>
      <c r="P15">
        <v>0.25</v>
      </c>
    </row>
    <row r="16" spans="1:16" x14ac:dyDescent="0.2">
      <c r="A16">
        <v>15</v>
      </c>
      <c r="B16">
        <v>3</v>
      </c>
      <c r="C16" t="s">
        <v>31</v>
      </c>
      <c r="D16">
        <v>0</v>
      </c>
      <c r="E16">
        <v>9.35</v>
      </c>
      <c r="F16">
        <v>0.5</v>
      </c>
      <c r="G16">
        <v>18.5</v>
      </c>
      <c r="H16">
        <v>0.92500000000000004</v>
      </c>
      <c r="J16">
        <v>0.5</v>
      </c>
      <c r="K16">
        <v>0</v>
      </c>
      <c r="M16" s="1">
        <v>4.4999999999999999E-4</v>
      </c>
      <c r="N16">
        <v>0.12</v>
      </c>
      <c r="O16">
        <v>10</v>
      </c>
      <c r="P16">
        <v>0.25</v>
      </c>
    </row>
    <row r="17" spans="1:16" x14ac:dyDescent="0.2">
      <c r="A17">
        <v>16</v>
      </c>
      <c r="B17">
        <v>3</v>
      </c>
      <c r="D17">
        <v>0</v>
      </c>
      <c r="E17">
        <v>9.35</v>
      </c>
      <c r="F17">
        <v>0.5</v>
      </c>
      <c r="G17">
        <v>18.5</v>
      </c>
      <c r="H17">
        <v>0.92500000000000004</v>
      </c>
      <c r="J17">
        <v>0.5</v>
      </c>
      <c r="K17">
        <v>0</v>
      </c>
      <c r="M17" s="1"/>
      <c r="N17">
        <v>0.12</v>
      </c>
      <c r="O17">
        <v>10</v>
      </c>
      <c r="P17">
        <v>0.25</v>
      </c>
    </row>
    <row r="18" spans="1:16" x14ac:dyDescent="0.2">
      <c r="A18">
        <v>17</v>
      </c>
      <c r="B18">
        <v>3</v>
      </c>
      <c r="D18">
        <v>0</v>
      </c>
      <c r="E18">
        <v>9.35</v>
      </c>
      <c r="F18">
        <v>0.5</v>
      </c>
      <c r="G18">
        <v>18.5</v>
      </c>
      <c r="H18">
        <v>0.92500000000000004</v>
      </c>
      <c r="J18">
        <v>0.5</v>
      </c>
      <c r="K18">
        <v>0</v>
      </c>
      <c r="M18" s="1"/>
      <c r="N18">
        <v>0.12</v>
      </c>
      <c r="O18">
        <v>10</v>
      </c>
      <c r="P18">
        <v>0.25</v>
      </c>
    </row>
    <row r="19" spans="1:16" x14ac:dyDescent="0.2">
      <c r="A19">
        <v>18</v>
      </c>
      <c r="B19">
        <v>3</v>
      </c>
      <c r="D19">
        <v>0</v>
      </c>
      <c r="E19">
        <v>9.35</v>
      </c>
      <c r="F19">
        <v>0.5</v>
      </c>
      <c r="G19">
        <v>18.5</v>
      </c>
      <c r="H19">
        <v>0.92500000000000004</v>
      </c>
      <c r="J19">
        <v>0.5</v>
      </c>
      <c r="K19">
        <v>0</v>
      </c>
      <c r="M19" s="1"/>
      <c r="N19">
        <v>0.12</v>
      </c>
      <c r="O19">
        <v>10</v>
      </c>
      <c r="P19">
        <v>0.25</v>
      </c>
    </row>
    <row r="20" spans="1:16" x14ac:dyDescent="0.2">
      <c r="A20">
        <v>19</v>
      </c>
      <c r="B20">
        <v>4</v>
      </c>
      <c r="C20" t="s">
        <v>29</v>
      </c>
      <c r="D20">
        <v>0.5</v>
      </c>
      <c r="E20">
        <v>9.35</v>
      </c>
      <c r="F20">
        <v>0.5</v>
      </c>
      <c r="G20">
        <v>18.5</v>
      </c>
      <c r="H20">
        <v>0.92500000000000004</v>
      </c>
      <c r="I20">
        <v>13</v>
      </c>
      <c r="J20">
        <v>0.5</v>
      </c>
      <c r="K20">
        <v>728</v>
      </c>
      <c r="L20">
        <v>0.39</v>
      </c>
      <c r="M20" s="1">
        <v>4.4999999999999999E-4</v>
      </c>
      <c r="N20">
        <v>0.12</v>
      </c>
      <c r="O20">
        <v>10</v>
      </c>
      <c r="P20">
        <v>0.25</v>
      </c>
    </row>
    <row r="21" spans="1:16" x14ac:dyDescent="0.2">
      <c r="A21">
        <v>20</v>
      </c>
      <c r="B21">
        <v>4</v>
      </c>
      <c r="C21" t="s">
        <v>30</v>
      </c>
      <c r="D21">
        <v>0.5</v>
      </c>
      <c r="E21">
        <v>9.35</v>
      </c>
      <c r="F21">
        <v>0.5</v>
      </c>
      <c r="G21">
        <v>18.5</v>
      </c>
      <c r="H21">
        <v>0.92500000000000004</v>
      </c>
      <c r="I21">
        <v>14.2</v>
      </c>
      <c r="J21">
        <v>0.5</v>
      </c>
      <c r="K21">
        <v>738.4</v>
      </c>
      <c r="L21">
        <v>0.35</v>
      </c>
      <c r="M21" s="1">
        <v>4.4999999999999999E-4</v>
      </c>
      <c r="N21">
        <v>0.12</v>
      </c>
      <c r="O21">
        <v>10</v>
      </c>
      <c r="P21">
        <v>0.25</v>
      </c>
    </row>
    <row r="22" spans="1:16" x14ac:dyDescent="0.2">
      <c r="A22">
        <v>21</v>
      </c>
      <c r="B22">
        <v>4</v>
      </c>
      <c r="C22" t="s">
        <v>31</v>
      </c>
      <c r="D22">
        <v>0</v>
      </c>
      <c r="E22">
        <v>9.35</v>
      </c>
      <c r="F22">
        <v>0.5</v>
      </c>
      <c r="G22">
        <v>18.5</v>
      </c>
      <c r="H22">
        <v>0.92500000000000004</v>
      </c>
      <c r="J22">
        <v>0.5</v>
      </c>
      <c r="K22">
        <v>0</v>
      </c>
      <c r="M22" s="1">
        <v>4.4999999999999999E-4</v>
      </c>
      <c r="N22">
        <v>0.12</v>
      </c>
      <c r="O22">
        <v>10</v>
      </c>
      <c r="P22">
        <v>0.25</v>
      </c>
    </row>
    <row r="23" spans="1:16" x14ac:dyDescent="0.2">
      <c r="A23">
        <v>22</v>
      </c>
      <c r="B23">
        <v>4</v>
      </c>
      <c r="D23">
        <v>0</v>
      </c>
      <c r="E23">
        <v>9.35</v>
      </c>
      <c r="F23">
        <v>0.5</v>
      </c>
      <c r="G23">
        <v>18.5</v>
      </c>
      <c r="H23">
        <v>0.92500000000000004</v>
      </c>
      <c r="J23">
        <v>0.5</v>
      </c>
      <c r="K23">
        <v>0</v>
      </c>
      <c r="M23" s="1"/>
      <c r="N23">
        <v>0.12</v>
      </c>
      <c r="O23">
        <v>10</v>
      </c>
      <c r="P23">
        <v>0.25</v>
      </c>
    </row>
    <row r="24" spans="1:16" x14ac:dyDescent="0.2">
      <c r="A24">
        <v>23</v>
      </c>
      <c r="B24">
        <v>4</v>
      </c>
      <c r="D24">
        <v>0</v>
      </c>
      <c r="E24">
        <v>9.35</v>
      </c>
      <c r="F24">
        <v>0.5</v>
      </c>
      <c r="G24">
        <v>18.5</v>
      </c>
      <c r="H24">
        <v>0.92500000000000004</v>
      </c>
      <c r="J24">
        <v>0.5</v>
      </c>
      <c r="K24">
        <v>0</v>
      </c>
      <c r="M24" s="1"/>
      <c r="N24">
        <v>0.12</v>
      </c>
      <c r="O24">
        <v>10</v>
      </c>
      <c r="P24">
        <v>0.25</v>
      </c>
    </row>
    <row r="25" spans="1:16" x14ac:dyDescent="0.2">
      <c r="A25">
        <v>24</v>
      </c>
      <c r="B25">
        <v>4</v>
      </c>
      <c r="D25">
        <v>0</v>
      </c>
      <c r="E25">
        <v>9.35</v>
      </c>
      <c r="F25">
        <v>0.5</v>
      </c>
      <c r="G25">
        <v>18.5</v>
      </c>
      <c r="H25">
        <v>0.92500000000000004</v>
      </c>
      <c r="J25">
        <v>0.5</v>
      </c>
      <c r="K25">
        <v>0</v>
      </c>
      <c r="M25" s="1"/>
      <c r="N25">
        <v>0.12</v>
      </c>
      <c r="O25">
        <v>10</v>
      </c>
      <c r="P25">
        <v>0.25</v>
      </c>
    </row>
    <row r="26" spans="1:16" x14ac:dyDescent="0.2">
      <c r="A26">
        <v>25</v>
      </c>
      <c r="B26">
        <v>5</v>
      </c>
      <c r="C26" t="s">
        <v>29</v>
      </c>
      <c r="D26">
        <v>0.5</v>
      </c>
      <c r="E26">
        <v>9.35</v>
      </c>
      <c r="F26">
        <v>0.5</v>
      </c>
      <c r="G26">
        <v>18.5</v>
      </c>
      <c r="H26">
        <v>0.92500000000000004</v>
      </c>
      <c r="I26">
        <v>15</v>
      </c>
      <c r="J26">
        <v>0.5</v>
      </c>
      <c r="K26">
        <v>840</v>
      </c>
      <c r="L26">
        <v>0.39</v>
      </c>
      <c r="M26" s="1">
        <v>4.4999999999999999E-4</v>
      </c>
      <c r="N26">
        <v>0.12</v>
      </c>
      <c r="O26">
        <v>10</v>
      </c>
      <c r="P26">
        <v>0.25</v>
      </c>
    </row>
    <row r="27" spans="1:16" x14ac:dyDescent="0.2">
      <c r="A27">
        <v>26</v>
      </c>
      <c r="B27">
        <v>5</v>
      </c>
      <c r="C27" t="s">
        <v>30</v>
      </c>
      <c r="D27">
        <v>0.5</v>
      </c>
      <c r="E27">
        <v>9.35</v>
      </c>
      <c r="F27">
        <v>0.5</v>
      </c>
      <c r="G27">
        <v>18.5</v>
      </c>
      <c r="H27">
        <v>0.92500000000000004</v>
      </c>
      <c r="I27">
        <v>16.5</v>
      </c>
      <c r="J27">
        <v>0.5</v>
      </c>
      <c r="K27">
        <v>858</v>
      </c>
      <c r="L27">
        <v>0.35</v>
      </c>
      <c r="M27" s="1">
        <v>4.4999999999999999E-4</v>
      </c>
      <c r="N27">
        <v>0.12</v>
      </c>
      <c r="O27">
        <v>10</v>
      </c>
      <c r="P27">
        <v>0.25</v>
      </c>
    </row>
    <row r="28" spans="1:16" x14ac:dyDescent="0.2">
      <c r="A28">
        <v>27</v>
      </c>
      <c r="B28">
        <v>5</v>
      </c>
      <c r="C28" t="s">
        <v>31</v>
      </c>
      <c r="D28">
        <v>0</v>
      </c>
      <c r="E28">
        <v>9.35</v>
      </c>
      <c r="F28">
        <v>0.5</v>
      </c>
      <c r="G28">
        <v>18.5</v>
      </c>
      <c r="H28">
        <v>0.92500000000000004</v>
      </c>
      <c r="J28">
        <v>0.5</v>
      </c>
      <c r="K28">
        <v>0</v>
      </c>
      <c r="M28" s="1">
        <v>4.4999999999999999E-4</v>
      </c>
      <c r="N28">
        <v>0.12</v>
      </c>
      <c r="O28">
        <v>10</v>
      </c>
      <c r="P28">
        <v>0.25</v>
      </c>
    </row>
    <row r="29" spans="1:16" x14ac:dyDescent="0.2">
      <c r="A29">
        <v>28</v>
      </c>
      <c r="B29">
        <v>5</v>
      </c>
      <c r="D29">
        <v>0</v>
      </c>
      <c r="E29">
        <v>9.35</v>
      </c>
      <c r="F29">
        <v>0.5</v>
      </c>
      <c r="G29">
        <v>18.5</v>
      </c>
      <c r="H29">
        <v>0.92500000000000004</v>
      </c>
      <c r="J29">
        <v>0.5</v>
      </c>
      <c r="K29">
        <v>0</v>
      </c>
      <c r="M29" s="1"/>
      <c r="N29">
        <v>0.12</v>
      </c>
      <c r="O29">
        <v>10</v>
      </c>
      <c r="P29">
        <v>0.25</v>
      </c>
    </row>
    <row r="30" spans="1:16" x14ac:dyDescent="0.2">
      <c r="A30">
        <v>29</v>
      </c>
      <c r="B30">
        <v>5</v>
      </c>
      <c r="D30">
        <v>0</v>
      </c>
      <c r="E30">
        <v>9.35</v>
      </c>
      <c r="F30">
        <v>0.5</v>
      </c>
      <c r="G30">
        <v>18.5</v>
      </c>
      <c r="H30">
        <v>0.92500000000000004</v>
      </c>
      <c r="J30">
        <v>0.5</v>
      </c>
      <c r="K30">
        <v>0</v>
      </c>
      <c r="M30" s="1"/>
      <c r="N30">
        <v>0.12</v>
      </c>
      <c r="O30">
        <v>10</v>
      </c>
      <c r="P30">
        <v>0.25</v>
      </c>
    </row>
    <row r="31" spans="1:16" x14ac:dyDescent="0.2">
      <c r="A31">
        <v>30</v>
      </c>
      <c r="B31">
        <v>5</v>
      </c>
      <c r="D31">
        <v>0</v>
      </c>
      <c r="E31">
        <v>9.35</v>
      </c>
      <c r="F31">
        <v>0.5</v>
      </c>
      <c r="G31">
        <v>18.5</v>
      </c>
      <c r="H31">
        <v>0.92500000000000004</v>
      </c>
      <c r="J31">
        <v>0.5</v>
      </c>
      <c r="K31">
        <v>0</v>
      </c>
      <c r="M31" s="1"/>
      <c r="N31">
        <v>0.12</v>
      </c>
      <c r="O31">
        <v>10</v>
      </c>
      <c r="P31">
        <v>0.25</v>
      </c>
    </row>
    <row r="32" spans="1:16" x14ac:dyDescent="0.2">
      <c r="A32">
        <v>31</v>
      </c>
      <c r="B32">
        <v>6</v>
      </c>
      <c r="C32" t="s">
        <v>29</v>
      </c>
      <c r="D32">
        <v>0.5</v>
      </c>
      <c r="E32">
        <v>9.35</v>
      </c>
      <c r="F32">
        <v>0.35</v>
      </c>
      <c r="G32">
        <v>18.5</v>
      </c>
      <c r="H32">
        <v>0.92500000000000004</v>
      </c>
      <c r="I32">
        <v>20</v>
      </c>
      <c r="J32">
        <v>0.5</v>
      </c>
      <c r="K32">
        <v>1120</v>
      </c>
      <c r="L32">
        <v>0.39</v>
      </c>
      <c r="M32" s="1">
        <v>4.4999999999999999E-4</v>
      </c>
      <c r="N32">
        <v>0.12</v>
      </c>
      <c r="O32">
        <v>10</v>
      </c>
      <c r="P32">
        <v>0.25</v>
      </c>
    </row>
    <row r="33" spans="1:16" x14ac:dyDescent="0.2">
      <c r="A33">
        <v>32</v>
      </c>
      <c r="B33">
        <v>6</v>
      </c>
      <c r="C33" t="s">
        <v>30</v>
      </c>
      <c r="D33">
        <v>0.5</v>
      </c>
      <c r="E33">
        <v>9.35</v>
      </c>
      <c r="F33">
        <v>0.35</v>
      </c>
      <c r="G33">
        <v>18.5</v>
      </c>
      <c r="H33">
        <v>0.92500000000000004</v>
      </c>
      <c r="I33">
        <v>21</v>
      </c>
      <c r="J33">
        <v>0.5</v>
      </c>
      <c r="K33">
        <v>1092</v>
      </c>
      <c r="L33">
        <v>0.35</v>
      </c>
      <c r="M33" s="1">
        <v>4.4999999999999999E-4</v>
      </c>
      <c r="N33">
        <v>0.12</v>
      </c>
      <c r="O33">
        <v>10</v>
      </c>
      <c r="P33">
        <v>0.25</v>
      </c>
    </row>
    <row r="34" spans="1:16" x14ac:dyDescent="0.2">
      <c r="A34">
        <v>33</v>
      </c>
      <c r="B34">
        <v>6</v>
      </c>
      <c r="C34" t="s">
        <v>31</v>
      </c>
      <c r="D34">
        <v>0</v>
      </c>
      <c r="E34">
        <v>9.35</v>
      </c>
      <c r="F34">
        <v>0.35</v>
      </c>
      <c r="G34">
        <v>18.5</v>
      </c>
      <c r="H34">
        <v>0.92500000000000004</v>
      </c>
      <c r="J34">
        <v>0.5</v>
      </c>
      <c r="K34">
        <v>0</v>
      </c>
      <c r="M34" s="1">
        <v>4.4999999999999999E-4</v>
      </c>
      <c r="N34">
        <v>0.12</v>
      </c>
      <c r="O34">
        <v>10</v>
      </c>
      <c r="P34">
        <v>0.25</v>
      </c>
    </row>
    <row r="35" spans="1:16" x14ac:dyDescent="0.2">
      <c r="A35">
        <v>34</v>
      </c>
      <c r="B35">
        <v>6</v>
      </c>
      <c r="D35">
        <v>0</v>
      </c>
      <c r="E35">
        <v>9.35</v>
      </c>
      <c r="F35">
        <v>0.35</v>
      </c>
      <c r="G35">
        <v>18.5</v>
      </c>
      <c r="H35">
        <v>0.92500000000000004</v>
      </c>
      <c r="J35">
        <v>0.5</v>
      </c>
      <c r="K35">
        <v>0</v>
      </c>
      <c r="M35" s="1"/>
      <c r="N35">
        <v>0.12</v>
      </c>
      <c r="O35">
        <v>10</v>
      </c>
      <c r="P35">
        <v>0.25</v>
      </c>
    </row>
    <row r="36" spans="1:16" x14ac:dyDescent="0.2">
      <c r="A36">
        <v>35</v>
      </c>
      <c r="B36">
        <v>6</v>
      </c>
      <c r="D36">
        <v>0</v>
      </c>
      <c r="E36">
        <v>9.35</v>
      </c>
      <c r="F36">
        <v>0.35</v>
      </c>
      <c r="G36">
        <v>18.5</v>
      </c>
      <c r="H36">
        <v>0.92500000000000004</v>
      </c>
      <c r="J36">
        <v>0.5</v>
      </c>
      <c r="K36">
        <v>0</v>
      </c>
      <c r="M36" s="1"/>
      <c r="N36">
        <v>0.12</v>
      </c>
      <c r="O36">
        <v>10</v>
      </c>
      <c r="P36">
        <v>0.25</v>
      </c>
    </row>
    <row r="37" spans="1:16" x14ac:dyDescent="0.2">
      <c r="A37">
        <v>36</v>
      </c>
      <c r="B37">
        <v>6</v>
      </c>
      <c r="D37">
        <v>0</v>
      </c>
      <c r="E37">
        <v>9.35</v>
      </c>
      <c r="F37">
        <v>0.35</v>
      </c>
      <c r="G37">
        <v>18.5</v>
      </c>
      <c r="H37">
        <v>0.92500000000000004</v>
      </c>
      <c r="J37">
        <v>0.5</v>
      </c>
      <c r="K37">
        <v>0</v>
      </c>
      <c r="M37" s="1"/>
      <c r="N37">
        <v>0.12</v>
      </c>
      <c r="O37">
        <v>10</v>
      </c>
      <c r="P37">
        <v>0.25</v>
      </c>
    </row>
    <row r="38" spans="1:16" x14ac:dyDescent="0.2">
      <c r="A38">
        <v>37</v>
      </c>
      <c r="B38">
        <v>7</v>
      </c>
      <c r="C38" t="s">
        <v>29</v>
      </c>
      <c r="D38">
        <v>0.5</v>
      </c>
      <c r="E38">
        <v>8</v>
      </c>
      <c r="F38">
        <v>0.5</v>
      </c>
      <c r="G38">
        <v>18.5</v>
      </c>
      <c r="H38">
        <v>0.92500000000000004</v>
      </c>
      <c r="I38">
        <v>10.5</v>
      </c>
      <c r="J38">
        <v>0.5</v>
      </c>
      <c r="K38">
        <v>588</v>
      </c>
      <c r="L38">
        <v>0.39</v>
      </c>
      <c r="M38" s="1">
        <v>4.4999999999999999E-4</v>
      </c>
      <c r="N38">
        <v>0.12</v>
      </c>
      <c r="O38">
        <v>10</v>
      </c>
      <c r="P38">
        <v>0.25</v>
      </c>
    </row>
    <row r="39" spans="1:16" x14ac:dyDescent="0.2">
      <c r="A39">
        <v>38</v>
      </c>
      <c r="B39">
        <v>7</v>
      </c>
      <c r="C39" t="s">
        <v>30</v>
      </c>
      <c r="D39">
        <v>0.5</v>
      </c>
      <c r="E39">
        <v>9</v>
      </c>
      <c r="F39">
        <v>0.5</v>
      </c>
      <c r="G39">
        <v>18.5</v>
      </c>
      <c r="H39">
        <v>0.92500000000000004</v>
      </c>
      <c r="I39">
        <v>11.8</v>
      </c>
      <c r="J39">
        <v>0.5</v>
      </c>
      <c r="K39">
        <v>613.6</v>
      </c>
      <c r="L39">
        <v>0.35</v>
      </c>
      <c r="M39" s="1">
        <v>4.4999999999999999E-4</v>
      </c>
      <c r="N39">
        <v>0.12</v>
      </c>
      <c r="O39">
        <v>10</v>
      </c>
      <c r="P39">
        <v>0.25</v>
      </c>
    </row>
    <row r="40" spans="1:16" x14ac:dyDescent="0.2">
      <c r="A40">
        <v>39</v>
      </c>
      <c r="B40">
        <v>7</v>
      </c>
      <c r="C40" t="s">
        <v>31</v>
      </c>
      <c r="D40">
        <v>0</v>
      </c>
      <c r="E40">
        <v>8</v>
      </c>
      <c r="F40">
        <v>0.5</v>
      </c>
      <c r="G40">
        <v>18.5</v>
      </c>
      <c r="H40">
        <v>0.92500000000000004</v>
      </c>
      <c r="J40">
        <v>0.5</v>
      </c>
      <c r="K40">
        <v>0</v>
      </c>
      <c r="M40" s="1">
        <v>4.4999999999999999E-4</v>
      </c>
      <c r="N40">
        <v>0.12</v>
      </c>
      <c r="O40">
        <v>10</v>
      </c>
      <c r="P40">
        <v>0.25</v>
      </c>
    </row>
    <row r="41" spans="1:16" x14ac:dyDescent="0.2">
      <c r="A41">
        <v>40</v>
      </c>
      <c r="B41">
        <v>7</v>
      </c>
      <c r="D41">
        <v>0</v>
      </c>
      <c r="E41">
        <v>9</v>
      </c>
      <c r="F41">
        <v>0.5</v>
      </c>
      <c r="G41">
        <v>18.5</v>
      </c>
      <c r="H41">
        <v>0.92500000000000004</v>
      </c>
      <c r="J41">
        <v>0.5</v>
      </c>
      <c r="K41">
        <v>0</v>
      </c>
      <c r="M41" s="1"/>
      <c r="N41">
        <v>0.12</v>
      </c>
      <c r="O41">
        <v>10</v>
      </c>
      <c r="P41">
        <v>0.25</v>
      </c>
    </row>
    <row r="42" spans="1:16" x14ac:dyDescent="0.2">
      <c r="A42">
        <v>41</v>
      </c>
      <c r="B42">
        <v>7</v>
      </c>
      <c r="D42">
        <v>0</v>
      </c>
      <c r="E42">
        <v>8</v>
      </c>
      <c r="F42">
        <v>0.5</v>
      </c>
      <c r="G42">
        <v>18.5</v>
      </c>
      <c r="H42">
        <v>0.92500000000000004</v>
      </c>
      <c r="J42">
        <v>0.5</v>
      </c>
      <c r="K42">
        <v>0</v>
      </c>
      <c r="M42" s="1"/>
      <c r="N42">
        <v>0.12</v>
      </c>
      <c r="O42">
        <v>10</v>
      </c>
      <c r="P42">
        <v>0.25</v>
      </c>
    </row>
    <row r="43" spans="1:16" x14ac:dyDescent="0.2">
      <c r="A43">
        <v>42</v>
      </c>
      <c r="B43">
        <v>7</v>
      </c>
      <c r="D43">
        <v>0</v>
      </c>
      <c r="E43">
        <v>9</v>
      </c>
      <c r="F43">
        <v>0.5</v>
      </c>
      <c r="G43">
        <v>18.5</v>
      </c>
      <c r="H43">
        <v>0.92500000000000004</v>
      </c>
      <c r="J43">
        <v>0.5</v>
      </c>
      <c r="K43">
        <v>0</v>
      </c>
      <c r="M43" s="1"/>
      <c r="N43">
        <v>0.12</v>
      </c>
      <c r="O43">
        <v>10</v>
      </c>
      <c r="P43">
        <v>0.25</v>
      </c>
    </row>
    <row r="44" spans="1:16" x14ac:dyDescent="0.2">
      <c r="A44">
        <v>43</v>
      </c>
      <c r="B44">
        <v>8</v>
      </c>
      <c r="C44" t="s">
        <v>29</v>
      </c>
      <c r="D44">
        <v>0.5</v>
      </c>
      <c r="E44">
        <v>8.5</v>
      </c>
      <c r="F44">
        <v>0.35355339099999999</v>
      </c>
      <c r="G44">
        <v>18.5</v>
      </c>
      <c r="H44">
        <v>0.92500000000000004</v>
      </c>
      <c r="I44">
        <v>11</v>
      </c>
      <c r="J44">
        <v>0.5</v>
      </c>
      <c r="K44">
        <v>616</v>
      </c>
      <c r="L44">
        <v>0.39</v>
      </c>
      <c r="M44" s="1">
        <v>4.4999999999999999E-4</v>
      </c>
      <c r="N44">
        <v>0.12</v>
      </c>
      <c r="O44">
        <v>10</v>
      </c>
      <c r="P44">
        <v>0.25</v>
      </c>
    </row>
    <row r="45" spans="1:16" x14ac:dyDescent="0.2">
      <c r="A45">
        <v>44</v>
      </c>
      <c r="B45">
        <v>8</v>
      </c>
      <c r="C45" t="s">
        <v>30</v>
      </c>
      <c r="D45">
        <v>0.5</v>
      </c>
      <c r="E45">
        <v>8.5</v>
      </c>
      <c r="F45">
        <v>0.35355339099999999</v>
      </c>
      <c r="G45">
        <v>18.5</v>
      </c>
      <c r="H45">
        <v>0.92500000000000004</v>
      </c>
      <c r="I45">
        <v>12.5</v>
      </c>
      <c r="J45">
        <v>0.5</v>
      </c>
      <c r="K45">
        <v>650</v>
      </c>
      <c r="L45">
        <v>0.35</v>
      </c>
      <c r="M45" s="1">
        <v>4.4999999999999999E-4</v>
      </c>
      <c r="N45">
        <v>0.12</v>
      </c>
      <c r="O45">
        <v>10</v>
      </c>
      <c r="P45">
        <v>0.25</v>
      </c>
    </row>
    <row r="46" spans="1:16" x14ac:dyDescent="0.2">
      <c r="A46">
        <v>45</v>
      </c>
      <c r="B46">
        <v>8</v>
      </c>
      <c r="C46" t="s">
        <v>31</v>
      </c>
      <c r="D46">
        <v>0</v>
      </c>
      <c r="E46">
        <v>8.5</v>
      </c>
      <c r="F46">
        <v>0.35355339099999999</v>
      </c>
      <c r="G46">
        <v>18.5</v>
      </c>
      <c r="H46">
        <v>0.92500000000000004</v>
      </c>
      <c r="J46">
        <v>0.5</v>
      </c>
      <c r="K46">
        <v>0</v>
      </c>
      <c r="M46" s="1">
        <v>4.4999999999999999E-4</v>
      </c>
      <c r="N46">
        <v>0.12</v>
      </c>
      <c r="O46">
        <v>10</v>
      </c>
      <c r="P46">
        <v>0.25</v>
      </c>
    </row>
    <row r="47" spans="1:16" x14ac:dyDescent="0.2">
      <c r="A47">
        <v>46</v>
      </c>
      <c r="B47">
        <v>8</v>
      </c>
      <c r="D47">
        <v>0</v>
      </c>
      <c r="E47">
        <v>8.5</v>
      </c>
      <c r="F47">
        <v>0.35355339099999999</v>
      </c>
      <c r="G47">
        <v>18.5</v>
      </c>
      <c r="H47">
        <v>0.92500000000000004</v>
      </c>
      <c r="J47">
        <v>0.5</v>
      </c>
      <c r="K47">
        <v>0</v>
      </c>
      <c r="M47" s="1"/>
      <c r="N47">
        <v>0.12</v>
      </c>
      <c r="O47">
        <v>10</v>
      </c>
      <c r="P47">
        <v>0.25</v>
      </c>
    </row>
    <row r="48" spans="1:16" x14ac:dyDescent="0.2">
      <c r="A48">
        <v>47</v>
      </c>
      <c r="B48">
        <v>8</v>
      </c>
      <c r="D48">
        <v>0</v>
      </c>
      <c r="E48">
        <v>8.5</v>
      </c>
      <c r="F48">
        <v>0.35355339099999999</v>
      </c>
      <c r="G48">
        <v>18.5</v>
      </c>
      <c r="H48">
        <v>0.92500000000000004</v>
      </c>
      <c r="J48">
        <v>0.5</v>
      </c>
      <c r="K48">
        <v>0</v>
      </c>
      <c r="M48" s="1"/>
      <c r="N48">
        <v>0.12</v>
      </c>
      <c r="O48">
        <v>10</v>
      </c>
      <c r="P48">
        <v>0.25</v>
      </c>
    </row>
    <row r="49" spans="1:16" x14ac:dyDescent="0.2">
      <c r="A49">
        <v>48</v>
      </c>
      <c r="B49">
        <v>8</v>
      </c>
      <c r="D49">
        <v>0</v>
      </c>
      <c r="E49">
        <v>8.5</v>
      </c>
      <c r="F49">
        <v>0.35355339099999999</v>
      </c>
      <c r="G49">
        <v>18.5</v>
      </c>
      <c r="H49">
        <v>0.92500000000000004</v>
      </c>
      <c r="J49">
        <v>0.5</v>
      </c>
      <c r="K49">
        <v>0</v>
      </c>
      <c r="M49" s="1"/>
      <c r="N49">
        <v>0.12</v>
      </c>
      <c r="O49">
        <v>10</v>
      </c>
      <c r="P49">
        <v>0.25</v>
      </c>
    </row>
    <row r="50" spans="1:16" x14ac:dyDescent="0.2">
      <c r="A50">
        <v>49</v>
      </c>
      <c r="B50">
        <v>9</v>
      </c>
      <c r="C50" t="s">
        <v>29</v>
      </c>
      <c r="D50">
        <v>0.5</v>
      </c>
      <c r="E50">
        <v>9</v>
      </c>
      <c r="F50">
        <v>0.5</v>
      </c>
      <c r="G50">
        <v>18.5</v>
      </c>
      <c r="H50">
        <v>0.92500000000000004</v>
      </c>
      <c r="I50">
        <v>12</v>
      </c>
      <c r="J50">
        <v>0.5</v>
      </c>
      <c r="K50">
        <v>672</v>
      </c>
      <c r="L50">
        <v>0.39</v>
      </c>
      <c r="M50" s="1">
        <v>4.4999999999999999E-4</v>
      </c>
      <c r="N50">
        <v>0.12</v>
      </c>
      <c r="O50">
        <v>10</v>
      </c>
      <c r="P50">
        <v>0.25</v>
      </c>
    </row>
    <row r="51" spans="1:16" x14ac:dyDescent="0.2">
      <c r="A51">
        <v>50</v>
      </c>
      <c r="B51">
        <v>9</v>
      </c>
      <c r="C51" t="s">
        <v>30</v>
      </c>
      <c r="D51">
        <v>0.5</v>
      </c>
      <c r="E51">
        <v>9</v>
      </c>
      <c r="F51">
        <v>0.5</v>
      </c>
      <c r="G51">
        <v>18.5</v>
      </c>
      <c r="H51">
        <v>0.92500000000000004</v>
      </c>
      <c r="I51">
        <v>13.8</v>
      </c>
      <c r="J51">
        <v>0.5</v>
      </c>
      <c r="K51">
        <v>717.6</v>
      </c>
      <c r="L51">
        <v>0.35</v>
      </c>
      <c r="M51" s="1">
        <v>4.4999999999999999E-4</v>
      </c>
      <c r="N51">
        <v>0.12</v>
      </c>
      <c r="O51">
        <v>10</v>
      </c>
      <c r="P51">
        <v>0.25</v>
      </c>
    </row>
    <row r="52" spans="1:16" x14ac:dyDescent="0.2">
      <c r="A52">
        <v>51</v>
      </c>
      <c r="B52">
        <v>9</v>
      </c>
      <c r="C52" t="s">
        <v>31</v>
      </c>
      <c r="D52">
        <v>0</v>
      </c>
      <c r="E52">
        <v>9</v>
      </c>
      <c r="F52">
        <v>0.5</v>
      </c>
      <c r="G52">
        <v>18.5</v>
      </c>
      <c r="H52">
        <v>0.92500000000000004</v>
      </c>
      <c r="J52">
        <v>0.5</v>
      </c>
      <c r="K52">
        <v>0</v>
      </c>
      <c r="M52" s="1">
        <v>4.4999999999999999E-4</v>
      </c>
      <c r="N52">
        <v>0.12</v>
      </c>
      <c r="O52">
        <v>10</v>
      </c>
      <c r="P52">
        <v>0.25</v>
      </c>
    </row>
    <row r="53" spans="1:16" x14ac:dyDescent="0.2">
      <c r="A53">
        <v>52</v>
      </c>
      <c r="B53">
        <v>9</v>
      </c>
      <c r="D53">
        <v>0</v>
      </c>
      <c r="E53">
        <v>9</v>
      </c>
      <c r="F53">
        <v>0.5</v>
      </c>
      <c r="G53">
        <v>18.5</v>
      </c>
      <c r="H53">
        <v>0.92500000000000004</v>
      </c>
      <c r="J53">
        <v>0.5</v>
      </c>
      <c r="K53">
        <v>0</v>
      </c>
      <c r="M53" s="1"/>
      <c r="N53">
        <v>0.12</v>
      </c>
      <c r="O53">
        <v>10</v>
      </c>
      <c r="P53">
        <v>0.25</v>
      </c>
    </row>
    <row r="54" spans="1:16" x14ac:dyDescent="0.2">
      <c r="A54">
        <v>53</v>
      </c>
      <c r="B54">
        <v>9</v>
      </c>
      <c r="D54">
        <v>0</v>
      </c>
      <c r="E54">
        <v>9</v>
      </c>
      <c r="F54">
        <v>0.5</v>
      </c>
      <c r="G54">
        <v>18.5</v>
      </c>
      <c r="H54">
        <v>0.92500000000000004</v>
      </c>
      <c r="J54">
        <v>0.5</v>
      </c>
      <c r="K54">
        <v>0</v>
      </c>
      <c r="M54" s="1"/>
      <c r="N54">
        <v>0.12</v>
      </c>
      <c r="O54">
        <v>10</v>
      </c>
      <c r="P54">
        <v>0.25</v>
      </c>
    </row>
    <row r="55" spans="1:16" x14ac:dyDescent="0.2">
      <c r="A55">
        <v>54</v>
      </c>
      <c r="B55">
        <v>9</v>
      </c>
      <c r="D55">
        <v>0</v>
      </c>
      <c r="E55">
        <v>9</v>
      </c>
      <c r="F55">
        <v>0.5</v>
      </c>
      <c r="G55">
        <v>18.5</v>
      </c>
      <c r="H55">
        <v>0.92500000000000004</v>
      </c>
      <c r="J55">
        <v>0.5</v>
      </c>
      <c r="K55">
        <v>0</v>
      </c>
      <c r="M55" s="1"/>
      <c r="N55">
        <v>0.12</v>
      </c>
      <c r="O55">
        <v>10</v>
      </c>
      <c r="P55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A8CE-63DA-4EEA-9A88-5E62FD2B5E40}">
  <dimension ref="A1:P69"/>
  <sheetViews>
    <sheetView topLeftCell="G1" zoomScale="115" zoomScaleNormal="115" workbookViewId="0">
      <selection activeCell="K17" sqref="K17"/>
    </sheetView>
  </sheetViews>
  <sheetFormatPr defaultRowHeight="11.4" x14ac:dyDescent="0.2"/>
  <cols>
    <col min="1" max="1" width="22.5" bestFit="1" customWidth="1"/>
    <col min="2" max="2" width="71.09765625" bestFit="1" customWidth="1"/>
    <col min="3" max="3" width="22.3984375" bestFit="1" customWidth="1"/>
    <col min="4" max="4" width="23.8984375" bestFit="1" customWidth="1"/>
    <col min="5" max="5" width="29.59765625" bestFit="1" customWidth="1"/>
    <col min="6" max="6" width="19.19921875" bestFit="1" customWidth="1"/>
    <col min="7" max="8" width="23" bestFit="1" customWidth="1"/>
    <col min="9" max="9" width="17.3984375" bestFit="1" customWidth="1"/>
    <col min="10" max="11" width="17.19921875" bestFit="1" customWidth="1"/>
    <col min="12" max="12" width="18" bestFit="1" customWidth="1"/>
    <col min="13" max="13" width="13.19921875" bestFit="1" customWidth="1"/>
    <col min="14" max="14" width="14.19921875" bestFit="1" customWidth="1"/>
    <col min="15" max="15" width="14" bestFit="1" customWidth="1"/>
    <col min="16" max="16" width="51.09765625" bestFit="1" customWidth="1"/>
  </cols>
  <sheetData>
    <row r="1" spans="1:16" s="5" customFormat="1" x14ac:dyDescent="0.2">
      <c r="A1" s="4" t="s">
        <v>213</v>
      </c>
      <c r="B1" s="4" t="s">
        <v>204</v>
      </c>
      <c r="C1" s="4" t="s">
        <v>205</v>
      </c>
      <c r="D1" s="4" t="s">
        <v>206</v>
      </c>
      <c r="E1" s="4" t="s">
        <v>207</v>
      </c>
      <c r="F1" s="4" t="s">
        <v>208</v>
      </c>
      <c r="G1" s="4" t="s">
        <v>209</v>
      </c>
      <c r="H1" s="4" t="s">
        <v>214</v>
      </c>
      <c r="I1" s="4" t="s">
        <v>210</v>
      </c>
      <c r="J1" s="4" t="s">
        <v>211</v>
      </c>
      <c r="K1" s="4" t="s">
        <v>212</v>
      </c>
      <c r="L1" s="4" t="s">
        <v>152</v>
      </c>
      <c r="M1" s="4" t="s">
        <v>154</v>
      </c>
      <c r="N1" s="4" t="s">
        <v>155</v>
      </c>
      <c r="O1" s="4" t="s">
        <v>156</v>
      </c>
      <c r="P1" s="4" t="s">
        <v>153</v>
      </c>
    </row>
    <row r="2" spans="1:16" x14ac:dyDescent="0.2">
      <c r="A2" t="s">
        <v>140</v>
      </c>
      <c r="B2" t="s">
        <v>177</v>
      </c>
      <c r="C2" t="s">
        <v>171</v>
      </c>
      <c r="D2" t="s">
        <v>201</v>
      </c>
      <c r="I2" s="2"/>
      <c r="J2" s="2"/>
      <c r="K2" s="2"/>
    </row>
    <row r="3" spans="1:16" x14ac:dyDescent="0.2">
      <c r="A3" t="s">
        <v>141</v>
      </c>
      <c r="B3" t="s">
        <v>178</v>
      </c>
      <c r="C3" t="s">
        <v>170</v>
      </c>
      <c r="D3" t="s">
        <v>201</v>
      </c>
      <c r="I3" s="2"/>
      <c r="J3" s="2"/>
      <c r="K3" s="2"/>
    </row>
    <row r="4" spans="1:16" x14ac:dyDescent="0.2">
      <c r="A4" t="s">
        <v>0</v>
      </c>
      <c r="B4" s="6"/>
      <c r="C4" s="6" t="s">
        <v>172</v>
      </c>
      <c r="D4" t="s">
        <v>201</v>
      </c>
      <c r="I4" s="2"/>
      <c r="J4" s="2"/>
      <c r="K4" s="2"/>
    </row>
    <row r="5" spans="1:16" x14ac:dyDescent="0.2">
      <c r="A5" t="s">
        <v>1</v>
      </c>
      <c r="B5" s="6"/>
      <c r="C5" s="6" t="s">
        <v>172</v>
      </c>
      <c r="D5" t="s">
        <v>201</v>
      </c>
      <c r="I5" s="2"/>
      <c r="J5" s="2"/>
      <c r="K5" s="2"/>
    </row>
    <row r="6" spans="1:16" x14ac:dyDescent="0.2">
      <c r="A6" t="s">
        <v>142</v>
      </c>
      <c r="B6" t="s">
        <v>180</v>
      </c>
      <c r="C6" s="6" t="s">
        <v>172</v>
      </c>
      <c r="D6" t="s">
        <v>201</v>
      </c>
      <c r="I6" s="2"/>
      <c r="J6" s="2"/>
      <c r="K6" s="2"/>
    </row>
    <row r="7" spans="1:16" x14ac:dyDescent="0.2">
      <c r="A7" t="s">
        <v>146</v>
      </c>
      <c r="B7" t="s">
        <v>176</v>
      </c>
      <c r="C7" t="s">
        <v>171</v>
      </c>
      <c r="D7" t="s">
        <v>201</v>
      </c>
      <c r="I7" s="2"/>
      <c r="J7" s="2"/>
      <c r="K7" s="2"/>
    </row>
    <row r="8" spans="1:16" x14ac:dyDescent="0.2">
      <c r="A8" t="s">
        <v>147</v>
      </c>
      <c r="B8" t="s">
        <v>181</v>
      </c>
      <c r="C8" t="s">
        <v>168</v>
      </c>
      <c r="D8" t="s">
        <v>201</v>
      </c>
      <c r="I8" s="2"/>
      <c r="J8" s="2"/>
      <c r="K8" s="2"/>
    </row>
    <row r="9" spans="1:16" x14ac:dyDescent="0.2">
      <c r="A9" t="s">
        <v>148</v>
      </c>
      <c r="B9" t="s">
        <v>182</v>
      </c>
      <c r="C9" t="s">
        <v>169</v>
      </c>
      <c r="D9" t="s">
        <v>201</v>
      </c>
      <c r="I9" s="2"/>
      <c r="J9" s="2"/>
      <c r="K9" s="2"/>
    </row>
    <row r="10" spans="1:16" x14ac:dyDescent="0.2">
      <c r="A10" t="s">
        <v>143</v>
      </c>
      <c r="B10" t="s">
        <v>183</v>
      </c>
      <c r="C10" t="s">
        <v>170</v>
      </c>
      <c r="D10" t="s">
        <v>201</v>
      </c>
      <c r="I10" s="2"/>
      <c r="J10" s="2"/>
      <c r="K10" s="2"/>
    </row>
    <row r="11" spans="1:16" x14ac:dyDescent="0.2">
      <c r="A11" t="s">
        <v>144</v>
      </c>
      <c r="B11" s="6"/>
      <c r="C11" s="6" t="s">
        <v>172</v>
      </c>
      <c r="D11" t="s">
        <v>201</v>
      </c>
      <c r="I11" s="2"/>
      <c r="J11" s="2"/>
      <c r="K11" s="2"/>
    </row>
    <row r="12" spans="1:16" x14ac:dyDescent="0.2">
      <c r="A12" t="s">
        <v>145</v>
      </c>
      <c r="B12" s="6"/>
      <c r="C12" s="6" t="s">
        <v>172</v>
      </c>
      <c r="D12" t="s">
        <v>201</v>
      </c>
      <c r="I12" s="2"/>
      <c r="J12" s="2"/>
      <c r="K12" s="2"/>
    </row>
    <row r="13" spans="1:16" x14ac:dyDescent="0.2">
      <c r="A13" t="s">
        <v>149</v>
      </c>
      <c r="B13" t="s">
        <v>175</v>
      </c>
      <c r="C13" t="s">
        <v>171</v>
      </c>
      <c r="D13" t="s">
        <v>201</v>
      </c>
      <c r="I13" s="2"/>
      <c r="J13" s="2"/>
      <c r="K13" s="2"/>
    </row>
    <row r="14" spans="1:16" x14ac:dyDescent="0.2">
      <c r="A14" t="s">
        <v>150</v>
      </c>
      <c r="B14" t="s">
        <v>179</v>
      </c>
      <c r="C14" t="s">
        <v>170</v>
      </c>
      <c r="D14" t="s">
        <v>201</v>
      </c>
      <c r="I14" s="2"/>
      <c r="J14" s="2"/>
      <c r="K14" s="2"/>
    </row>
    <row r="15" spans="1:16" x14ac:dyDescent="0.2">
      <c r="A15" t="s">
        <v>151</v>
      </c>
      <c r="B15" t="s">
        <v>174</v>
      </c>
      <c r="C15" t="s">
        <v>173</v>
      </c>
      <c r="D15" t="s">
        <v>202</v>
      </c>
      <c r="E15" t="s">
        <v>185</v>
      </c>
      <c r="I15" s="2">
        <v>0</v>
      </c>
      <c r="J15" s="2">
        <v>1</v>
      </c>
      <c r="K15" s="2"/>
    </row>
    <row r="16" spans="1:16" x14ac:dyDescent="0.2">
      <c r="A16" t="s">
        <v>65</v>
      </c>
      <c r="B16" t="s">
        <v>66</v>
      </c>
      <c r="C16" t="s">
        <v>64</v>
      </c>
      <c r="D16" t="s">
        <v>202</v>
      </c>
      <c r="E16" t="s">
        <v>187</v>
      </c>
      <c r="F16" t="s">
        <v>35</v>
      </c>
      <c r="I16" s="2"/>
      <c r="J16" s="2"/>
      <c r="K16" s="2" t="s">
        <v>160</v>
      </c>
      <c r="L16" t="s">
        <v>33</v>
      </c>
    </row>
    <row r="17" spans="1:16" x14ac:dyDescent="0.2">
      <c r="A17" t="s">
        <v>62</v>
      </c>
      <c r="B17" t="s">
        <v>63</v>
      </c>
      <c r="C17" t="s">
        <v>64</v>
      </c>
      <c r="D17" t="s">
        <v>202</v>
      </c>
      <c r="E17" t="s">
        <v>187</v>
      </c>
      <c r="F17" t="s">
        <v>34</v>
      </c>
      <c r="I17" s="2"/>
      <c r="J17" s="2"/>
      <c r="K17" s="2" t="s">
        <v>160</v>
      </c>
      <c r="L17" t="s">
        <v>33</v>
      </c>
      <c r="O17" t="s">
        <v>33</v>
      </c>
    </row>
    <row r="18" spans="1:16" x14ac:dyDescent="0.2">
      <c r="A18" t="s">
        <v>54</v>
      </c>
      <c r="B18" t="s">
        <v>55</v>
      </c>
      <c r="C18" t="s">
        <v>32</v>
      </c>
      <c r="D18" t="s">
        <v>202</v>
      </c>
      <c r="E18" t="s">
        <v>187</v>
      </c>
      <c r="F18" t="s">
        <v>34</v>
      </c>
      <c r="I18" s="2">
        <v>1.5</v>
      </c>
      <c r="J18" s="2">
        <v>60</v>
      </c>
      <c r="K18" s="2" t="s">
        <v>160</v>
      </c>
      <c r="O18" t="s">
        <v>33</v>
      </c>
    </row>
    <row r="19" spans="1:16" x14ac:dyDescent="0.2">
      <c r="A19" t="s">
        <v>59</v>
      </c>
      <c r="B19" t="s">
        <v>60</v>
      </c>
      <c r="C19" t="s">
        <v>32</v>
      </c>
      <c r="D19" t="s">
        <v>202</v>
      </c>
      <c r="E19" t="s">
        <v>187</v>
      </c>
      <c r="F19" t="s">
        <v>35</v>
      </c>
      <c r="I19" s="1">
        <v>1.4999999999999999E-4</v>
      </c>
      <c r="J19" s="1">
        <v>5.0000000000000001E-4</v>
      </c>
      <c r="K19" s="1" t="s">
        <v>160</v>
      </c>
      <c r="O19" t="s">
        <v>33</v>
      </c>
      <c r="P19" t="s">
        <v>61</v>
      </c>
    </row>
    <row r="20" spans="1:16" x14ac:dyDescent="0.2">
      <c r="A20" t="s">
        <v>42</v>
      </c>
      <c r="B20" t="s">
        <v>43</v>
      </c>
      <c r="C20" t="s">
        <v>44</v>
      </c>
      <c r="D20" t="s">
        <v>202</v>
      </c>
      <c r="E20" t="s">
        <v>187</v>
      </c>
      <c r="F20" t="s">
        <v>34</v>
      </c>
      <c r="I20" s="2">
        <v>10</v>
      </c>
      <c r="J20" s="2">
        <v>22</v>
      </c>
      <c r="K20" s="2" t="s">
        <v>160</v>
      </c>
    </row>
    <row r="21" spans="1:16" x14ac:dyDescent="0.2">
      <c r="A21" t="s">
        <v>51</v>
      </c>
      <c r="B21" t="s">
        <v>52</v>
      </c>
      <c r="C21" t="s">
        <v>53</v>
      </c>
      <c r="D21" t="s">
        <v>202</v>
      </c>
      <c r="E21" t="s">
        <v>187</v>
      </c>
      <c r="F21" t="s">
        <v>35</v>
      </c>
      <c r="I21" s="2">
        <v>1.5</v>
      </c>
      <c r="J21" s="2">
        <v>4000</v>
      </c>
      <c r="K21" s="2" t="s">
        <v>160</v>
      </c>
      <c r="L21" t="s">
        <v>33</v>
      </c>
      <c r="M21" t="s">
        <v>33</v>
      </c>
      <c r="N21" t="s">
        <v>33</v>
      </c>
      <c r="O21" t="s">
        <v>33</v>
      </c>
    </row>
    <row r="22" spans="1:16" x14ac:dyDescent="0.2">
      <c r="A22" t="s">
        <v>3</v>
      </c>
      <c r="B22" t="s">
        <v>164</v>
      </c>
      <c r="C22" t="s">
        <v>32</v>
      </c>
      <c r="D22" t="s">
        <v>202</v>
      </c>
      <c r="E22" t="s">
        <v>185</v>
      </c>
      <c r="I22" s="2">
        <v>0</v>
      </c>
      <c r="J22" s="2">
        <v>5000</v>
      </c>
      <c r="K22" s="2" t="s">
        <v>36</v>
      </c>
      <c r="L22" t="s">
        <v>33</v>
      </c>
      <c r="M22" t="s">
        <v>33</v>
      </c>
      <c r="N22" t="s">
        <v>33</v>
      </c>
    </row>
    <row r="23" spans="1:16" x14ac:dyDescent="0.2">
      <c r="A23" t="s">
        <v>17</v>
      </c>
      <c r="B23" t="s">
        <v>165</v>
      </c>
      <c r="C23" t="s">
        <v>32</v>
      </c>
      <c r="D23" t="s">
        <v>202</v>
      </c>
      <c r="E23" t="s">
        <v>185</v>
      </c>
      <c r="I23" s="2">
        <v>0</v>
      </c>
      <c r="J23" s="2"/>
      <c r="K23" s="2" t="s">
        <v>158</v>
      </c>
      <c r="L23" t="s">
        <v>33</v>
      </c>
      <c r="M23" t="s">
        <v>33</v>
      </c>
      <c r="N23" t="s">
        <v>33</v>
      </c>
    </row>
    <row r="24" spans="1:16" x14ac:dyDescent="0.2">
      <c r="A24" t="s">
        <v>16</v>
      </c>
      <c r="B24" t="s">
        <v>166</v>
      </c>
      <c r="C24" t="s">
        <v>32</v>
      </c>
      <c r="D24" t="s">
        <v>202</v>
      </c>
      <c r="E24" t="s">
        <v>185</v>
      </c>
      <c r="I24" s="2">
        <v>0</v>
      </c>
      <c r="J24" s="2"/>
      <c r="K24" s="2" t="s">
        <v>158</v>
      </c>
      <c r="L24" t="s">
        <v>33</v>
      </c>
      <c r="M24" t="s">
        <v>33</v>
      </c>
      <c r="N24" t="s">
        <v>33</v>
      </c>
      <c r="O24" t="s">
        <v>33</v>
      </c>
    </row>
    <row r="25" spans="1:16" x14ac:dyDescent="0.2">
      <c r="A25" t="s">
        <v>15</v>
      </c>
      <c r="B25" t="s">
        <v>167</v>
      </c>
      <c r="C25" t="s">
        <v>32</v>
      </c>
      <c r="D25" t="s">
        <v>202</v>
      </c>
      <c r="E25" t="s">
        <v>185</v>
      </c>
      <c r="I25" s="2">
        <v>5</v>
      </c>
      <c r="J25" s="2">
        <v>2000</v>
      </c>
      <c r="K25" s="2" t="s">
        <v>158</v>
      </c>
      <c r="L25" t="s">
        <v>33</v>
      </c>
      <c r="M25" t="s">
        <v>33</v>
      </c>
      <c r="N25" t="s">
        <v>33</v>
      </c>
      <c r="O25" t="s">
        <v>33</v>
      </c>
    </row>
    <row r="26" spans="1:16" x14ac:dyDescent="0.2">
      <c r="A26" t="s">
        <v>2</v>
      </c>
      <c r="B26" t="s">
        <v>38</v>
      </c>
      <c r="C26" t="s">
        <v>37</v>
      </c>
      <c r="D26" t="s">
        <v>202</v>
      </c>
      <c r="E26" t="s">
        <v>185</v>
      </c>
      <c r="I26" s="2"/>
      <c r="J26" s="2"/>
      <c r="K26" s="2" t="s">
        <v>36</v>
      </c>
    </row>
    <row r="27" spans="1:16" x14ac:dyDescent="0.2">
      <c r="A27" t="s">
        <v>19</v>
      </c>
      <c r="B27" t="s">
        <v>163</v>
      </c>
      <c r="C27" t="s">
        <v>37</v>
      </c>
      <c r="D27" t="s">
        <v>202</v>
      </c>
      <c r="E27" t="s">
        <v>185</v>
      </c>
      <c r="I27" s="2">
        <v>-4</v>
      </c>
      <c r="J27" s="2">
        <v>15</v>
      </c>
      <c r="K27" s="2" t="s">
        <v>158</v>
      </c>
      <c r="O27" t="s">
        <v>33</v>
      </c>
    </row>
    <row r="28" spans="1:16" x14ac:dyDescent="0.2">
      <c r="A28" t="s">
        <v>20</v>
      </c>
      <c r="B28" t="s">
        <v>162</v>
      </c>
      <c r="C28" t="s">
        <v>37</v>
      </c>
      <c r="D28" t="s">
        <v>202</v>
      </c>
      <c r="E28" t="s">
        <v>185</v>
      </c>
      <c r="I28" s="2"/>
      <c r="J28" s="2"/>
      <c r="K28" s="2" t="s">
        <v>158</v>
      </c>
      <c r="L28" t="s">
        <v>33</v>
      </c>
      <c r="M28" t="s">
        <v>33</v>
      </c>
      <c r="N28" t="s">
        <v>33</v>
      </c>
      <c r="O28" t="s">
        <v>33</v>
      </c>
    </row>
    <row r="29" spans="1:16" x14ac:dyDescent="0.2">
      <c r="A29" t="s">
        <v>39</v>
      </c>
      <c r="B29" t="s">
        <v>40</v>
      </c>
      <c r="C29" t="s">
        <v>37</v>
      </c>
      <c r="D29" t="s">
        <v>202</v>
      </c>
      <c r="E29" t="s">
        <v>41</v>
      </c>
      <c r="F29" t="s">
        <v>34</v>
      </c>
      <c r="I29" s="2">
        <v>-18</v>
      </c>
      <c r="J29" s="2">
        <v>15</v>
      </c>
      <c r="K29" s="2" t="s">
        <v>160</v>
      </c>
      <c r="O29" t="s">
        <v>33</v>
      </c>
    </row>
    <row r="30" spans="1:16" x14ac:dyDescent="0.2">
      <c r="A30" t="s">
        <v>91</v>
      </c>
      <c r="B30" t="s">
        <v>92</v>
      </c>
      <c r="C30" t="s">
        <v>32</v>
      </c>
      <c r="D30" t="s">
        <v>203</v>
      </c>
      <c r="E30" t="s">
        <v>185</v>
      </c>
      <c r="G30" s="1">
        <v>2.0799999999999999E-4</v>
      </c>
      <c r="H30" s="1"/>
      <c r="I30" s="2"/>
      <c r="J30" s="2"/>
      <c r="K30" s="2" t="s">
        <v>75</v>
      </c>
      <c r="O30" t="s">
        <v>33</v>
      </c>
    </row>
    <row r="31" spans="1:16" x14ac:dyDescent="0.2">
      <c r="A31" t="s">
        <v>78</v>
      </c>
      <c r="B31" t="s">
        <v>79</v>
      </c>
      <c r="C31" t="s">
        <v>69</v>
      </c>
      <c r="D31" t="s">
        <v>203</v>
      </c>
      <c r="E31" t="s">
        <v>185</v>
      </c>
      <c r="G31">
        <v>0.25</v>
      </c>
      <c r="I31" s="2"/>
      <c r="J31" s="2"/>
      <c r="K31" s="2" t="s">
        <v>75</v>
      </c>
    </row>
    <row r="32" spans="1:16" x14ac:dyDescent="0.2">
      <c r="A32" t="s">
        <v>93</v>
      </c>
      <c r="B32" t="s">
        <v>94</v>
      </c>
      <c r="C32" t="s">
        <v>95</v>
      </c>
      <c r="D32" t="s">
        <v>203</v>
      </c>
      <c r="E32" t="s">
        <v>185</v>
      </c>
      <c r="G32">
        <v>9.81</v>
      </c>
      <c r="I32" s="2"/>
      <c r="J32" s="2"/>
      <c r="K32" s="2" t="s">
        <v>75</v>
      </c>
      <c r="O32" t="s">
        <v>33</v>
      </c>
    </row>
    <row r="33" spans="1:16" x14ac:dyDescent="0.2">
      <c r="A33" t="s">
        <v>98</v>
      </c>
      <c r="B33" t="s">
        <v>99</v>
      </c>
      <c r="C33" t="s">
        <v>44</v>
      </c>
      <c r="D33" t="s">
        <v>203</v>
      </c>
      <c r="E33" t="s">
        <v>185</v>
      </c>
      <c r="G33" s="2">
        <v>26</v>
      </c>
      <c r="H33" s="2"/>
      <c r="I33" s="2"/>
      <c r="J33" s="2"/>
      <c r="K33" s="2" t="s">
        <v>75</v>
      </c>
      <c r="O33" t="s">
        <v>33</v>
      </c>
    </row>
    <row r="34" spans="1:16" x14ac:dyDescent="0.2">
      <c r="A34" t="s">
        <v>49</v>
      </c>
      <c r="B34" t="s">
        <v>50</v>
      </c>
      <c r="C34" t="s">
        <v>44</v>
      </c>
      <c r="D34" t="s">
        <v>203</v>
      </c>
      <c r="E34" t="s">
        <v>185</v>
      </c>
      <c r="G34">
        <v>9.81</v>
      </c>
      <c r="I34" s="2"/>
      <c r="J34" s="2"/>
      <c r="K34" s="2" t="s">
        <v>75</v>
      </c>
    </row>
    <row r="35" spans="1:16" x14ac:dyDescent="0.2">
      <c r="A35" t="s">
        <v>138</v>
      </c>
      <c r="B35" t="s">
        <v>139</v>
      </c>
      <c r="C35" t="s">
        <v>32</v>
      </c>
      <c r="D35" t="s">
        <v>203</v>
      </c>
      <c r="E35" t="s">
        <v>185</v>
      </c>
      <c r="G35">
        <v>1.5</v>
      </c>
      <c r="K35" s="2" t="s">
        <v>75</v>
      </c>
    </row>
    <row r="36" spans="1:16" x14ac:dyDescent="0.2">
      <c r="A36" t="s">
        <v>73</v>
      </c>
      <c r="B36" t="s">
        <v>74</v>
      </c>
      <c r="C36" t="s">
        <v>69</v>
      </c>
      <c r="D36" t="s">
        <v>203</v>
      </c>
      <c r="E36" t="s">
        <v>187</v>
      </c>
      <c r="F36" t="s">
        <v>34</v>
      </c>
      <c r="G36" s="2">
        <v>0.5</v>
      </c>
      <c r="H36" s="2">
        <v>0.1</v>
      </c>
      <c r="I36" s="2"/>
      <c r="J36" s="2"/>
      <c r="K36" s="2" t="s">
        <v>75</v>
      </c>
      <c r="N36" t="s">
        <v>33</v>
      </c>
    </row>
    <row r="37" spans="1:16" x14ac:dyDescent="0.2">
      <c r="A37" t="s">
        <v>134</v>
      </c>
      <c r="B37" t="s">
        <v>135</v>
      </c>
      <c r="C37" t="s">
        <v>58</v>
      </c>
      <c r="D37" t="s">
        <v>203</v>
      </c>
      <c r="E37" t="s">
        <v>187</v>
      </c>
      <c r="F37" t="s">
        <v>34</v>
      </c>
      <c r="G37">
        <v>0.1</v>
      </c>
      <c r="K37" s="2" t="s">
        <v>75</v>
      </c>
    </row>
    <row r="38" spans="1:16" x14ac:dyDescent="0.2">
      <c r="A38" t="s">
        <v>136</v>
      </c>
      <c r="B38" t="s">
        <v>137</v>
      </c>
      <c r="C38" t="s">
        <v>58</v>
      </c>
      <c r="D38" t="s">
        <v>203</v>
      </c>
      <c r="E38" t="s">
        <v>187</v>
      </c>
      <c r="F38" t="s">
        <v>34</v>
      </c>
      <c r="G38">
        <v>0.01</v>
      </c>
      <c r="K38" s="2" t="s">
        <v>75</v>
      </c>
    </row>
    <row r="39" spans="1:16" x14ac:dyDescent="0.2">
      <c r="A39" t="s">
        <v>76</v>
      </c>
      <c r="B39" t="s">
        <v>77</v>
      </c>
      <c r="C39" t="s">
        <v>69</v>
      </c>
      <c r="D39" t="s">
        <v>203</v>
      </c>
      <c r="E39" t="s">
        <v>185</v>
      </c>
      <c r="G39" s="2">
        <v>0.3</v>
      </c>
      <c r="H39" s="2"/>
      <c r="I39" s="2"/>
      <c r="J39" s="2"/>
      <c r="K39" s="2" t="s">
        <v>75</v>
      </c>
      <c r="O39" t="s">
        <v>33</v>
      </c>
    </row>
    <row r="40" spans="1:16" x14ac:dyDescent="0.2">
      <c r="A40" t="s">
        <v>88</v>
      </c>
      <c r="B40" t="s">
        <v>89</v>
      </c>
      <c r="C40" t="s">
        <v>90</v>
      </c>
      <c r="D40" t="s">
        <v>203</v>
      </c>
      <c r="E40" t="s">
        <v>185</v>
      </c>
      <c r="G40" s="2">
        <v>37</v>
      </c>
      <c r="H40" s="2"/>
      <c r="I40" s="2"/>
      <c r="J40" s="2"/>
      <c r="K40" s="2" t="s">
        <v>75</v>
      </c>
      <c r="O40" t="s">
        <v>33</v>
      </c>
    </row>
    <row r="41" spans="1:16" x14ac:dyDescent="0.2">
      <c r="A41" t="s">
        <v>96</v>
      </c>
      <c r="B41" t="s">
        <v>97</v>
      </c>
      <c r="C41" t="s">
        <v>215</v>
      </c>
      <c r="D41" t="s">
        <v>203</v>
      </c>
      <c r="E41" t="s">
        <v>185</v>
      </c>
      <c r="G41" s="1">
        <v>1.33E-6</v>
      </c>
      <c r="H41" s="1"/>
      <c r="I41" s="2"/>
      <c r="J41" s="2"/>
      <c r="K41" s="2" t="s">
        <v>75</v>
      </c>
      <c r="O41" t="s">
        <v>33</v>
      </c>
    </row>
    <row r="42" spans="1:16" x14ac:dyDescent="0.2">
      <c r="A42" t="s">
        <v>70</v>
      </c>
      <c r="B42" t="s">
        <v>157</v>
      </c>
      <c r="C42" t="s">
        <v>69</v>
      </c>
      <c r="D42" t="s">
        <v>203</v>
      </c>
      <c r="E42" t="s">
        <v>187</v>
      </c>
      <c r="F42" t="s">
        <v>34</v>
      </c>
      <c r="G42" s="3">
        <v>1</v>
      </c>
      <c r="H42">
        <v>0.1</v>
      </c>
      <c r="I42" s="2"/>
      <c r="J42" s="2"/>
      <c r="K42" s="2" t="s">
        <v>158</v>
      </c>
      <c r="N42" t="s">
        <v>33</v>
      </c>
    </row>
    <row r="43" spans="1:16" x14ac:dyDescent="0.2">
      <c r="A43" t="s">
        <v>71</v>
      </c>
      <c r="B43" t="s">
        <v>72</v>
      </c>
      <c r="C43" t="s">
        <v>69</v>
      </c>
      <c r="D43" t="s">
        <v>203</v>
      </c>
      <c r="E43" t="s">
        <v>187</v>
      </c>
      <c r="F43" t="s">
        <v>34</v>
      </c>
      <c r="G43" s="3">
        <v>1</v>
      </c>
      <c r="H43">
        <v>0.12</v>
      </c>
      <c r="I43" s="2"/>
      <c r="J43" s="2"/>
      <c r="K43" s="2" t="s">
        <v>158</v>
      </c>
      <c r="O43" t="s">
        <v>33</v>
      </c>
    </row>
    <row r="44" spans="1:16" x14ac:dyDescent="0.2">
      <c r="A44" t="s">
        <v>67</v>
      </c>
      <c r="B44" t="s">
        <v>68</v>
      </c>
      <c r="C44" t="s">
        <v>69</v>
      </c>
      <c r="D44" t="s">
        <v>203</v>
      </c>
      <c r="E44" t="s">
        <v>187</v>
      </c>
      <c r="F44" t="s">
        <v>34</v>
      </c>
      <c r="G44" s="3">
        <v>1</v>
      </c>
      <c r="H44">
        <v>0.1</v>
      </c>
      <c r="I44" s="2"/>
      <c r="J44" s="2"/>
      <c r="K44" s="2" t="s">
        <v>158</v>
      </c>
      <c r="M44" t="s">
        <v>33</v>
      </c>
    </row>
    <row r="45" spans="1:16" x14ac:dyDescent="0.2">
      <c r="A45" t="s">
        <v>18</v>
      </c>
      <c r="B45" t="s">
        <v>232</v>
      </c>
      <c r="C45" t="s">
        <v>37</v>
      </c>
      <c r="D45" t="s">
        <v>85</v>
      </c>
      <c r="I45" s="2"/>
      <c r="J45" s="2"/>
      <c r="K45" s="2" t="s">
        <v>184</v>
      </c>
      <c r="L45" t="s">
        <v>85</v>
      </c>
      <c r="P45" t="s">
        <v>231</v>
      </c>
    </row>
    <row r="46" spans="1:16" x14ac:dyDescent="0.2">
      <c r="A46" t="s">
        <v>45</v>
      </c>
      <c r="B46" t="s">
        <v>46</v>
      </c>
      <c r="C46" t="s">
        <v>32</v>
      </c>
      <c r="D46" t="s">
        <v>85</v>
      </c>
      <c r="I46" s="2"/>
      <c r="J46" s="2"/>
      <c r="K46" s="2" t="s">
        <v>184</v>
      </c>
      <c r="P46" t="s">
        <v>186</v>
      </c>
    </row>
    <row r="47" spans="1:16" x14ac:dyDescent="0.2">
      <c r="A47" t="s">
        <v>47</v>
      </c>
      <c r="B47" t="s">
        <v>48</v>
      </c>
      <c r="C47" t="s">
        <v>32</v>
      </c>
      <c r="D47" t="s">
        <v>85</v>
      </c>
      <c r="I47" s="2"/>
      <c r="J47" s="2"/>
      <c r="K47" s="2" t="s">
        <v>184</v>
      </c>
      <c r="P47" t="s">
        <v>186</v>
      </c>
    </row>
    <row r="48" spans="1:16" x14ac:dyDescent="0.2">
      <c r="A48" t="s">
        <v>106</v>
      </c>
      <c r="B48" t="s">
        <v>107</v>
      </c>
      <c r="C48" t="s">
        <v>32</v>
      </c>
      <c r="D48" t="s">
        <v>85</v>
      </c>
      <c r="I48" s="2"/>
      <c r="J48" s="2"/>
      <c r="K48" s="2" t="s">
        <v>184</v>
      </c>
      <c r="O48" t="s">
        <v>85</v>
      </c>
    </row>
    <row r="49" spans="1:15" x14ac:dyDescent="0.2">
      <c r="A49" t="s">
        <v>102</v>
      </c>
      <c r="B49" t="s">
        <v>103</v>
      </c>
      <c r="C49" t="s">
        <v>32</v>
      </c>
      <c r="D49" t="s">
        <v>85</v>
      </c>
      <c r="I49" s="2"/>
      <c r="J49" s="2"/>
      <c r="K49" s="2" t="s">
        <v>184</v>
      </c>
      <c r="O49" t="s">
        <v>85</v>
      </c>
    </row>
    <row r="50" spans="1:15" x14ac:dyDescent="0.2">
      <c r="A50" t="s">
        <v>100</v>
      </c>
      <c r="B50" t="s">
        <v>101</v>
      </c>
      <c r="C50" t="s">
        <v>32</v>
      </c>
      <c r="D50" t="s">
        <v>85</v>
      </c>
      <c r="I50" s="2"/>
      <c r="J50" s="2"/>
      <c r="K50" s="2" t="s">
        <v>184</v>
      </c>
      <c r="M50" t="s">
        <v>85</v>
      </c>
    </row>
    <row r="51" spans="1:15" x14ac:dyDescent="0.2">
      <c r="A51" t="s">
        <v>130</v>
      </c>
      <c r="B51" t="s">
        <v>131</v>
      </c>
      <c r="C51" t="s">
        <v>69</v>
      </c>
      <c r="D51" t="s">
        <v>85</v>
      </c>
      <c r="I51" s="2"/>
      <c r="J51" s="2"/>
      <c r="K51" s="2" t="s">
        <v>184</v>
      </c>
      <c r="N51" t="s">
        <v>81</v>
      </c>
    </row>
    <row r="52" spans="1:15" x14ac:dyDescent="0.2">
      <c r="A52" t="s">
        <v>132</v>
      </c>
      <c r="B52" t="s">
        <v>133</v>
      </c>
      <c r="C52" t="s">
        <v>69</v>
      </c>
      <c r="D52" t="s">
        <v>85</v>
      </c>
      <c r="I52" s="2"/>
      <c r="J52" s="2"/>
      <c r="K52" s="2" t="s">
        <v>184</v>
      </c>
      <c r="O52" t="s">
        <v>81</v>
      </c>
    </row>
    <row r="53" spans="1:15" x14ac:dyDescent="0.2">
      <c r="A53" t="s">
        <v>128</v>
      </c>
      <c r="B53" t="s">
        <v>129</v>
      </c>
      <c r="C53" t="s">
        <v>69</v>
      </c>
      <c r="D53" t="s">
        <v>85</v>
      </c>
      <c r="I53" s="2"/>
      <c r="J53" s="2"/>
      <c r="K53" s="2" t="s">
        <v>184</v>
      </c>
      <c r="M53" t="s">
        <v>81</v>
      </c>
    </row>
    <row r="54" spans="1:15" x14ac:dyDescent="0.2">
      <c r="A54" t="s">
        <v>83</v>
      </c>
      <c r="B54" t="s">
        <v>84</v>
      </c>
      <c r="C54" t="s">
        <v>37</v>
      </c>
      <c r="D54" t="s">
        <v>85</v>
      </c>
      <c r="I54" s="2"/>
      <c r="J54" s="2"/>
      <c r="K54" s="2" t="s">
        <v>184</v>
      </c>
      <c r="O54" t="s">
        <v>85</v>
      </c>
    </row>
    <row r="55" spans="1:15" x14ac:dyDescent="0.2">
      <c r="A55" t="s">
        <v>104</v>
      </c>
      <c r="B55" t="s">
        <v>105</v>
      </c>
      <c r="C55" t="s">
        <v>69</v>
      </c>
      <c r="D55" t="s">
        <v>85</v>
      </c>
      <c r="I55" s="2"/>
      <c r="J55" s="2"/>
      <c r="K55" s="2" t="s">
        <v>184</v>
      </c>
      <c r="N55" t="s">
        <v>85</v>
      </c>
    </row>
    <row r="56" spans="1:15" x14ac:dyDescent="0.2">
      <c r="A56" t="s">
        <v>56</v>
      </c>
      <c r="B56" t="s">
        <v>57</v>
      </c>
      <c r="C56" t="s">
        <v>58</v>
      </c>
      <c r="D56" t="s">
        <v>85</v>
      </c>
      <c r="I56" s="2"/>
      <c r="J56" s="2"/>
      <c r="K56" s="2" t="s">
        <v>184</v>
      </c>
    </row>
    <row r="57" spans="1:15" x14ac:dyDescent="0.2">
      <c r="A57" t="s">
        <v>118</v>
      </c>
      <c r="B57" t="s">
        <v>119</v>
      </c>
      <c r="C57" t="s">
        <v>32</v>
      </c>
      <c r="D57" t="s">
        <v>85</v>
      </c>
      <c r="I57" s="2"/>
      <c r="J57" s="2"/>
      <c r="K57" s="2" t="s">
        <v>184</v>
      </c>
      <c r="L57" t="s">
        <v>85</v>
      </c>
    </row>
    <row r="58" spans="1:15" x14ac:dyDescent="0.2">
      <c r="A58" t="s">
        <v>86</v>
      </c>
      <c r="B58" t="s">
        <v>87</v>
      </c>
      <c r="C58" t="s">
        <v>32</v>
      </c>
      <c r="D58" t="s">
        <v>85</v>
      </c>
      <c r="I58" s="2"/>
      <c r="J58" s="2"/>
      <c r="K58" s="2" t="s">
        <v>184</v>
      </c>
      <c r="O58" t="s">
        <v>85</v>
      </c>
    </row>
    <row r="59" spans="1:15" x14ac:dyDescent="0.2">
      <c r="A59" t="s">
        <v>116</v>
      </c>
      <c r="B59" t="s">
        <v>117</v>
      </c>
      <c r="C59" t="s">
        <v>32</v>
      </c>
      <c r="D59" t="s">
        <v>85</v>
      </c>
      <c r="I59" s="2"/>
      <c r="J59" s="2"/>
      <c r="K59" s="2" t="s">
        <v>184</v>
      </c>
      <c r="L59" t="s">
        <v>85</v>
      </c>
    </row>
    <row r="60" spans="1:15" x14ac:dyDescent="0.2">
      <c r="A60" t="s">
        <v>122</v>
      </c>
      <c r="B60" t="s">
        <v>123</v>
      </c>
      <c r="C60" t="s">
        <v>32</v>
      </c>
      <c r="D60" t="s">
        <v>85</v>
      </c>
      <c r="I60" s="2"/>
      <c r="J60" s="2"/>
      <c r="K60" s="2" t="s">
        <v>184</v>
      </c>
      <c r="L60" t="s">
        <v>85</v>
      </c>
    </row>
    <row r="61" spans="1:15" x14ac:dyDescent="0.2">
      <c r="A61" t="s">
        <v>120</v>
      </c>
      <c r="B61" t="s">
        <v>121</v>
      </c>
      <c r="C61" t="s">
        <v>32</v>
      </c>
      <c r="D61" t="s">
        <v>85</v>
      </c>
      <c r="I61" s="2"/>
      <c r="J61" s="2"/>
      <c r="K61" s="2" t="s">
        <v>184</v>
      </c>
      <c r="L61" t="s">
        <v>85</v>
      </c>
    </row>
    <row r="62" spans="1:15" x14ac:dyDescent="0.2">
      <c r="A62" t="s">
        <v>82</v>
      </c>
      <c r="B62" t="s">
        <v>161</v>
      </c>
      <c r="C62" t="s">
        <v>37</v>
      </c>
      <c r="D62" t="s">
        <v>85</v>
      </c>
      <c r="I62" s="2"/>
      <c r="J62" s="2"/>
      <c r="K62" s="2" t="s">
        <v>184</v>
      </c>
      <c r="L62" t="s">
        <v>81</v>
      </c>
      <c r="M62" t="s">
        <v>33</v>
      </c>
      <c r="N62" t="s">
        <v>33</v>
      </c>
    </row>
    <row r="63" spans="1:15" x14ac:dyDescent="0.2">
      <c r="A63" t="s">
        <v>80</v>
      </c>
      <c r="B63" t="s">
        <v>159</v>
      </c>
      <c r="C63" t="s">
        <v>69</v>
      </c>
      <c r="D63" t="s">
        <v>85</v>
      </c>
      <c r="I63" s="2"/>
      <c r="J63" s="2"/>
      <c r="K63" s="2" t="s">
        <v>184</v>
      </c>
      <c r="L63" t="s">
        <v>81</v>
      </c>
    </row>
    <row r="64" spans="1:15" x14ac:dyDescent="0.2">
      <c r="A64" t="s">
        <v>126</v>
      </c>
      <c r="B64" t="s">
        <v>127</v>
      </c>
      <c r="C64" t="s">
        <v>32</v>
      </c>
      <c r="D64" t="s">
        <v>85</v>
      </c>
      <c r="I64" s="2"/>
      <c r="J64" s="2"/>
      <c r="K64" s="2" t="s">
        <v>184</v>
      </c>
      <c r="L64" t="s">
        <v>85</v>
      </c>
    </row>
    <row r="65" spans="1:15" x14ac:dyDescent="0.2">
      <c r="A65" t="s">
        <v>124</v>
      </c>
      <c r="B65" t="s">
        <v>125</v>
      </c>
      <c r="C65" t="s">
        <v>32</v>
      </c>
      <c r="D65" t="s">
        <v>85</v>
      </c>
      <c r="I65" s="2"/>
      <c r="J65" s="2"/>
      <c r="K65" s="2" t="s">
        <v>184</v>
      </c>
      <c r="L65" t="s">
        <v>85</v>
      </c>
    </row>
    <row r="66" spans="1:15" x14ac:dyDescent="0.2">
      <c r="A66" t="s">
        <v>114</v>
      </c>
      <c r="B66" t="s">
        <v>115</v>
      </c>
      <c r="C66" t="s">
        <v>69</v>
      </c>
      <c r="D66" t="s">
        <v>85</v>
      </c>
      <c r="I66" s="2"/>
      <c r="J66" s="2"/>
      <c r="K66" s="2" t="s">
        <v>184</v>
      </c>
      <c r="M66" t="s">
        <v>33</v>
      </c>
      <c r="N66" t="s">
        <v>33</v>
      </c>
      <c r="O66" t="s">
        <v>33</v>
      </c>
    </row>
    <row r="67" spans="1:15" x14ac:dyDescent="0.2">
      <c r="A67" t="s">
        <v>110</v>
      </c>
      <c r="B67" t="s">
        <v>111</v>
      </c>
      <c r="C67" t="s">
        <v>69</v>
      </c>
      <c r="D67" t="s">
        <v>85</v>
      </c>
      <c r="I67" s="2"/>
      <c r="J67" s="2"/>
      <c r="K67" s="2" t="s">
        <v>184</v>
      </c>
      <c r="N67" t="s">
        <v>81</v>
      </c>
    </row>
    <row r="68" spans="1:15" x14ac:dyDescent="0.2">
      <c r="A68" t="s">
        <v>112</v>
      </c>
      <c r="B68" t="s">
        <v>113</v>
      </c>
      <c r="C68" t="s">
        <v>69</v>
      </c>
      <c r="D68" t="s">
        <v>85</v>
      </c>
      <c r="I68" s="2"/>
      <c r="J68" s="2"/>
      <c r="K68" s="2" t="s">
        <v>184</v>
      </c>
      <c r="O68" t="s">
        <v>81</v>
      </c>
    </row>
    <row r="69" spans="1:15" x14ac:dyDescent="0.2">
      <c r="A69" t="s">
        <v>108</v>
      </c>
      <c r="B69" t="s">
        <v>109</v>
      </c>
      <c r="C69" t="s">
        <v>69</v>
      </c>
      <c r="D69" t="s">
        <v>85</v>
      </c>
      <c r="I69" s="2"/>
      <c r="J69" s="2"/>
      <c r="K69" s="2" t="s">
        <v>184</v>
      </c>
      <c r="M69" t="s">
        <v>81</v>
      </c>
    </row>
  </sheetData>
  <conditionalFormatting sqref="E1:E1048576">
    <cfRule type="expression" dxfId="3" priority="2">
      <formula>OR($D1="metadata", $D1="calculated")</formula>
    </cfRule>
  </conditionalFormatting>
  <conditionalFormatting sqref="F1:F69">
    <cfRule type="expression" dxfId="2" priority="4">
      <formula>OR($E1="deterministic", ISBLANK($E1))</formula>
    </cfRule>
  </conditionalFormatting>
  <conditionalFormatting sqref="G2:H69">
    <cfRule type="expression" dxfId="1" priority="3">
      <formula>$D2&lt;&gt;"constant"</formula>
    </cfRule>
  </conditionalFormatting>
  <conditionalFormatting sqref="I2:J69">
    <cfRule type="expression" dxfId="0" priority="1">
      <formula>AND($D2&lt;&gt;"variable",$D2&lt;&gt;"constant")</formula>
    </cfRule>
  </conditionalFormatting>
  <dataValidations count="3">
    <dataValidation type="list" allowBlank="1" showInputMessage="1" showErrorMessage="1" sqref="F2:F69" xr:uid="{0C4D3287-2227-4749-A999-A3EC2866277F}">
      <formula1>"_stdev,_vc"</formula1>
    </dataValidation>
    <dataValidation type="list" showInputMessage="1" showErrorMessage="1" sqref="D1:D1048576" xr:uid="{7DBF22A6-4D9E-4F91-90D4-678B52A281D8}">
      <formula1>"metadata,variable,constant,calculated"</formula1>
    </dataValidation>
    <dataValidation type="list" allowBlank="1" showInputMessage="1" showErrorMessage="1" sqref="E2:E69" xr:uid="{275783A2-AEC2-4F92-8AAF-45A3C5FDAAC7}">
      <formula1>"deterministic,normal,log_normal"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D5E8-359B-4F56-B38E-FCA72B85D698}">
  <dimension ref="A1:C6"/>
  <sheetViews>
    <sheetView zoomScale="160" zoomScaleNormal="160" workbookViewId="0">
      <selection activeCell="F7" sqref="F7"/>
    </sheetView>
  </sheetViews>
  <sheetFormatPr defaultColWidth="8.69921875" defaultRowHeight="14.4" x14ac:dyDescent="0.3"/>
  <cols>
    <col min="1" max="1" width="23.09765625" style="7" bestFit="1" customWidth="1"/>
    <col min="2" max="16384" width="8.69921875" style="7"/>
  </cols>
  <sheetData>
    <row r="1" spans="1:3" x14ac:dyDescent="0.3">
      <c r="A1" s="8" t="s">
        <v>200</v>
      </c>
      <c r="B1" s="8" t="s">
        <v>199</v>
      </c>
      <c r="C1" s="8" t="s">
        <v>198</v>
      </c>
    </row>
    <row r="2" spans="1:3" x14ac:dyDescent="0.3">
      <c r="A2" s="7" t="s">
        <v>197</v>
      </c>
      <c r="B2" s="7" t="s">
        <v>196</v>
      </c>
      <c r="C2" s="7" t="s">
        <v>195</v>
      </c>
    </row>
    <row r="3" spans="1:3" x14ac:dyDescent="0.3">
      <c r="A3" s="7" t="s">
        <v>194</v>
      </c>
      <c r="B3" s="7">
        <v>0.75</v>
      </c>
      <c r="C3" s="7" t="s">
        <v>192</v>
      </c>
    </row>
    <row r="4" spans="1:3" x14ac:dyDescent="0.3">
      <c r="A4" s="7" t="s">
        <v>193</v>
      </c>
      <c r="B4" s="7">
        <v>0.01</v>
      </c>
      <c r="C4" s="7" t="s">
        <v>192</v>
      </c>
    </row>
    <row r="5" spans="1:3" x14ac:dyDescent="0.3">
      <c r="A5" s="7" t="s">
        <v>191</v>
      </c>
      <c r="B5" s="7">
        <v>100</v>
      </c>
      <c r="C5" s="7" t="s">
        <v>190</v>
      </c>
    </row>
    <row r="6" spans="1:3" x14ac:dyDescent="0.3">
      <c r="A6" s="7" t="s">
        <v>189</v>
      </c>
      <c r="B6" s="7" t="b">
        <v>1</v>
      </c>
      <c r="C6" s="7" t="s">
        <v>188</v>
      </c>
    </row>
  </sheetData>
  <dataValidations count="4">
    <dataValidation type="custom" allowBlank="1" showInputMessage="1" showErrorMessage="1" sqref="B5" xr:uid="{94AA1909-8159-4ABD-8194-E5CC31B00066}">
      <formula1>AND(ISNUMBER(B5),B5=INT(B5))</formula1>
    </dataValidation>
    <dataValidation type="list" allowBlank="1" showInputMessage="1" showErrorMessage="1" sqref="B2" xr:uid="{73A82C8D-457E-4F26-8920-E365EC9333FD}">
      <formula1>"form,numerical_integration,crude_monte_carlo,importance_sampling,directional_sampling,subset_simulation,numerical_bisection,latin_hypercube,cobyla_reliability,form_then_directional_sampling,directional_sampling_then_form"</formula1>
    </dataValidation>
    <dataValidation type="list" allowBlank="1" showInputMessage="1" showErrorMessage="1" sqref="B6" xr:uid="{05F071D7-CE12-4A8B-B2AB-37DFC65D1C77}">
      <formula1>"True,False"</formula1>
    </dataValidation>
    <dataValidation type="custom" showInputMessage="1" showErrorMessage="1" sqref="B3:B4" xr:uid="{0F940659-071E-4396-94AE-334C05124B18}">
      <formula1>ISNUMBER(B3)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Vakken</vt:lpstr>
      <vt:lpstr>Uittredepunten</vt:lpstr>
      <vt:lpstr>Ondergrondscenarios</vt:lpstr>
      <vt:lpstr>Overzicht_parameters</vt:lpstr>
      <vt:lpstr>Settings</vt:lpstr>
    </vt:vector>
  </TitlesOfParts>
  <Company>Waterschap Hollandse 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Ophof</dc:creator>
  <cp:lastModifiedBy>Oscar Ophof</cp:lastModifiedBy>
  <dcterms:created xsi:type="dcterms:W3CDTF">2025-04-30T09:21:20Z</dcterms:created>
  <dcterms:modified xsi:type="dcterms:W3CDTF">2025-06-19T11:09:29Z</dcterms:modified>
</cp:coreProperties>
</file>