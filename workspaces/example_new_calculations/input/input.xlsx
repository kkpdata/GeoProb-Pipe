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workspaces/example_new_calculations/input/"/>
    </mc:Choice>
  </mc:AlternateContent>
  <xr:revisionPtr revIDLastSave="5" documentId="8_{8871108C-DAB0-4F1E-BB0F-ABD69BC66076}" xr6:coauthVersionLast="47" xr6:coauthVersionMax="47" xr10:uidLastSave="{7A5C0A0C-AA9B-4E7A-B4D7-82B7A8D40D97}"/>
  <bookViews>
    <workbookView xWindow="3975" yWindow="3135" windowWidth="24585" windowHeight="11295" activeTab="2" xr2:uid="{00000000-000D-0000-FFFF-FFFF00000000}"/>
  </bookViews>
  <sheets>
    <sheet name="Vakken" sheetId="1" r:id="rId1"/>
    <sheet name="Uittredepunten" sheetId="2" r:id="rId2"/>
    <sheet name="Ondergrondscenarios" sheetId="3" r:id="rId3"/>
    <sheet name="Constanten" sheetId="4" r:id="rId4"/>
  </sheets>
  <definedNames>
    <definedName name="d70_m">'Constanten'!$E$7</definedName>
    <definedName name="eta">'Constanten'!$E$5</definedName>
    <definedName name="g">'Constanten'!$E$8</definedName>
    <definedName name="gamma_korrel">'Constanten'!$E$10</definedName>
    <definedName name="gws_m_mv">'Constanten'!$E$13</definedName>
    <definedName name="i_c_h">'Constanten'!$E$3</definedName>
    <definedName name="k_v_boven_gws">'Constanten'!$E$11</definedName>
    <definedName name="k_v_onder_gws">'Constanten'!$E$12</definedName>
    <definedName name="r_c_deklaag">'Constanten'!$E$4</definedName>
    <definedName name="theta">'Constanten'!$E$6</definedName>
    <definedName name="v">'Constanten'!$E$9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3" l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</calcChain>
</file>

<file path=xl/sharedStrings.xml><?xml version="1.0" encoding="utf-8"?>
<sst xmlns="http://schemas.openxmlformats.org/spreadsheetml/2006/main" count="442" uniqueCount="112">
  <si>
    <t>VakID</t>
  </si>
  <si>
    <t>Vaknaam</t>
  </si>
  <si>
    <t>M_van</t>
  </si>
  <si>
    <t>M_tot</t>
  </si>
  <si>
    <t>Vaklengte</t>
  </si>
  <si>
    <t>mv_achterland_vak</t>
  </si>
  <si>
    <t>UittredepuntID</t>
  </si>
  <si>
    <t>X_uitrede</t>
  </si>
  <si>
    <t>Y_uitrede</t>
  </si>
  <si>
    <t>Uitredelocatie</t>
  </si>
  <si>
    <t>Mvalue</t>
  </si>
  <si>
    <t>L_intrede</t>
  </si>
  <si>
    <t>L_but</t>
  </si>
  <si>
    <t>L_bit</t>
  </si>
  <si>
    <t>L_achterland</t>
  </si>
  <si>
    <t>HydraLocatieID</t>
  </si>
  <si>
    <t>buitenwaterstand</t>
  </si>
  <si>
    <t>mv_exit</t>
  </si>
  <si>
    <t>polderpeil</t>
  </si>
  <si>
    <t>modelfactor_u_mean</t>
  </si>
  <si>
    <t>modelfactor_u_stdev</t>
  </si>
  <si>
    <t>modelfactor_h_mean</t>
  </si>
  <si>
    <t>modelfactor_h_stdev</t>
  </si>
  <si>
    <t>modelfactor_p_mean</t>
  </si>
  <si>
    <t>modelfactor_p_stdev</t>
  </si>
  <si>
    <t>OndergrondscenarioID</t>
  </si>
  <si>
    <t>ScenarioID</t>
  </si>
  <si>
    <t>Scenarionaam</t>
  </si>
  <si>
    <t>Scenariokans</t>
  </si>
  <si>
    <t>top_zand_mean</t>
  </si>
  <si>
    <t>top_zand_stdev</t>
  </si>
  <si>
    <t>gamma_sat_deklaag_mean</t>
  </si>
  <si>
    <t>gamma_sat_deklaag_stdev</t>
  </si>
  <si>
    <t>D_wvp_mean</t>
  </si>
  <si>
    <t>D_wvp_stdev</t>
  </si>
  <si>
    <t>kD_wvp_mean</t>
  </si>
  <si>
    <t>kD_wvp_vc</t>
  </si>
  <si>
    <t>k_wvp_mean</t>
  </si>
  <si>
    <t>d70_mean</t>
  </si>
  <si>
    <t>d70_vc</t>
  </si>
  <si>
    <t>c_voorland_mean</t>
  </si>
  <si>
    <t>c_voorland_vc</t>
  </si>
  <si>
    <t>c_achterland_vc</t>
  </si>
  <si>
    <t>ParameterName</t>
  </si>
  <si>
    <t>ParameterUnit</t>
  </si>
  <si>
    <t>k_v_boven_gws</t>
  </si>
  <si>
    <t>k_v_onder_gws</t>
  </si>
  <si>
    <t>gws_m_mv</t>
  </si>
  <si>
    <t>i_c_h</t>
  </si>
  <si>
    <t>r_c_deklaag</t>
  </si>
  <si>
    <t>eta</t>
  </si>
  <si>
    <t>theta</t>
  </si>
  <si>
    <t>d70_m</t>
  </si>
  <si>
    <t>g</t>
  </si>
  <si>
    <t>v</t>
  </si>
  <si>
    <t>gamma_korrel</t>
  </si>
  <si>
    <t>[-]</t>
  </si>
  <si>
    <t>[graden]</t>
  </si>
  <si>
    <t>m</t>
  </si>
  <si>
    <t>m/s^2</t>
  </si>
  <si>
    <t>m²/s</t>
  </si>
  <si>
    <t>kN/m^3</t>
  </si>
  <si>
    <t>m/d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</si>
  <si>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</si>
  <si>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</si>
  <si>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</si>
  <si>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</si>
  <si>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</si>
  <si>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</si>
  <si>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</si>
  <si>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</si>
  <si>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</si>
  <si>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&gt;10 m binnenteen</t>
  </si>
  <si>
    <t>&lt;10 m binnenteen</t>
  </si>
  <si>
    <t>Watergang</t>
  </si>
  <si>
    <t>MA_1_41_4_dk_00004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</si>
  <si>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</si>
  <si>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</si>
  <si>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</si>
  <si>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</si>
  <si>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</si>
  <si>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</si>
  <si>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</si>
  <si>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</si>
  <si>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</si>
  <si>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</si>
  <si>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</si>
  <si>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</si>
  <si>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</si>
  <si>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</si>
  <si>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PL</t>
  </si>
  <si>
    <t>HL</t>
  </si>
  <si>
    <t>TZ</t>
  </si>
  <si>
    <t>ParameterValue_stdev</t>
  </si>
  <si>
    <t>ParameterValue_mean</t>
  </si>
  <si>
    <t>ParameterDistribution</t>
  </si>
  <si>
    <t>lognormal</t>
  </si>
  <si>
    <t>deterministic</t>
  </si>
  <si>
    <t>ParameterDescription</t>
  </si>
  <si>
    <t>gamma_water</t>
  </si>
  <si>
    <t>Volumegewicht van water</t>
  </si>
  <si>
    <t>Kritieke heave gradiënt</t>
  </si>
  <si>
    <t>Reductieconstante van het verval over de deklaag</t>
  </si>
  <si>
    <t>White's weerstandscoefficient (sleepkrachtfactor, constante van White) – Sellmeijer [-]</t>
  </si>
  <si>
    <t>Rolweerstandshoek – Sellmeijer</t>
  </si>
  <si>
    <t>Referentiewaarde voor de 70% percentiel van de korrelverdeling – Sellmeijer</t>
  </si>
  <si>
    <t>Zwaartekrachtversnelling – 9,81 m/s²</t>
  </si>
  <si>
    <t>Kinematische viscositeit – Sellmeijer</t>
  </si>
  <si>
    <t>Volumieke dichtheid zand onder water – Sellmeijer</t>
  </si>
  <si>
    <t>Verticale doorlatendheid deklaag boven grondwaterstand</t>
  </si>
  <si>
    <t>Verticale doorlatendheid deklaag onder grondwaterstand</t>
  </si>
  <si>
    <t>Grondwaterstand meters min maaiveld (scheiding verticale doorlatendheid)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</si>
</sst>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</cellXfs>
  <cellStyles count="1">
    <cellStyle name="Standaard" xfId="0" builtinId="0"/>
  </cellStyles>
  <dxfs count="11">
    <dxf>
      <numFmt numFmtId="15" formatCode="0.00E+0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1F15A6-CF32-4D3B-B676-34E6571E0971}" name="Vakken" displayName="Vakken" ref="A1:J10" totalsRowShown="0" headerRowDxfId="10" headerRowBorderDxfId="9" tableBorderDxfId="8">
  <autoFilter ref="A1:J10" xr:uid="{041F15A6-CF32-4D3B-B676-34E6571E0971}"/>
  <tableColumns count="10">
    <tableColumn id="1" xr3:uid="{74D2F176-4646-4AE0-B6F4-08D4E6C28D16}" name="VakID"/>
    <tableColumn id="2" xr3:uid="{F54AFBAF-5EDA-4863-AF7E-A676107D24D5}" name="Vaknaam"/>
    <tableColumn id="3" xr3:uid="{B44CF377-6FB5-479F-9D55-8FD2E0123C07}" name="M_van"/>
    <tableColumn id="4" xr3:uid="{1B7DA174-0D66-4720-951C-F54FB492F480}" name="M_tot"/>
    <tableColumn id="5" xr3:uid="{B66DCE7E-B7C6-4273-837C-2AB269C7236A}" name="Vaklengte"/>
    <tableColumn id="6" xr3:uid="{96E78E87-D322-442B-9D41-E517E6BEC11A}" name="mv_achterland_vak"/>
    <tableColumn id="7" xr3:uid="{DFBD0DF6-5D89-4554-A631-01986D260E17}" name="L_achterland"/>
    <tableColumn id="8" xr3:uid="{091DE2E0-3340-4F2B-AE41-182762E42CBE}" name="c_voorland_mean"/>
    <tableColumn id="9" xr3:uid="{4CAD5CDF-026E-4793-A84A-23987A118D79}" name="c_voorland_vc"/>
    <tableColumn id="11" xr3:uid="{F16F0668-78F4-4789-ACE2-ED914C3349F3}" name="c_achterland_v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207402-924B-4CC0-BFE8-2742B189FE45}" name="Uittredepunten" displayName="Uittredepunten" ref="A1:T103" totalsRowShown="0" headerRowDxfId="7" headerRowBorderDxfId="6" tableBorderDxfId="5">
  <autoFilter ref="A1:T103" xr:uid="{E9207402-924B-4CC0-BFE8-2742B189FE45}"/>
  <tableColumns count="20">
    <tableColumn id="1" xr3:uid="{9BC33A70-EA76-4303-87DF-06358F941718}" name="UittredepuntID"/>
    <tableColumn id="2" xr3:uid="{EF954B9C-797A-41D6-A551-57494582FE22}" name="X_uitrede"/>
    <tableColumn id="3" xr3:uid="{7A14E31A-F2F5-468B-A67D-8F04F2E5753D}" name="Y_uitrede"/>
    <tableColumn id="4" xr3:uid="{210C8732-015C-419F-9989-23D49DBF381E}" name="Uitredelocatie"/>
    <tableColumn id="5" xr3:uid="{234280CC-5727-41FE-BC7F-A5FE61104EC4}" name="Mvalue"/>
    <tableColumn id="6" xr3:uid="{8569C3AE-A362-4770-9F36-CC74BE07D7D3}" name="VakID"/>
    <tableColumn id="7" xr3:uid="{538757AF-3F90-4306-A597-9A108D23098B}" name="Vaknaam"/>
    <tableColumn id="8" xr3:uid="{F3305B3B-D3FB-4B5A-8D1F-FEC8F2F82A7B}" name="L_intrede"/>
    <tableColumn id="9" xr3:uid="{A8CC7646-1913-4035-9F09-CB93E1322B74}" name="L_but"/>
    <tableColumn id="10" xr3:uid="{4BE2A0C5-6D41-48EF-8732-9014C57CD424}" name="L_bit"/>
    <tableColumn id="12" xr3:uid="{D3AC9A2E-35CB-4FB2-8A04-D88EB18C84F1}" name="HydraLocatieID"/>
    <tableColumn id="13" xr3:uid="{36D55420-1D94-4D31-99CE-C34B1B687F15}" name="buitenwaterstand"/>
    <tableColumn id="14" xr3:uid="{52FA8E07-F661-43FD-9030-A81CE5A60986}" name="mv_exit"/>
    <tableColumn id="15" xr3:uid="{DA1810C5-F940-4236-A2C1-5EB36C5593C0}" name="polderpeil"/>
    <tableColumn id="16" xr3:uid="{D5867180-2322-46CB-89A6-2204ED984048}" name="modelfactor_u_mean"/>
    <tableColumn id="17" xr3:uid="{1970391E-13C5-4C7E-A4FC-18C206CCD564}" name="modelfactor_u_stdev"/>
    <tableColumn id="18" xr3:uid="{6774F6F2-03EE-41F0-AE38-949BEBD70910}" name="modelfactor_h_mean"/>
    <tableColumn id="19" xr3:uid="{9B7E93F1-CE3B-4802-87C5-CFA366EC7BCA}" name="modelfactor_h_stdev"/>
    <tableColumn id="20" xr3:uid="{5A008DF6-0B93-4FAD-88D5-537BED81DFEA}" name="modelfactor_p_mean"/>
    <tableColumn id="21" xr3:uid="{AF5DB363-B93D-475B-B65C-DD48B0A0B252}" name="modelfactor_p_stdev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93CD63-E076-4278-844B-A7A048F56AE6}" name="Ondergrondscenarios" displayName="Ondergrondscenarios" ref="A1:P55" totalsRowShown="0" headerRowDxfId="4" headerRowBorderDxfId="3" tableBorderDxfId="2">
  <autoFilter ref="A1:P55" xr:uid="{3993CD63-E076-4278-844B-A7A048F56AE6}"/>
  <tableColumns count="16">
    <tableColumn id="1" xr3:uid="{0E1CDA33-5849-4195-ADD5-BF53936D0AD2}" name="OndergrondscenarioID"/>
    <tableColumn id="2" xr3:uid="{C62D87B3-BE55-47ED-8B08-918F2C693A57}" name="VakID"/>
    <tableColumn id="3" xr3:uid="{CF5E6ED5-7229-4BF8-8B12-C7ED3A05CE69}" name="ScenarioID"/>
    <tableColumn id="4" xr3:uid="{4D55763E-E0FD-4DD1-B462-88D45FBD1E4D}" name="Scenarionaam"/>
    <tableColumn id="5" xr3:uid="{893AB4AF-CA0D-4553-A6CE-FABD7EC73058}" name="Scenariokans"/>
    <tableColumn id="6" xr3:uid="{5B30F0F2-AA2E-409A-9369-747909B7EAB2}" name="top_zand_mean"/>
    <tableColumn id="7" xr3:uid="{69B48341-5381-42DA-A960-A3EED923FADF}" name="top_zand_stdev"/>
    <tableColumn id="8" xr3:uid="{DA7C15F7-EC0B-46B6-BF8F-C783F567CB1F}" name="gamma_sat_deklaag_mean"/>
    <tableColumn id="9" xr3:uid="{93043400-628C-4DA8-9EAB-BA3DA6E4F4D4}" name="gamma_sat_deklaag_stdev"/>
    <tableColumn id="10" xr3:uid="{B9D2EA1E-F937-4876-977D-40716930C0C2}" name="D_wvp_mean"/>
    <tableColumn id="11" xr3:uid="{32D94662-C9B5-470A-AE19-526B5CB11944}" name="D_wvp_stdev"/>
    <tableColumn id="12" xr3:uid="{CA1DB802-3F57-444E-9E86-5DE23A2F08E7}" name="kD_wvp_mean" dataDxfId="1">
      <calculatedColumnFormula>Ondergrondscenarios[[#This Row],[k_wvp_mean]]*Ondergrondscenarios[[#This Row],[D_wvp_mean]]</calculatedColumnFormula>
    </tableColumn>
    <tableColumn id="13" xr3:uid="{96DC8897-3B99-4050-B09D-31BE31912AFC}" name="kD_wvp_vc"/>
    <tableColumn id="14" xr3:uid="{D1C4DEF0-63DE-48EE-BF16-8EAC8893AA9D}" name="k_wvp_mean"/>
    <tableColumn id="16" xr3:uid="{3200C923-18C2-4F20-AF9D-02F91F3ED373}" name="d70_mean" dataDxfId="0"/>
    <tableColumn id="17" xr3:uid="{04B0F354-1B81-40B2-B094-7658CAA2310D}" name="d70_vc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996B0E-7EC7-4568-BAAF-67E8365F20CB}" name="Constanten" displayName="Constanten" ref="A1:F13" totalsRowShown="0">
  <autoFilter ref="A1:F13" xr:uid="{96996B0E-7EC7-4568-BAAF-67E8365F20CB}"/>
  <tableColumns count="6">
    <tableColumn id="1" xr3:uid="{0A9D0044-34B3-41DA-A675-72D9C8EADF4E}" name="ParameterName"/>
    <tableColumn id="8" xr3:uid="{D4591D0F-7FC0-45B7-B664-237E9F8BD7A1}" name="ParameterDescription"/>
    <tableColumn id="6" xr3:uid="{463A1968-26CB-4A8E-94E2-1AA647AC3229}" name="ParameterUnit"/>
    <tableColumn id="7" xr3:uid="{C7A9C601-DAB9-4DB3-9B4A-7184ECF6970B}" name="ParameterDistribution"/>
    <tableColumn id="2" xr3:uid="{99F7B73A-E5A3-4773-9AC9-98EB6E161541}" name="ParameterValue_mean"/>
    <tableColumn id="5" xr3:uid="{8FA2536D-82CD-435A-B49E-4BC9686549B9}" name="ParameterValue_stdev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workbookViewId="0">
      <selection activeCell="A11" sqref="A11:XFD90"/>
    </sheetView>
  </sheetViews>
  <sheetFormatPr defaultRowHeight="15"/>
  <cols>
    <col min="1" max="1" width="10.7109375" bestFit="1" customWidth="1"/>
    <col min="2" max="2" width="46.5703125" bestFit="1" customWidth="1"/>
    <col min="3" max="3" width="11.5703125" bestFit="1" customWidth="1"/>
    <col min="4" max="4" width="12" bestFit="1" customWidth="1"/>
    <col min="5" max="5" width="14.5703125" bestFit="1" customWidth="1"/>
    <col min="6" max="6" width="23" bestFit="1" customWidth="1"/>
    <col min="7" max="7" width="16.85546875" bestFit="1" customWidth="1"/>
    <col min="8" max="8" width="21.42578125" bestFit="1" customWidth="1"/>
    <col min="9" max="9" width="18.28515625" bestFit="1" customWidth="1"/>
    <col min="10" max="10" width="19.8554687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40</v>
      </c>
      <c r="I1" s="1" t="s">
        <v>41</v>
      </c>
      <c r="J1" s="1" t="s">
        <v>42</v>
      </c>
    </row>
    <row r="2" spans="1:10">
      <c r="A2">
        <v>1</v>
      </c>
      <c r="B2" t="s">
        <v>63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0.25</v>
      </c>
    </row>
    <row r="3" spans="1:10">
      <c r="A3">
        <v>2</v>
      </c>
      <c r="B3" t="s">
        <v>64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0.25</v>
      </c>
    </row>
    <row r="4" spans="1:10">
      <c r="A4">
        <v>3</v>
      </c>
      <c r="B4" t="s">
        <v>65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0.25</v>
      </c>
    </row>
    <row r="5" spans="1:10">
      <c r="A5">
        <v>4</v>
      </c>
      <c r="B5" t="s">
        <v>66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0.25</v>
      </c>
    </row>
    <row r="6" spans="1:10">
      <c r="A6">
        <v>5</v>
      </c>
      <c r="B6" t="s">
        <v>67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0.25</v>
      </c>
    </row>
    <row r="7" spans="1:10">
      <c r="A7">
        <v>6</v>
      </c>
      <c r="B7" t="s">
        <v>68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0.25</v>
      </c>
    </row>
    <row r="8" spans="1:10">
      <c r="A8">
        <v>7</v>
      </c>
      <c r="B8" t="s">
        <v>69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0.25</v>
      </c>
    </row>
    <row r="9" spans="1:10">
      <c r="A9">
        <v>8</v>
      </c>
      <c r="B9" t="s">
        <v>70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0.25</v>
      </c>
    </row>
    <row r="10" spans="1:10">
      <c r="A10">
        <v>9</v>
      </c>
      <c r="B10" t="s">
        <v>71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0.25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3"/>
  <sheetViews>
    <sheetView workbookViewId="0">
      <selection activeCell="F100" sqref="F100"/>
    </sheetView>
  </sheetViews>
  <sheetFormatPr defaultRowHeight="15"/>
  <cols>
    <col min="1" max="1" width="19.28515625" bestFit="1" customWidth="1"/>
    <col min="2" max="3" width="14.28515625" bestFit="1" customWidth="1"/>
    <col min="4" max="4" width="18.5703125" bestFit="1" customWidth="1"/>
    <col min="5" max="5" width="12.28515625" bestFit="1" customWidth="1"/>
    <col min="6" max="6" width="10.7109375" bestFit="1" customWidth="1"/>
    <col min="7" max="7" width="46.5703125" bestFit="1" customWidth="1"/>
    <col min="8" max="8" width="14" bestFit="1" customWidth="1"/>
    <col min="9" max="9" width="10.42578125" bestFit="1" customWidth="1"/>
    <col min="10" max="10" width="9.85546875" bestFit="1" customWidth="1"/>
    <col min="11" max="11" width="20.42578125" bestFit="1" customWidth="1"/>
    <col min="12" max="12" width="21.5703125" bestFit="1" customWidth="1"/>
    <col min="13" max="13" width="12.7109375" bestFit="1" customWidth="1"/>
    <col min="14" max="14" width="14.85546875" bestFit="1" customWidth="1"/>
    <col min="15" max="15" width="24.85546875" bestFit="1" customWidth="1"/>
    <col min="16" max="16" width="24.7109375" bestFit="1" customWidth="1"/>
    <col min="17" max="17" width="24.85546875" bestFit="1" customWidth="1"/>
    <col min="18" max="18" width="24.7109375" bestFit="1" customWidth="1"/>
    <col min="19" max="19" width="24.85546875" bestFit="1" customWidth="1"/>
    <col min="20" max="20" width="24.7109375" bestFit="1" customWidth="1"/>
  </cols>
  <sheetData>
    <row r="1" spans="1:20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0</v>
      </c>
      <c r="G1" s="1" t="s">
        <v>1</v>
      </c>
      <c r="H1" s="1" t="s">
        <v>11</v>
      </c>
      <c r="I1" s="1" t="s">
        <v>12</v>
      </c>
      <c r="J1" s="1" t="s">
        <v>13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</row>
    <row r="2" spans="1:20">
      <c r="A2">
        <v>1</v>
      </c>
      <c r="B2">
        <v>188535.09099999999</v>
      </c>
      <c r="C2">
        <v>418878.19900000002</v>
      </c>
      <c r="D2" t="s">
        <v>72</v>
      </c>
      <c r="E2">
        <v>8.4789999999999992</v>
      </c>
      <c r="F2">
        <v>1</v>
      </c>
      <c r="G2" t="s">
        <v>63</v>
      </c>
      <c r="H2">
        <v>220.119</v>
      </c>
      <c r="I2">
        <v>110.515</v>
      </c>
      <c r="J2">
        <v>90.481999999999999</v>
      </c>
      <c r="K2" t="s">
        <v>75</v>
      </c>
      <c r="L2">
        <v>13.295</v>
      </c>
      <c r="M2">
        <v>10.2043</v>
      </c>
      <c r="N2">
        <v>7.75</v>
      </c>
      <c r="O2">
        <v>1</v>
      </c>
      <c r="P2">
        <v>0.1</v>
      </c>
      <c r="Q2">
        <v>1</v>
      </c>
      <c r="R2">
        <v>0.1</v>
      </c>
      <c r="S2">
        <v>1</v>
      </c>
      <c r="T2">
        <v>0.12</v>
      </c>
    </row>
    <row r="3" spans="1:20">
      <c r="A3">
        <v>2</v>
      </c>
      <c r="B3">
        <v>188488.46799999999</v>
      </c>
      <c r="C3">
        <v>418854.745</v>
      </c>
      <c r="D3" t="s">
        <v>72</v>
      </c>
      <c r="E3">
        <v>49.552</v>
      </c>
      <c r="F3">
        <v>3</v>
      </c>
      <c r="G3" t="s">
        <v>65</v>
      </c>
      <c r="H3">
        <v>172.89500000000001</v>
      </c>
      <c r="I3">
        <v>62.963000000000001</v>
      </c>
      <c r="J3">
        <v>47.110999999999997</v>
      </c>
      <c r="K3" t="s">
        <v>75</v>
      </c>
      <c r="L3">
        <v>13.295</v>
      </c>
      <c r="M3">
        <v>11.3071</v>
      </c>
      <c r="N3">
        <v>7.75</v>
      </c>
      <c r="O3">
        <v>1</v>
      </c>
      <c r="P3">
        <v>0.1</v>
      </c>
      <c r="Q3">
        <v>1</v>
      </c>
      <c r="R3">
        <v>0.1</v>
      </c>
      <c r="S3">
        <v>1</v>
      </c>
      <c r="T3">
        <v>0.12</v>
      </c>
    </row>
    <row r="4" spans="1:20">
      <c r="A4">
        <v>3</v>
      </c>
      <c r="B4">
        <v>188448.99600000001</v>
      </c>
      <c r="C4">
        <v>418827.85800000001</v>
      </c>
      <c r="D4" t="s">
        <v>73</v>
      </c>
      <c r="E4">
        <v>147.995</v>
      </c>
      <c r="F4">
        <v>4</v>
      </c>
      <c r="G4" t="s">
        <v>66</v>
      </c>
      <c r="H4">
        <v>127.381</v>
      </c>
      <c r="I4">
        <v>18.085999999999999</v>
      </c>
      <c r="J4">
        <v>3.133</v>
      </c>
      <c r="K4" t="s">
        <v>75</v>
      </c>
      <c r="L4">
        <v>13.295</v>
      </c>
      <c r="M4">
        <v>14.162699999999999</v>
      </c>
      <c r="N4">
        <v>7.75</v>
      </c>
      <c r="O4">
        <v>1</v>
      </c>
      <c r="P4">
        <v>0.1</v>
      </c>
      <c r="Q4">
        <v>1</v>
      </c>
      <c r="R4">
        <v>0.1</v>
      </c>
      <c r="S4">
        <v>1</v>
      </c>
      <c r="T4">
        <v>0.12</v>
      </c>
    </row>
    <row r="5" spans="1:20">
      <c r="A5">
        <v>4</v>
      </c>
      <c r="B5">
        <v>188412.38399999999</v>
      </c>
      <c r="C5">
        <v>418852.74300000002</v>
      </c>
      <c r="D5" t="s">
        <v>73</v>
      </c>
      <c r="E5">
        <v>192.261</v>
      </c>
      <c r="F5">
        <v>4</v>
      </c>
      <c r="G5" t="s">
        <v>66</v>
      </c>
      <c r="H5">
        <v>124.376</v>
      </c>
      <c r="I5">
        <v>16.905000000000001</v>
      </c>
      <c r="J5">
        <v>3.5219999999999998</v>
      </c>
      <c r="K5" t="s">
        <v>76</v>
      </c>
      <c r="L5">
        <v>13.295</v>
      </c>
      <c r="M5">
        <v>14.102399999999999</v>
      </c>
      <c r="N5">
        <v>7.75</v>
      </c>
      <c r="O5">
        <v>1</v>
      </c>
      <c r="P5">
        <v>0.1</v>
      </c>
      <c r="Q5">
        <v>1</v>
      </c>
      <c r="R5">
        <v>0.1</v>
      </c>
      <c r="S5">
        <v>1</v>
      </c>
      <c r="T5">
        <v>0.12</v>
      </c>
    </row>
    <row r="6" spans="1:20">
      <c r="A6">
        <v>5</v>
      </c>
      <c r="B6">
        <v>188460.43700000001</v>
      </c>
      <c r="C6">
        <v>418871.62099999998</v>
      </c>
      <c r="D6" t="s">
        <v>72</v>
      </c>
      <c r="E6">
        <v>163.553</v>
      </c>
      <c r="F6">
        <v>4</v>
      </c>
      <c r="G6" t="s">
        <v>66</v>
      </c>
      <c r="H6">
        <v>168.881</v>
      </c>
      <c r="I6">
        <v>60.292000000000002</v>
      </c>
      <c r="J6">
        <v>46.121000000000002</v>
      </c>
      <c r="K6" t="s">
        <v>75</v>
      </c>
      <c r="L6">
        <v>13.295</v>
      </c>
      <c r="M6">
        <v>12.430300000000001</v>
      </c>
      <c r="N6">
        <v>7.75</v>
      </c>
      <c r="O6">
        <v>1</v>
      </c>
      <c r="P6">
        <v>0.1</v>
      </c>
      <c r="Q6">
        <v>1</v>
      </c>
      <c r="R6">
        <v>0.1</v>
      </c>
      <c r="S6">
        <v>1</v>
      </c>
      <c r="T6">
        <v>0.12</v>
      </c>
    </row>
    <row r="7" spans="1:20">
      <c r="A7">
        <v>6</v>
      </c>
      <c r="B7">
        <v>188355.46400000001</v>
      </c>
      <c r="C7">
        <v>418892.50099999999</v>
      </c>
      <c r="D7" t="s">
        <v>73</v>
      </c>
      <c r="E7">
        <v>261.37900000000002</v>
      </c>
      <c r="F7">
        <v>5</v>
      </c>
      <c r="G7" t="s">
        <v>67</v>
      </c>
      <c r="H7">
        <v>120.447</v>
      </c>
      <c r="I7">
        <v>19.428000000000001</v>
      </c>
      <c r="J7">
        <v>4.4450000000000003</v>
      </c>
      <c r="K7" t="s">
        <v>76</v>
      </c>
      <c r="L7">
        <v>13.295</v>
      </c>
      <c r="M7">
        <v>13.128</v>
      </c>
      <c r="N7">
        <v>7.75</v>
      </c>
      <c r="O7">
        <v>1</v>
      </c>
      <c r="P7">
        <v>0.1</v>
      </c>
      <c r="Q7">
        <v>1</v>
      </c>
      <c r="R7">
        <v>0.1</v>
      </c>
      <c r="S7">
        <v>1</v>
      </c>
      <c r="T7">
        <v>0.12</v>
      </c>
    </row>
    <row r="8" spans="1:20">
      <c r="A8">
        <v>7</v>
      </c>
      <c r="B8">
        <v>188366.61900000001</v>
      </c>
      <c r="C8">
        <v>418922.82</v>
      </c>
      <c r="D8" t="s">
        <v>72</v>
      </c>
      <c r="E8">
        <v>267.91199999999998</v>
      </c>
      <c r="F8">
        <v>5</v>
      </c>
      <c r="G8" t="s">
        <v>67</v>
      </c>
      <c r="H8">
        <v>151.054</v>
      </c>
      <c r="I8">
        <v>50.954000000000001</v>
      </c>
      <c r="J8">
        <v>35.957999999999998</v>
      </c>
      <c r="K8" t="s">
        <v>76</v>
      </c>
      <c r="L8">
        <v>13.295</v>
      </c>
      <c r="M8">
        <v>12.598000000000001</v>
      </c>
      <c r="N8">
        <v>7.75</v>
      </c>
      <c r="O8">
        <v>1</v>
      </c>
      <c r="P8">
        <v>0.1</v>
      </c>
      <c r="Q8">
        <v>1</v>
      </c>
      <c r="R8">
        <v>0.1</v>
      </c>
      <c r="S8">
        <v>1</v>
      </c>
      <c r="T8">
        <v>0.12</v>
      </c>
    </row>
    <row r="9" spans="1:20">
      <c r="A9">
        <v>8</v>
      </c>
      <c r="B9">
        <v>188341.16200000001</v>
      </c>
      <c r="C9">
        <v>418899.93800000002</v>
      </c>
      <c r="D9" t="s">
        <v>73</v>
      </c>
      <c r="E9">
        <v>277.45100000000002</v>
      </c>
      <c r="F9">
        <v>5</v>
      </c>
      <c r="G9" t="s">
        <v>67</v>
      </c>
      <c r="H9">
        <v>117.26300000000001</v>
      </c>
      <c r="I9">
        <v>18.332999999999998</v>
      </c>
      <c r="J9">
        <v>2.915</v>
      </c>
      <c r="K9" t="s">
        <v>76</v>
      </c>
      <c r="L9">
        <v>13.295</v>
      </c>
      <c r="M9">
        <v>12.921900000000001</v>
      </c>
      <c r="N9">
        <v>7.75</v>
      </c>
      <c r="O9">
        <v>1</v>
      </c>
      <c r="P9">
        <v>0.1</v>
      </c>
      <c r="Q9">
        <v>1</v>
      </c>
      <c r="R9">
        <v>0.1</v>
      </c>
      <c r="S9">
        <v>1</v>
      </c>
      <c r="T9">
        <v>0.12</v>
      </c>
    </row>
    <row r="10" spans="1:20">
      <c r="A10">
        <v>9</v>
      </c>
      <c r="B10">
        <v>188313.13099999999</v>
      </c>
      <c r="C10">
        <v>418917.386</v>
      </c>
      <c r="D10" t="s">
        <v>73</v>
      </c>
      <c r="E10">
        <v>310.37799999999999</v>
      </c>
      <c r="F10">
        <v>5</v>
      </c>
      <c r="G10" t="s">
        <v>67</v>
      </c>
      <c r="H10">
        <v>113.259</v>
      </c>
      <c r="I10">
        <v>19.45</v>
      </c>
      <c r="J10">
        <v>3.0369999999999999</v>
      </c>
      <c r="K10" t="s">
        <v>77</v>
      </c>
      <c r="L10">
        <v>13.287000000000001</v>
      </c>
      <c r="M10">
        <v>12.8507</v>
      </c>
      <c r="N10">
        <v>7.75</v>
      </c>
      <c r="O10">
        <v>1</v>
      </c>
      <c r="P10">
        <v>0.1</v>
      </c>
      <c r="Q10">
        <v>1</v>
      </c>
      <c r="R10">
        <v>0.1</v>
      </c>
      <c r="S10">
        <v>1</v>
      </c>
      <c r="T10">
        <v>0.12</v>
      </c>
    </row>
    <row r="11" spans="1:20">
      <c r="A11">
        <v>10</v>
      </c>
      <c r="B11">
        <v>188258.785</v>
      </c>
      <c r="C11">
        <v>418947.99099999998</v>
      </c>
      <c r="D11" t="s">
        <v>73</v>
      </c>
      <c r="E11">
        <v>372.47800000000001</v>
      </c>
      <c r="F11">
        <v>5</v>
      </c>
      <c r="G11" t="s">
        <v>67</v>
      </c>
      <c r="H11">
        <v>102.98699999999999</v>
      </c>
      <c r="I11">
        <v>18.824999999999999</v>
      </c>
      <c r="J11">
        <v>2.4630000000000001</v>
      </c>
      <c r="K11" t="s">
        <v>78</v>
      </c>
      <c r="L11">
        <v>13.292999999999999</v>
      </c>
      <c r="M11">
        <v>12.9312</v>
      </c>
      <c r="N11">
        <v>7.75</v>
      </c>
      <c r="O11">
        <v>1</v>
      </c>
      <c r="P11">
        <v>0.1</v>
      </c>
      <c r="Q11">
        <v>1</v>
      </c>
      <c r="R11">
        <v>0.1</v>
      </c>
      <c r="S11">
        <v>1</v>
      </c>
      <c r="T11">
        <v>0.12</v>
      </c>
    </row>
    <row r="12" spans="1:20">
      <c r="A12">
        <v>11</v>
      </c>
      <c r="B12">
        <v>188206.155</v>
      </c>
      <c r="C12">
        <v>418975.16399999999</v>
      </c>
      <c r="D12" t="s">
        <v>73</v>
      </c>
      <c r="E12">
        <v>431.47</v>
      </c>
      <c r="F12">
        <v>5</v>
      </c>
      <c r="G12" t="s">
        <v>67</v>
      </c>
      <c r="H12">
        <v>91.12</v>
      </c>
      <c r="I12">
        <v>18.282</v>
      </c>
      <c r="J12">
        <v>3.2130000000000001</v>
      </c>
      <c r="K12" t="s">
        <v>78</v>
      </c>
      <c r="L12">
        <v>13.292999999999999</v>
      </c>
      <c r="M12">
        <v>13.003399999999999</v>
      </c>
      <c r="N12">
        <v>7.75</v>
      </c>
      <c r="O12">
        <v>1</v>
      </c>
      <c r="P12">
        <v>0.1</v>
      </c>
      <c r="Q12">
        <v>1</v>
      </c>
      <c r="R12">
        <v>0.1</v>
      </c>
      <c r="S12">
        <v>1</v>
      </c>
      <c r="T12">
        <v>0.12</v>
      </c>
    </row>
    <row r="13" spans="1:20">
      <c r="A13">
        <v>12</v>
      </c>
      <c r="B13">
        <v>188203.97399999999</v>
      </c>
      <c r="C13">
        <v>419023.45</v>
      </c>
      <c r="D13" t="s">
        <v>72</v>
      </c>
      <c r="E13">
        <v>453.46699999999998</v>
      </c>
      <c r="F13">
        <v>5</v>
      </c>
      <c r="G13" t="s">
        <v>67</v>
      </c>
      <c r="H13">
        <v>127.34699999999999</v>
      </c>
      <c r="I13">
        <v>61.148000000000003</v>
      </c>
      <c r="J13">
        <v>45.564</v>
      </c>
      <c r="K13" t="s">
        <v>78</v>
      </c>
      <c r="L13">
        <v>13.292999999999999</v>
      </c>
      <c r="M13">
        <v>10.3439</v>
      </c>
      <c r="N13">
        <v>7.75</v>
      </c>
      <c r="O13">
        <v>1</v>
      </c>
      <c r="P13">
        <v>0.1</v>
      </c>
      <c r="Q13">
        <v>1</v>
      </c>
      <c r="R13">
        <v>0.1</v>
      </c>
      <c r="S13">
        <v>1</v>
      </c>
      <c r="T13">
        <v>0.12</v>
      </c>
    </row>
    <row r="14" spans="1:20">
      <c r="A14">
        <v>13</v>
      </c>
      <c r="B14">
        <v>188152.57800000001</v>
      </c>
      <c r="C14">
        <v>418998.86900000001</v>
      </c>
      <c r="D14" t="s">
        <v>73</v>
      </c>
      <c r="E14">
        <v>489.88200000000001</v>
      </c>
      <c r="F14">
        <v>5</v>
      </c>
      <c r="G14" t="s">
        <v>67</v>
      </c>
      <c r="H14">
        <v>75.956999999999994</v>
      </c>
      <c r="I14">
        <v>17.192</v>
      </c>
      <c r="J14">
        <v>1.6319999999999999</v>
      </c>
      <c r="K14" t="s">
        <v>79</v>
      </c>
      <c r="L14">
        <v>13.292999999999999</v>
      </c>
      <c r="M14">
        <v>12.850300000000001</v>
      </c>
      <c r="N14">
        <v>7.75</v>
      </c>
      <c r="O14">
        <v>1</v>
      </c>
      <c r="P14">
        <v>0.1</v>
      </c>
      <c r="Q14">
        <v>1</v>
      </c>
      <c r="R14">
        <v>0.1</v>
      </c>
      <c r="S14">
        <v>1</v>
      </c>
      <c r="T14">
        <v>0.12</v>
      </c>
    </row>
    <row r="15" spans="1:20">
      <c r="A15">
        <v>14</v>
      </c>
      <c r="B15">
        <v>188093.584</v>
      </c>
      <c r="C15">
        <v>419025.68400000001</v>
      </c>
      <c r="D15" t="s">
        <v>73</v>
      </c>
      <c r="E15">
        <v>554.654</v>
      </c>
      <c r="F15">
        <v>5</v>
      </c>
      <c r="G15" t="s">
        <v>67</v>
      </c>
      <c r="H15">
        <v>61.780999999999999</v>
      </c>
      <c r="I15">
        <v>19.518999999999998</v>
      </c>
      <c r="J15">
        <v>2.2530000000000001</v>
      </c>
      <c r="K15" t="s">
        <v>79</v>
      </c>
      <c r="L15">
        <v>13.292999999999999</v>
      </c>
      <c r="M15">
        <v>12.824999999999999</v>
      </c>
      <c r="N15">
        <v>7.75</v>
      </c>
      <c r="O15">
        <v>1</v>
      </c>
      <c r="P15">
        <v>0.1</v>
      </c>
      <c r="Q15">
        <v>1</v>
      </c>
      <c r="R15">
        <v>0.1</v>
      </c>
      <c r="S15">
        <v>1</v>
      </c>
      <c r="T15">
        <v>0.12</v>
      </c>
    </row>
    <row r="16" spans="1:20">
      <c r="A16">
        <v>15</v>
      </c>
      <c r="B16">
        <v>188092.655</v>
      </c>
      <c r="C16">
        <v>419053.89199999999</v>
      </c>
      <c r="D16" t="s">
        <v>72</v>
      </c>
      <c r="E16">
        <v>566.74599999999998</v>
      </c>
      <c r="F16">
        <v>5</v>
      </c>
      <c r="G16" t="s">
        <v>67</v>
      </c>
      <c r="H16">
        <v>84.786000000000001</v>
      </c>
      <c r="I16">
        <v>46.13</v>
      </c>
      <c r="J16">
        <v>25.902000000000001</v>
      </c>
      <c r="K16" t="s">
        <v>79</v>
      </c>
      <c r="L16">
        <v>13.292999999999999</v>
      </c>
      <c r="M16">
        <v>9.9861000000000004</v>
      </c>
      <c r="N16">
        <v>7.75</v>
      </c>
      <c r="O16">
        <v>1</v>
      </c>
      <c r="P16">
        <v>0.1</v>
      </c>
      <c r="Q16">
        <v>1</v>
      </c>
      <c r="R16">
        <v>0.1</v>
      </c>
      <c r="S16">
        <v>1</v>
      </c>
      <c r="T16">
        <v>0.12</v>
      </c>
    </row>
    <row r="17" spans="1:20">
      <c r="A17">
        <v>16</v>
      </c>
      <c r="B17">
        <v>188069.57399999999</v>
      </c>
      <c r="C17">
        <v>419047.56599999999</v>
      </c>
      <c r="D17" t="s">
        <v>73</v>
      </c>
      <c r="E17">
        <v>585.04399999999998</v>
      </c>
      <c r="F17">
        <v>6</v>
      </c>
      <c r="G17" t="s">
        <v>68</v>
      </c>
      <c r="H17">
        <v>66.768000000000001</v>
      </c>
      <c r="I17">
        <v>32.805999999999997</v>
      </c>
      <c r="J17">
        <v>6.2789999999999999</v>
      </c>
      <c r="K17" t="s">
        <v>79</v>
      </c>
      <c r="L17">
        <v>13.292999999999999</v>
      </c>
      <c r="M17">
        <v>10.509600000000001</v>
      </c>
      <c r="N17">
        <v>7.75</v>
      </c>
      <c r="O17">
        <v>1</v>
      </c>
      <c r="P17">
        <v>0.1</v>
      </c>
      <c r="Q17">
        <v>1</v>
      </c>
      <c r="R17">
        <v>0.1</v>
      </c>
      <c r="S17">
        <v>1</v>
      </c>
      <c r="T17">
        <v>0.12</v>
      </c>
    </row>
    <row r="18" spans="1:20">
      <c r="A18">
        <v>17</v>
      </c>
      <c r="B18">
        <v>188060.905</v>
      </c>
      <c r="C18">
        <v>419046.98</v>
      </c>
      <c r="D18" t="s">
        <v>73</v>
      </c>
      <c r="E18">
        <v>592.95100000000002</v>
      </c>
      <c r="F18">
        <v>6</v>
      </c>
      <c r="G18" t="s">
        <v>68</v>
      </c>
      <c r="H18">
        <v>61.493000000000002</v>
      </c>
      <c r="I18">
        <v>29.058</v>
      </c>
      <c r="J18">
        <v>3.6560000000000001</v>
      </c>
      <c r="K18" t="s">
        <v>80</v>
      </c>
      <c r="L18">
        <v>13.287000000000001</v>
      </c>
      <c r="M18">
        <v>10.592499999999999</v>
      </c>
      <c r="N18">
        <v>7.75</v>
      </c>
      <c r="O18">
        <v>1</v>
      </c>
      <c r="P18">
        <v>0.1</v>
      </c>
      <c r="Q18">
        <v>1</v>
      </c>
      <c r="R18">
        <v>0.1</v>
      </c>
      <c r="S18">
        <v>1</v>
      </c>
      <c r="T18">
        <v>0.12</v>
      </c>
    </row>
    <row r="19" spans="1:20">
      <c r="A19">
        <v>18</v>
      </c>
      <c r="B19">
        <v>188054.845</v>
      </c>
      <c r="C19">
        <v>419049.81800000003</v>
      </c>
      <c r="D19" t="s">
        <v>73</v>
      </c>
      <c r="E19">
        <v>599.83299999999997</v>
      </c>
      <c r="F19">
        <v>6</v>
      </c>
      <c r="G19" t="s">
        <v>68</v>
      </c>
      <c r="H19">
        <v>60.514000000000003</v>
      </c>
      <c r="I19">
        <v>29.456</v>
      </c>
      <c r="J19">
        <v>4.9770000000000003</v>
      </c>
      <c r="K19" t="s">
        <v>80</v>
      </c>
      <c r="L19">
        <v>13.287000000000001</v>
      </c>
      <c r="M19">
        <v>10.4916</v>
      </c>
      <c r="N19">
        <v>7.75</v>
      </c>
      <c r="O19">
        <v>1</v>
      </c>
      <c r="P19">
        <v>0.1</v>
      </c>
      <c r="Q19">
        <v>1</v>
      </c>
      <c r="R19">
        <v>0.1</v>
      </c>
      <c r="S19">
        <v>1</v>
      </c>
      <c r="T19">
        <v>0.12</v>
      </c>
    </row>
    <row r="20" spans="1:20">
      <c r="A20">
        <v>19</v>
      </c>
      <c r="B20">
        <v>188026.242</v>
      </c>
      <c r="C20">
        <v>419060.68699999998</v>
      </c>
      <c r="D20" t="s">
        <v>73</v>
      </c>
      <c r="E20">
        <v>630.61300000000006</v>
      </c>
      <c r="F20">
        <v>6</v>
      </c>
      <c r="G20" t="s">
        <v>68</v>
      </c>
      <c r="H20">
        <v>53.783000000000001</v>
      </c>
      <c r="I20">
        <v>28.986999999999998</v>
      </c>
      <c r="J20">
        <v>5.0990000000000002</v>
      </c>
      <c r="K20" t="s">
        <v>80</v>
      </c>
      <c r="L20">
        <v>13.287000000000001</v>
      </c>
      <c r="M20">
        <v>10.553800000000001</v>
      </c>
      <c r="N20">
        <v>7.75</v>
      </c>
      <c r="O20">
        <v>1</v>
      </c>
      <c r="P20">
        <v>0.1</v>
      </c>
      <c r="Q20">
        <v>1</v>
      </c>
      <c r="R20">
        <v>0.1</v>
      </c>
      <c r="S20">
        <v>1</v>
      </c>
      <c r="T20">
        <v>0.12</v>
      </c>
    </row>
    <row r="21" spans="1:20">
      <c r="A21">
        <v>20</v>
      </c>
      <c r="B21">
        <v>188013.084</v>
      </c>
      <c r="C21">
        <v>419069.84</v>
      </c>
      <c r="D21" t="s">
        <v>73</v>
      </c>
      <c r="E21">
        <v>646.86800000000005</v>
      </c>
      <c r="F21">
        <v>6</v>
      </c>
      <c r="G21" t="s">
        <v>68</v>
      </c>
      <c r="H21">
        <v>54.15</v>
      </c>
      <c r="I21">
        <v>32.630000000000003</v>
      </c>
      <c r="J21">
        <v>7.1630000000000003</v>
      </c>
      <c r="K21" t="s">
        <v>80</v>
      </c>
      <c r="L21">
        <v>13.287000000000001</v>
      </c>
      <c r="M21">
        <v>10.2805</v>
      </c>
      <c r="N21">
        <v>7.75</v>
      </c>
      <c r="O21">
        <v>1</v>
      </c>
      <c r="P21">
        <v>0.1</v>
      </c>
      <c r="Q21">
        <v>1</v>
      </c>
      <c r="R21">
        <v>0.1</v>
      </c>
      <c r="S21">
        <v>1</v>
      </c>
      <c r="T21">
        <v>0.12</v>
      </c>
    </row>
    <row r="22" spans="1:20">
      <c r="A22">
        <v>21</v>
      </c>
      <c r="B22">
        <v>188011.78200000001</v>
      </c>
      <c r="C22">
        <v>419075.22</v>
      </c>
      <c r="D22" t="s">
        <v>72</v>
      </c>
      <c r="E22">
        <v>650.18899999999996</v>
      </c>
      <c r="F22">
        <v>6</v>
      </c>
      <c r="G22" t="s">
        <v>68</v>
      </c>
      <c r="H22">
        <v>57.915999999999997</v>
      </c>
      <c r="I22">
        <v>37.15</v>
      </c>
      <c r="J22">
        <v>11.342000000000001</v>
      </c>
      <c r="K22" t="s">
        <v>80</v>
      </c>
      <c r="L22">
        <v>13.287000000000001</v>
      </c>
      <c r="M22">
        <v>10.1736</v>
      </c>
      <c r="N22">
        <v>7.75</v>
      </c>
      <c r="O22">
        <v>1</v>
      </c>
      <c r="P22">
        <v>0.1</v>
      </c>
      <c r="Q22">
        <v>1</v>
      </c>
      <c r="R22">
        <v>0.1</v>
      </c>
      <c r="S22">
        <v>1</v>
      </c>
      <c r="T22">
        <v>0.12</v>
      </c>
    </row>
    <row r="23" spans="1:20">
      <c r="A23">
        <v>22</v>
      </c>
      <c r="B23">
        <v>188019.50599999999</v>
      </c>
      <c r="C23">
        <v>419090.66600000003</v>
      </c>
      <c r="D23" t="s">
        <v>72</v>
      </c>
      <c r="E23">
        <v>649.197</v>
      </c>
      <c r="F23">
        <v>6</v>
      </c>
      <c r="G23" t="s">
        <v>68</v>
      </c>
      <c r="H23">
        <v>75.058999999999997</v>
      </c>
      <c r="I23">
        <v>54.354999999999997</v>
      </c>
      <c r="J23">
        <v>28.609000000000002</v>
      </c>
      <c r="K23" t="s">
        <v>80</v>
      </c>
      <c r="L23">
        <v>13.287000000000001</v>
      </c>
      <c r="M23">
        <v>10.081200000000001</v>
      </c>
      <c r="N23">
        <v>7.75</v>
      </c>
      <c r="O23">
        <v>1</v>
      </c>
      <c r="P23">
        <v>0.1</v>
      </c>
      <c r="Q23">
        <v>1</v>
      </c>
      <c r="R23">
        <v>0.1</v>
      </c>
      <c r="S23">
        <v>1</v>
      </c>
      <c r="T23">
        <v>0.12</v>
      </c>
    </row>
    <row r="24" spans="1:20">
      <c r="A24">
        <v>23</v>
      </c>
      <c r="B24">
        <v>187979.166</v>
      </c>
      <c r="C24">
        <v>419100.18800000002</v>
      </c>
      <c r="D24" t="s">
        <v>72</v>
      </c>
      <c r="E24">
        <v>695.50300000000004</v>
      </c>
      <c r="F24">
        <v>6</v>
      </c>
      <c r="G24" t="s">
        <v>68</v>
      </c>
      <c r="H24">
        <v>59.593000000000004</v>
      </c>
      <c r="I24">
        <v>43.83</v>
      </c>
      <c r="J24">
        <v>16.428000000000001</v>
      </c>
      <c r="K24" t="s">
        <v>81</v>
      </c>
      <c r="L24">
        <v>13.29</v>
      </c>
      <c r="M24">
        <v>9.9170999999999996</v>
      </c>
      <c r="N24">
        <v>7.75</v>
      </c>
      <c r="O24">
        <v>1</v>
      </c>
      <c r="P24">
        <v>0.1</v>
      </c>
      <c r="Q24">
        <v>1</v>
      </c>
      <c r="R24">
        <v>0.1</v>
      </c>
      <c r="S24">
        <v>1</v>
      </c>
      <c r="T24">
        <v>0.12</v>
      </c>
    </row>
    <row r="25" spans="1:20">
      <c r="A25">
        <v>24</v>
      </c>
      <c r="B25">
        <v>187970.318</v>
      </c>
      <c r="C25">
        <v>419087.66700000002</v>
      </c>
      <c r="D25" t="s">
        <v>73</v>
      </c>
      <c r="E25">
        <v>695.95699999999999</v>
      </c>
      <c r="F25">
        <v>6</v>
      </c>
      <c r="G25" t="s">
        <v>68</v>
      </c>
      <c r="H25">
        <v>44.274000000000001</v>
      </c>
      <c r="I25">
        <v>28.526</v>
      </c>
      <c r="J25">
        <v>2.2360000000000002</v>
      </c>
      <c r="K25" t="s">
        <v>81</v>
      </c>
      <c r="L25">
        <v>13.29</v>
      </c>
      <c r="M25">
        <v>10.31</v>
      </c>
      <c r="N25">
        <v>7.75</v>
      </c>
      <c r="O25">
        <v>1</v>
      </c>
      <c r="P25">
        <v>0.1</v>
      </c>
      <c r="Q25">
        <v>1</v>
      </c>
      <c r="R25">
        <v>0.1</v>
      </c>
      <c r="S25">
        <v>1</v>
      </c>
      <c r="T25">
        <v>0.12</v>
      </c>
    </row>
    <row r="26" spans="1:20">
      <c r="A26">
        <v>25</v>
      </c>
      <c r="B26">
        <v>187970.318</v>
      </c>
      <c r="C26">
        <v>419101.538</v>
      </c>
      <c r="D26" t="s">
        <v>74</v>
      </c>
      <c r="E26">
        <v>703.73099999999999</v>
      </c>
      <c r="F26">
        <v>7</v>
      </c>
      <c r="G26" t="s">
        <v>69</v>
      </c>
      <c r="H26">
        <v>55.253999999999998</v>
      </c>
      <c r="I26">
        <v>39.348999999999997</v>
      </c>
      <c r="J26">
        <v>10.31</v>
      </c>
      <c r="K26" t="s">
        <v>81</v>
      </c>
      <c r="L26">
        <v>13.29</v>
      </c>
      <c r="M26">
        <v>9.5640999999999998</v>
      </c>
      <c r="N26">
        <v>7.75</v>
      </c>
      <c r="O26">
        <v>1</v>
      </c>
      <c r="P26">
        <v>0.1</v>
      </c>
      <c r="Q26">
        <v>1</v>
      </c>
      <c r="R26">
        <v>0.1</v>
      </c>
      <c r="S26">
        <v>1</v>
      </c>
      <c r="T26">
        <v>0.12</v>
      </c>
    </row>
    <row r="27" spans="1:20">
      <c r="A27">
        <v>26</v>
      </c>
      <c r="B27">
        <v>187965.96900000001</v>
      </c>
      <c r="C27">
        <v>419104.837</v>
      </c>
      <c r="D27" t="s">
        <v>74</v>
      </c>
      <c r="E27">
        <v>710.54200000000003</v>
      </c>
      <c r="F27">
        <v>7</v>
      </c>
      <c r="G27" t="s">
        <v>69</v>
      </c>
      <c r="H27">
        <v>55.207999999999998</v>
      </c>
      <c r="I27">
        <v>39.204000000000001</v>
      </c>
      <c r="J27">
        <v>10.231999999999999</v>
      </c>
      <c r="K27" t="s">
        <v>81</v>
      </c>
      <c r="L27">
        <v>13.29</v>
      </c>
      <c r="M27">
        <v>9.5790000000000006</v>
      </c>
      <c r="N27">
        <v>7.75</v>
      </c>
      <c r="O27">
        <v>1</v>
      </c>
      <c r="P27">
        <v>0.1</v>
      </c>
      <c r="Q27">
        <v>1</v>
      </c>
      <c r="R27">
        <v>0.1</v>
      </c>
      <c r="S27">
        <v>1</v>
      </c>
      <c r="T27">
        <v>0.12</v>
      </c>
    </row>
    <row r="28" spans="1:20">
      <c r="A28">
        <v>27</v>
      </c>
      <c r="B28">
        <v>187943.85</v>
      </c>
      <c r="C28">
        <v>419121.408</v>
      </c>
      <c r="D28" t="s">
        <v>74</v>
      </c>
      <c r="E28">
        <v>738.33199999999999</v>
      </c>
      <c r="F28">
        <v>7</v>
      </c>
      <c r="G28" t="s">
        <v>69</v>
      </c>
      <c r="H28">
        <v>54.808</v>
      </c>
      <c r="I28">
        <v>38.299999999999997</v>
      </c>
      <c r="J28">
        <v>10.26</v>
      </c>
      <c r="K28" t="s">
        <v>81</v>
      </c>
      <c r="L28">
        <v>13.29</v>
      </c>
      <c r="M28">
        <v>9.4616000000000007</v>
      </c>
      <c r="N28">
        <v>7.75</v>
      </c>
      <c r="O28">
        <v>1</v>
      </c>
      <c r="P28">
        <v>0.1</v>
      </c>
      <c r="Q28">
        <v>1</v>
      </c>
      <c r="R28">
        <v>0.1</v>
      </c>
      <c r="S28">
        <v>1</v>
      </c>
      <c r="T28">
        <v>0.12</v>
      </c>
    </row>
    <row r="29" spans="1:20">
      <c r="A29">
        <v>28</v>
      </c>
      <c r="B29">
        <v>187930.42800000001</v>
      </c>
      <c r="C29">
        <v>419119.15899999999</v>
      </c>
      <c r="D29" t="s">
        <v>73</v>
      </c>
      <c r="E29">
        <v>747.67100000000005</v>
      </c>
      <c r="F29">
        <v>7</v>
      </c>
      <c r="G29" t="s">
        <v>69</v>
      </c>
      <c r="H29">
        <v>44.825000000000003</v>
      </c>
      <c r="I29">
        <v>28.15</v>
      </c>
      <c r="J29">
        <v>3.0219999999999998</v>
      </c>
      <c r="K29" t="s">
        <v>81</v>
      </c>
      <c r="L29">
        <v>13.29</v>
      </c>
      <c r="M29">
        <v>11.1126</v>
      </c>
      <c r="N29">
        <v>7.75</v>
      </c>
      <c r="O29">
        <v>1</v>
      </c>
      <c r="P29">
        <v>0.1</v>
      </c>
      <c r="Q29">
        <v>1</v>
      </c>
      <c r="R29">
        <v>0.1</v>
      </c>
      <c r="S29">
        <v>1</v>
      </c>
      <c r="T29">
        <v>0.12</v>
      </c>
    </row>
    <row r="30" spans="1:20">
      <c r="A30">
        <v>29</v>
      </c>
      <c r="B30">
        <v>187962.89499999999</v>
      </c>
      <c r="C30">
        <v>419096.88900000002</v>
      </c>
      <c r="D30" t="s">
        <v>73</v>
      </c>
      <c r="E30">
        <v>707.31399999999996</v>
      </c>
      <c r="F30">
        <v>7</v>
      </c>
      <c r="G30" t="s">
        <v>69</v>
      </c>
      <c r="H30">
        <v>47.037999999999997</v>
      </c>
      <c r="I30">
        <v>31.079000000000001</v>
      </c>
      <c r="J30">
        <v>2.0760000000000001</v>
      </c>
      <c r="K30" t="s">
        <v>81</v>
      </c>
      <c r="L30">
        <v>13.29</v>
      </c>
      <c r="M30">
        <v>10.895899999999999</v>
      </c>
      <c r="N30">
        <v>7.75</v>
      </c>
      <c r="O30">
        <v>1</v>
      </c>
      <c r="P30">
        <v>0.1</v>
      </c>
      <c r="Q30">
        <v>1</v>
      </c>
      <c r="R30">
        <v>0.1</v>
      </c>
      <c r="S30">
        <v>1</v>
      </c>
      <c r="T30">
        <v>0.12</v>
      </c>
    </row>
    <row r="31" spans="1:20">
      <c r="A31">
        <v>30</v>
      </c>
      <c r="B31">
        <v>187947.299</v>
      </c>
      <c r="C31">
        <v>419109.03600000002</v>
      </c>
      <c r="D31" t="s">
        <v>73</v>
      </c>
      <c r="E31">
        <v>728.125</v>
      </c>
      <c r="F31">
        <v>7</v>
      </c>
      <c r="G31" t="s">
        <v>69</v>
      </c>
      <c r="H31">
        <v>47.122</v>
      </c>
      <c r="I31">
        <v>30.803000000000001</v>
      </c>
      <c r="J31">
        <v>2.0449999999999999</v>
      </c>
      <c r="K31" t="s">
        <v>81</v>
      </c>
      <c r="L31">
        <v>13.29</v>
      </c>
      <c r="M31">
        <v>10.970700000000001</v>
      </c>
      <c r="N31">
        <v>7.75</v>
      </c>
      <c r="O31">
        <v>1</v>
      </c>
      <c r="P31">
        <v>0.1</v>
      </c>
      <c r="Q31">
        <v>1</v>
      </c>
      <c r="R31">
        <v>0.1</v>
      </c>
      <c r="S31">
        <v>1</v>
      </c>
      <c r="T31">
        <v>0.12</v>
      </c>
    </row>
    <row r="32" spans="1:20">
      <c r="A32">
        <v>31</v>
      </c>
      <c r="B32">
        <v>187929.45300000001</v>
      </c>
      <c r="C32">
        <v>419132.505</v>
      </c>
      <c r="D32" t="s">
        <v>74</v>
      </c>
      <c r="E32">
        <v>754.85</v>
      </c>
      <c r="F32">
        <v>7</v>
      </c>
      <c r="G32" t="s">
        <v>69</v>
      </c>
      <c r="H32">
        <v>54.793999999999997</v>
      </c>
      <c r="I32">
        <v>37.985999999999997</v>
      </c>
      <c r="J32">
        <v>13.978</v>
      </c>
      <c r="K32" t="s">
        <v>81</v>
      </c>
      <c r="L32">
        <v>13.29</v>
      </c>
      <c r="M32">
        <v>9.3927999999999994</v>
      </c>
      <c r="N32">
        <v>7.75</v>
      </c>
      <c r="O32">
        <v>1</v>
      </c>
      <c r="P32">
        <v>0.1</v>
      </c>
      <c r="Q32">
        <v>1</v>
      </c>
      <c r="R32">
        <v>0.1</v>
      </c>
      <c r="S32">
        <v>1</v>
      </c>
      <c r="T32">
        <v>0.12</v>
      </c>
    </row>
    <row r="33" spans="1:20">
      <c r="A33">
        <v>32</v>
      </c>
      <c r="B33">
        <v>187903.32800000001</v>
      </c>
      <c r="C33">
        <v>419151.09899999999</v>
      </c>
      <c r="D33" t="s">
        <v>74</v>
      </c>
      <c r="E33">
        <v>789.178</v>
      </c>
      <c r="F33">
        <v>7</v>
      </c>
      <c r="G33" t="s">
        <v>69</v>
      </c>
      <c r="H33">
        <v>53.546999999999997</v>
      </c>
      <c r="I33">
        <v>37.548000000000002</v>
      </c>
      <c r="J33">
        <v>13.022</v>
      </c>
      <c r="K33" t="s">
        <v>82</v>
      </c>
      <c r="L33">
        <v>13.281000000000001</v>
      </c>
      <c r="M33">
        <v>9.4320000000000004</v>
      </c>
      <c r="N33">
        <v>7.75</v>
      </c>
      <c r="O33">
        <v>1</v>
      </c>
      <c r="P33">
        <v>0.1</v>
      </c>
      <c r="Q33">
        <v>1</v>
      </c>
      <c r="R33">
        <v>0.1</v>
      </c>
      <c r="S33">
        <v>1</v>
      </c>
      <c r="T33">
        <v>0.12</v>
      </c>
    </row>
    <row r="34" spans="1:20">
      <c r="A34">
        <v>33</v>
      </c>
      <c r="B34">
        <v>187892.783</v>
      </c>
      <c r="C34">
        <v>419159.00699999998</v>
      </c>
      <c r="D34" t="s">
        <v>74</v>
      </c>
      <c r="E34">
        <v>800.52499999999998</v>
      </c>
      <c r="F34">
        <v>7</v>
      </c>
      <c r="G34" t="s">
        <v>69</v>
      </c>
      <c r="H34">
        <v>53.363</v>
      </c>
      <c r="I34">
        <v>37.697000000000003</v>
      </c>
      <c r="J34">
        <v>13.021000000000001</v>
      </c>
      <c r="K34" t="s">
        <v>82</v>
      </c>
      <c r="L34">
        <v>13.281000000000001</v>
      </c>
      <c r="M34">
        <v>9.3580000000000005</v>
      </c>
      <c r="N34">
        <v>7.75</v>
      </c>
      <c r="O34">
        <v>1</v>
      </c>
      <c r="P34">
        <v>0.1</v>
      </c>
      <c r="Q34">
        <v>1</v>
      </c>
      <c r="R34">
        <v>0.1</v>
      </c>
      <c r="S34">
        <v>1</v>
      </c>
      <c r="T34">
        <v>0.12</v>
      </c>
    </row>
    <row r="35" spans="1:20">
      <c r="A35">
        <v>34</v>
      </c>
      <c r="B35">
        <v>187910.39799999999</v>
      </c>
      <c r="C35">
        <v>419145.946</v>
      </c>
      <c r="D35" t="s">
        <v>74</v>
      </c>
      <c r="E35">
        <v>780.13199999999995</v>
      </c>
      <c r="F35">
        <v>7</v>
      </c>
      <c r="G35" t="s">
        <v>69</v>
      </c>
      <c r="H35">
        <v>53.787999999999997</v>
      </c>
      <c r="I35">
        <v>37.569000000000003</v>
      </c>
      <c r="J35">
        <v>13.185</v>
      </c>
      <c r="K35" t="s">
        <v>82</v>
      </c>
      <c r="L35">
        <v>13.281000000000001</v>
      </c>
      <c r="M35">
        <v>10.359500000000001</v>
      </c>
      <c r="N35">
        <v>7.75</v>
      </c>
      <c r="O35">
        <v>1</v>
      </c>
      <c r="P35">
        <v>0.1</v>
      </c>
      <c r="Q35">
        <v>1</v>
      </c>
      <c r="R35">
        <v>0.1</v>
      </c>
      <c r="S35">
        <v>1</v>
      </c>
      <c r="T35">
        <v>0.12</v>
      </c>
    </row>
    <row r="36" spans="1:20">
      <c r="A36">
        <v>35</v>
      </c>
      <c r="B36">
        <v>187875.76699999999</v>
      </c>
      <c r="C36">
        <v>419171.94900000002</v>
      </c>
      <c r="D36" t="s">
        <v>74</v>
      </c>
      <c r="E36">
        <v>823.99099999999999</v>
      </c>
      <c r="F36">
        <v>7</v>
      </c>
      <c r="G36" t="s">
        <v>69</v>
      </c>
      <c r="H36">
        <v>53.158999999999999</v>
      </c>
      <c r="I36">
        <v>38.082999999999998</v>
      </c>
      <c r="J36">
        <v>13.202999999999999</v>
      </c>
      <c r="K36" t="s">
        <v>82</v>
      </c>
      <c r="L36">
        <v>13.281000000000001</v>
      </c>
      <c r="M36">
        <v>9.4057999999999993</v>
      </c>
      <c r="N36">
        <v>7.75</v>
      </c>
      <c r="O36">
        <v>1</v>
      </c>
      <c r="P36">
        <v>0.1</v>
      </c>
      <c r="Q36">
        <v>1</v>
      </c>
      <c r="R36">
        <v>0.1</v>
      </c>
      <c r="S36">
        <v>1</v>
      </c>
      <c r="T36">
        <v>0.12</v>
      </c>
    </row>
    <row r="37" spans="1:20">
      <c r="A37">
        <v>36</v>
      </c>
      <c r="B37">
        <v>187856.35500000001</v>
      </c>
      <c r="C37">
        <v>419186.44799999997</v>
      </c>
      <c r="D37" t="s">
        <v>74</v>
      </c>
      <c r="E37">
        <v>847.505</v>
      </c>
      <c r="F37">
        <v>7</v>
      </c>
      <c r="G37" t="s">
        <v>69</v>
      </c>
      <c r="H37">
        <v>52.506999999999998</v>
      </c>
      <c r="I37">
        <v>37.58</v>
      </c>
      <c r="J37">
        <v>13.199</v>
      </c>
      <c r="K37" t="s">
        <v>82</v>
      </c>
      <c r="L37">
        <v>13.281000000000001</v>
      </c>
      <c r="M37">
        <v>9.3960000000000008</v>
      </c>
      <c r="N37">
        <v>7.75</v>
      </c>
      <c r="O37">
        <v>1</v>
      </c>
      <c r="P37">
        <v>0.1</v>
      </c>
      <c r="Q37">
        <v>1</v>
      </c>
      <c r="R37">
        <v>0.1</v>
      </c>
      <c r="S37">
        <v>1</v>
      </c>
      <c r="T37">
        <v>0.12</v>
      </c>
    </row>
    <row r="38" spans="1:20">
      <c r="A38">
        <v>37</v>
      </c>
      <c r="B38">
        <v>187839.81899999999</v>
      </c>
      <c r="C38">
        <v>419199.03</v>
      </c>
      <c r="D38" t="s">
        <v>74</v>
      </c>
      <c r="E38">
        <v>868.30799999999999</v>
      </c>
      <c r="F38">
        <v>7</v>
      </c>
      <c r="G38" t="s">
        <v>69</v>
      </c>
      <c r="H38">
        <v>52.131999999999998</v>
      </c>
      <c r="I38">
        <v>37.128</v>
      </c>
      <c r="J38">
        <v>13.427</v>
      </c>
      <c r="K38" t="s">
        <v>82</v>
      </c>
      <c r="L38">
        <v>13.281000000000001</v>
      </c>
      <c r="M38">
        <v>9.2929999999999993</v>
      </c>
      <c r="N38">
        <v>7.75</v>
      </c>
      <c r="O38">
        <v>1</v>
      </c>
      <c r="P38">
        <v>0.1</v>
      </c>
      <c r="Q38">
        <v>1</v>
      </c>
      <c r="R38">
        <v>0.1</v>
      </c>
      <c r="S38">
        <v>1</v>
      </c>
      <c r="T38">
        <v>0.12</v>
      </c>
    </row>
    <row r="39" spans="1:20">
      <c r="A39">
        <v>38</v>
      </c>
      <c r="B39">
        <v>187824.12100000001</v>
      </c>
      <c r="C39">
        <v>419211.13299999997</v>
      </c>
      <c r="D39" t="s">
        <v>74</v>
      </c>
      <c r="E39">
        <v>887.98299999999995</v>
      </c>
      <c r="F39">
        <v>7</v>
      </c>
      <c r="G39" t="s">
        <v>69</v>
      </c>
      <c r="H39">
        <v>51.901000000000003</v>
      </c>
      <c r="I39">
        <v>36.823</v>
      </c>
      <c r="J39">
        <v>13.805999999999999</v>
      </c>
      <c r="K39" t="s">
        <v>83</v>
      </c>
      <c r="L39">
        <v>13.28</v>
      </c>
      <c r="M39">
        <v>9.2729999999999997</v>
      </c>
      <c r="N39">
        <v>7.75</v>
      </c>
      <c r="O39">
        <v>1</v>
      </c>
      <c r="P39">
        <v>0.1</v>
      </c>
      <c r="Q39">
        <v>1</v>
      </c>
      <c r="R39">
        <v>0.1</v>
      </c>
      <c r="S39">
        <v>1</v>
      </c>
      <c r="T39">
        <v>0.12</v>
      </c>
    </row>
    <row r="40" spans="1:20">
      <c r="A40">
        <v>39</v>
      </c>
      <c r="B40">
        <v>187808.06400000001</v>
      </c>
      <c r="C40">
        <v>419222.51699999999</v>
      </c>
      <c r="D40" t="s">
        <v>74</v>
      </c>
      <c r="E40">
        <v>907.00599999999997</v>
      </c>
      <c r="F40">
        <v>7</v>
      </c>
      <c r="G40" t="s">
        <v>69</v>
      </c>
      <c r="H40">
        <v>50.883000000000003</v>
      </c>
      <c r="I40">
        <v>36.597000000000001</v>
      </c>
      <c r="J40">
        <v>13.393000000000001</v>
      </c>
      <c r="K40" t="s">
        <v>83</v>
      </c>
      <c r="L40">
        <v>13.28</v>
      </c>
      <c r="M40">
        <v>9.2373999999999992</v>
      </c>
      <c r="N40">
        <v>7.75</v>
      </c>
      <c r="O40">
        <v>1</v>
      </c>
      <c r="P40">
        <v>0.1</v>
      </c>
      <c r="Q40">
        <v>1</v>
      </c>
      <c r="R40">
        <v>0.1</v>
      </c>
      <c r="S40">
        <v>1</v>
      </c>
      <c r="T40">
        <v>0.12</v>
      </c>
    </row>
    <row r="41" spans="1:20">
      <c r="A41">
        <v>40</v>
      </c>
      <c r="B41">
        <v>187750.77100000001</v>
      </c>
      <c r="C41">
        <v>419287.82400000002</v>
      </c>
      <c r="D41" t="s">
        <v>74</v>
      </c>
      <c r="E41">
        <v>997.81200000000001</v>
      </c>
      <c r="F41">
        <v>8</v>
      </c>
      <c r="G41" t="s">
        <v>70</v>
      </c>
      <c r="H41">
        <v>67.12</v>
      </c>
      <c r="I41">
        <v>49.997</v>
      </c>
      <c r="J41">
        <v>25.576000000000001</v>
      </c>
      <c r="K41" t="s">
        <v>84</v>
      </c>
      <c r="L41">
        <v>13.284000000000001</v>
      </c>
      <c r="M41">
        <v>9.0991</v>
      </c>
      <c r="N41">
        <v>7.75</v>
      </c>
      <c r="O41">
        <v>1</v>
      </c>
      <c r="P41">
        <v>0.1</v>
      </c>
      <c r="Q41">
        <v>1</v>
      </c>
      <c r="R41">
        <v>0.1</v>
      </c>
      <c r="S41">
        <v>1</v>
      </c>
      <c r="T41">
        <v>0.12</v>
      </c>
    </row>
    <row r="42" spans="1:20">
      <c r="A42">
        <v>41</v>
      </c>
      <c r="B42">
        <v>187736.166</v>
      </c>
      <c r="C42">
        <v>419301.304</v>
      </c>
      <c r="D42" t="s">
        <v>74</v>
      </c>
      <c r="E42">
        <v>1015.9160000000001</v>
      </c>
      <c r="F42">
        <v>8</v>
      </c>
      <c r="G42" t="s">
        <v>70</v>
      </c>
      <c r="H42">
        <v>68.951999999999998</v>
      </c>
      <c r="I42">
        <v>50.841000000000001</v>
      </c>
      <c r="J42">
        <v>27.145</v>
      </c>
      <c r="K42" t="s">
        <v>84</v>
      </c>
      <c r="L42">
        <v>13.284000000000001</v>
      </c>
      <c r="M42">
        <v>9.1163000000000007</v>
      </c>
      <c r="N42">
        <v>7.75</v>
      </c>
      <c r="O42">
        <v>1</v>
      </c>
      <c r="P42">
        <v>0.1</v>
      </c>
      <c r="Q42">
        <v>1</v>
      </c>
      <c r="R42">
        <v>0.1</v>
      </c>
      <c r="S42">
        <v>1</v>
      </c>
      <c r="T42">
        <v>0.12</v>
      </c>
    </row>
    <row r="43" spans="1:20">
      <c r="A43">
        <v>42</v>
      </c>
      <c r="B43">
        <v>187723.80900000001</v>
      </c>
      <c r="C43">
        <v>419313.1</v>
      </c>
      <c r="D43" t="s">
        <v>74</v>
      </c>
      <c r="E43">
        <v>1034.155</v>
      </c>
      <c r="F43">
        <v>8</v>
      </c>
      <c r="G43" t="s">
        <v>70</v>
      </c>
      <c r="H43">
        <v>70.811999999999998</v>
      </c>
      <c r="I43">
        <v>50.017000000000003</v>
      </c>
      <c r="J43">
        <v>27.32</v>
      </c>
      <c r="K43" t="s">
        <v>84</v>
      </c>
      <c r="L43">
        <v>13.284000000000001</v>
      </c>
      <c r="M43">
        <v>9.0764999999999993</v>
      </c>
      <c r="N43">
        <v>7.75</v>
      </c>
      <c r="O43">
        <v>1</v>
      </c>
      <c r="P43">
        <v>0.1</v>
      </c>
      <c r="Q43">
        <v>1</v>
      </c>
      <c r="R43">
        <v>0.1</v>
      </c>
      <c r="S43">
        <v>1</v>
      </c>
      <c r="T43">
        <v>0.12</v>
      </c>
    </row>
    <row r="44" spans="1:20">
      <c r="A44">
        <v>43</v>
      </c>
      <c r="B44">
        <v>187713.13699999999</v>
      </c>
      <c r="C44">
        <v>419322.83600000001</v>
      </c>
      <c r="D44" t="s">
        <v>74</v>
      </c>
      <c r="E44">
        <v>1048.1289999999999</v>
      </c>
      <c r="F44">
        <v>8</v>
      </c>
      <c r="G44" t="s">
        <v>70</v>
      </c>
      <c r="H44">
        <v>72.058999999999997</v>
      </c>
      <c r="I44">
        <v>48.755000000000003</v>
      </c>
      <c r="J44">
        <v>27.140999999999998</v>
      </c>
      <c r="K44" t="s">
        <v>84</v>
      </c>
      <c r="L44">
        <v>13.284000000000001</v>
      </c>
      <c r="M44">
        <v>9.0787999999999993</v>
      </c>
      <c r="N44">
        <v>7.75</v>
      </c>
      <c r="O44">
        <v>1</v>
      </c>
      <c r="P44">
        <v>0.1</v>
      </c>
      <c r="Q44">
        <v>1</v>
      </c>
      <c r="R44">
        <v>0.1</v>
      </c>
      <c r="S44">
        <v>1</v>
      </c>
      <c r="T44">
        <v>0.12</v>
      </c>
    </row>
    <row r="45" spans="1:20">
      <c r="A45">
        <v>44</v>
      </c>
      <c r="B45">
        <v>187704.89799999999</v>
      </c>
      <c r="C45">
        <v>419331.07400000002</v>
      </c>
      <c r="D45" t="s">
        <v>74</v>
      </c>
      <c r="E45">
        <v>1060.712</v>
      </c>
      <c r="F45">
        <v>8</v>
      </c>
      <c r="G45" t="s">
        <v>70</v>
      </c>
      <c r="H45">
        <v>73.596000000000004</v>
      </c>
      <c r="I45">
        <v>48.594000000000001</v>
      </c>
      <c r="J45">
        <v>27.53</v>
      </c>
      <c r="K45" t="s">
        <v>84</v>
      </c>
      <c r="L45">
        <v>13.284000000000001</v>
      </c>
      <c r="M45">
        <v>9.0907</v>
      </c>
      <c r="N45">
        <v>7.75</v>
      </c>
      <c r="O45">
        <v>1</v>
      </c>
      <c r="P45">
        <v>0.1</v>
      </c>
      <c r="Q45">
        <v>1</v>
      </c>
      <c r="R45">
        <v>0.1</v>
      </c>
      <c r="S45">
        <v>1</v>
      </c>
      <c r="T45">
        <v>0.12</v>
      </c>
    </row>
    <row r="46" spans="1:20">
      <c r="A46">
        <v>45</v>
      </c>
      <c r="B46">
        <v>187697.035</v>
      </c>
      <c r="C46">
        <v>419338.00199999998</v>
      </c>
      <c r="D46" t="s">
        <v>74</v>
      </c>
      <c r="E46">
        <v>1070.6469999999999</v>
      </c>
      <c r="F46">
        <v>8</v>
      </c>
      <c r="G46" t="s">
        <v>70</v>
      </c>
      <c r="H46">
        <v>74.081000000000003</v>
      </c>
      <c r="I46">
        <v>49.82</v>
      </c>
      <c r="J46">
        <v>27.189</v>
      </c>
      <c r="K46" t="s">
        <v>85</v>
      </c>
      <c r="L46">
        <v>13.287000000000001</v>
      </c>
      <c r="M46">
        <v>9.0299999999999994</v>
      </c>
      <c r="N46">
        <v>7.75</v>
      </c>
      <c r="O46">
        <v>1</v>
      </c>
      <c r="P46">
        <v>0.1</v>
      </c>
      <c r="Q46">
        <v>1</v>
      </c>
      <c r="R46">
        <v>0.1</v>
      </c>
      <c r="S46">
        <v>1</v>
      </c>
      <c r="T46">
        <v>0.12</v>
      </c>
    </row>
    <row r="47" spans="1:20">
      <c r="A47">
        <v>46</v>
      </c>
      <c r="B47">
        <v>187786.01500000001</v>
      </c>
      <c r="C47">
        <v>419239.05300000001</v>
      </c>
      <c r="D47" t="s">
        <v>73</v>
      </c>
      <c r="E47">
        <v>936.30600000000004</v>
      </c>
      <c r="F47">
        <v>8</v>
      </c>
      <c r="G47" t="s">
        <v>70</v>
      </c>
      <c r="H47">
        <v>50.195</v>
      </c>
      <c r="I47">
        <v>37.192</v>
      </c>
      <c r="J47">
        <v>9.4960000000000004</v>
      </c>
      <c r="K47" t="s">
        <v>83</v>
      </c>
      <c r="L47">
        <v>13.28</v>
      </c>
      <c r="M47">
        <v>10.5002</v>
      </c>
      <c r="N47">
        <v>7.75</v>
      </c>
      <c r="O47">
        <v>1</v>
      </c>
      <c r="P47">
        <v>0.1</v>
      </c>
      <c r="Q47">
        <v>1</v>
      </c>
      <c r="R47">
        <v>0.1</v>
      </c>
      <c r="S47">
        <v>1</v>
      </c>
      <c r="T47">
        <v>0.12</v>
      </c>
    </row>
    <row r="48" spans="1:20">
      <c r="A48">
        <v>47</v>
      </c>
      <c r="B48">
        <v>187769.59899999999</v>
      </c>
      <c r="C48">
        <v>419252.11499999999</v>
      </c>
      <c r="D48" t="s">
        <v>73</v>
      </c>
      <c r="E48">
        <v>957.68</v>
      </c>
      <c r="F48">
        <v>8</v>
      </c>
      <c r="G48" t="s">
        <v>70</v>
      </c>
      <c r="H48">
        <v>50.271000000000001</v>
      </c>
      <c r="I48">
        <v>34.924999999999997</v>
      </c>
      <c r="J48">
        <v>8.9510000000000005</v>
      </c>
      <c r="K48" t="s">
        <v>84</v>
      </c>
      <c r="L48">
        <v>13.284000000000001</v>
      </c>
      <c r="M48">
        <v>10.527699999999999</v>
      </c>
      <c r="N48">
        <v>7.75</v>
      </c>
      <c r="O48">
        <v>1</v>
      </c>
      <c r="P48">
        <v>0.1</v>
      </c>
      <c r="Q48">
        <v>1</v>
      </c>
      <c r="R48">
        <v>0.1</v>
      </c>
      <c r="S48">
        <v>1</v>
      </c>
      <c r="T48">
        <v>0.12</v>
      </c>
    </row>
    <row r="49" spans="1:20">
      <c r="A49">
        <v>48</v>
      </c>
      <c r="B49">
        <v>187751.864</v>
      </c>
      <c r="C49">
        <v>419266.85399999999</v>
      </c>
      <c r="D49" t="s">
        <v>73</v>
      </c>
      <c r="E49">
        <v>980.90899999999999</v>
      </c>
      <c r="F49">
        <v>8</v>
      </c>
      <c r="G49" t="s">
        <v>70</v>
      </c>
      <c r="H49">
        <v>51.13</v>
      </c>
      <c r="I49">
        <v>34.704999999999998</v>
      </c>
      <c r="J49">
        <v>9.6110000000000007</v>
      </c>
      <c r="K49" t="s">
        <v>84</v>
      </c>
      <c r="L49">
        <v>13.284000000000001</v>
      </c>
      <c r="M49">
        <v>10.632</v>
      </c>
      <c r="N49">
        <v>7.75</v>
      </c>
      <c r="O49">
        <v>1</v>
      </c>
      <c r="P49">
        <v>0.1</v>
      </c>
      <c r="Q49">
        <v>1</v>
      </c>
      <c r="R49">
        <v>0.1</v>
      </c>
      <c r="S49">
        <v>1</v>
      </c>
      <c r="T49">
        <v>0.12</v>
      </c>
    </row>
    <row r="50" spans="1:20">
      <c r="A50">
        <v>49</v>
      </c>
      <c r="B50">
        <v>187736.109</v>
      </c>
      <c r="C50">
        <v>419286.549</v>
      </c>
      <c r="D50" t="s">
        <v>72</v>
      </c>
      <c r="E50">
        <v>1006.271</v>
      </c>
      <c r="F50">
        <v>8</v>
      </c>
      <c r="G50" t="s">
        <v>70</v>
      </c>
      <c r="H50">
        <v>57.198</v>
      </c>
      <c r="I50">
        <v>39.545999999999999</v>
      </c>
      <c r="J50">
        <v>15.634</v>
      </c>
      <c r="K50" t="s">
        <v>84</v>
      </c>
      <c r="L50">
        <v>13.284000000000001</v>
      </c>
      <c r="M50">
        <v>10.427</v>
      </c>
      <c r="N50">
        <v>7.75</v>
      </c>
      <c r="O50">
        <v>1</v>
      </c>
      <c r="P50">
        <v>0.1</v>
      </c>
      <c r="Q50">
        <v>1</v>
      </c>
      <c r="R50">
        <v>0.1</v>
      </c>
      <c r="S50">
        <v>1</v>
      </c>
      <c r="T50">
        <v>0.12</v>
      </c>
    </row>
    <row r="51" spans="1:20">
      <c r="A51">
        <v>50</v>
      </c>
      <c r="B51">
        <v>187715.633</v>
      </c>
      <c r="C51">
        <v>419303.49699999997</v>
      </c>
      <c r="D51" t="s">
        <v>72</v>
      </c>
      <c r="E51">
        <v>1033.482</v>
      </c>
      <c r="F51">
        <v>8</v>
      </c>
      <c r="G51" t="s">
        <v>70</v>
      </c>
      <c r="H51">
        <v>58.216000000000001</v>
      </c>
      <c r="I51">
        <v>37.497999999999998</v>
      </c>
      <c r="J51">
        <v>14.721</v>
      </c>
      <c r="K51" t="s">
        <v>84</v>
      </c>
      <c r="L51">
        <v>13.284000000000001</v>
      </c>
      <c r="M51">
        <v>10.532999999999999</v>
      </c>
      <c r="N51">
        <v>7.75</v>
      </c>
      <c r="O51">
        <v>1</v>
      </c>
      <c r="P51">
        <v>0.1</v>
      </c>
      <c r="Q51">
        <v>1</v>
      </c>
      <c r="R51">
        <v>0.1</v>
      </c>
      <c r="S51">
        <v>1</v>
      </c>
      <c r="T51">
        <v>0.12</v>
      </c>
    </row>
    <row r="52" spans="1:20">
      <c r="A52">
        <v>51</v>
      </c>
      <c r="B52">
        <v>187695.693</v>
      </c>
      <c r="C52">
        <v>419321.36599999998</v>
      </c>
      <c r="D52" t="s">
        <v>72</v>
      </c>
      <c r="E52">
        <v>1060.5540000000001</v>
      </c>
      <c r="F52">
        <v>8</v>
      </c>
      <c r="G52" t="s">
        <v>70</v>
      </c>
      <c r="H52">
        <v>60.292000000000002</v>
      </c>
      <c r="I52">
        <v>35.235999999999997</v>
      </c>
      <c r="J52">
        <v>14.151999999999999</v>
      </c>
      <c r="K52" t="s">
        <v>84</v>
      </c>
      <c r="L52">
        <v>13.284000000000001</v>
      </c>
      <c r="M52">
        <v>10.5641</v>
      </c>
      <c r="N52">
        <v>7.75</v>
      </c>
      <c r="O52">
        <v>1</v>
      </c>
      <c r="P52">
        <v>0.1</v>
      </c>
      <c r="Q52">
        <v>1</v>
      </c>
      <c r="R52">
        <v>0.1</v>
      </c>
      <c r="S52">
        <v>1</v>
      </c>
      <c r="T52">
        <v>0.12</v>
      </c>
    </row>
    <row r="53" spans="1:20">
      <c r="A53">
        <v>52</v>
      </c>
      <c r="B53">
        <v>187693.02799999999</v>
      </c>
      <c r="C53">
        <v>419341.74699999997</v>
      </c>
      <c r="D53" t="s">
        <v>74</v>
      </c>
      <c r="E53">
        <v>1076.2159999999999</v>
      </c>
      <c r="F53">
        <v>8</v>
      </c>
      <c r="G53" t="s">
        <v>70</v>
      </c>
      <c r="H53">
        <v>73.974000000000004</v>
      </c>
      <c r="I53">
        <v>51.463000000000001</v>
      </c>
      <c r="J53">
        <v>26.984999999999999</v>
      </c>
      <c r="K53" t="s">
        <v>85</v>
      </c>
      <c r="L53">
        <v>13.287000000000001</v>
      </c>
      <c r="M53">
        <v>9.8963999999999999</v>
      </c>
      <c r="N53">
        <v>7.75</v>
      </c>
      <c r="O53">
        <v>1</v>
      </c>
      <c r="P53">
        <v>0.1</v>
      </c>
      <c r="Q53">
        <v>1</v>
      </c>
      <c r="R53">
        <v>0.1</v>
      </c>
      <c r="S53">
        <v>1</v>
      </c>
      <c r="T53">
        <v>0.12</v>
      </c>
    </row>
    <row r="54" spans="1:20">
      <c r="A54">
        <v>53</v>
      </c>
      <c r="B54">
        <v>187731.97200000001</v>
      </c>
      <c r="C54">
        <v>419322.09499999997</v>
      </c>
      <c r="D54" t="s">
        <v>72</v>
      </c>
      <c r="E54">
        <v>1034.4190000000001</v>
      </c>
      <c r="F54">
        <v>8</v>
      </c>
      <c r="G54" t="s">
        <v>70</v>
      </c>
      <c r="H54">
        <v>82.915999999999997</v>
      </c>
      <c r="I54">
        <v>62.115000000000002</v>
      </c>
      <c r="J54">
        <v>39.465000000000003</v>
      </c>
      <c r="K54" t="s">
        <v>84</v>
      </c>
      <c r="L54">
        <v>13.284000000000001</v>
      </c>
      <c r="M54">
        <v>9.5132999999999992</v>
      </c>
      <c r="N54">
        <v>7.75</v>
      </c>
      <c r="O54">
        <v>1</v>
      </c>
      <c r="P54">
        <v>0.1</v>
      </c>
      <c r="Q54">
        <v>1</v>
      </c>
      <c r="R54">
        <v>0.1</v>
      </c>
      <c r="S54">
        <v>1</v>
      </c>
      <c r="T54">
        <v>0.12</v>
      </c>
    </row>
    <row r="55" spans="1:20">
      <c r="A55">
        <v>54</v>
      </c>
      <c r="B55">
        <v>187712.56</v>
      </c>
      <c r="C55">
        <v>419339.94900000002</v>
      </c>
      <c r="D55" t="s">
        <v>72</v>
      </c>
      <c r="E55">
        <v>1061.3240000000001</v>
      </c>
      <c r="F55">
        <v>8</v>
      </c>
      <c r="G55" t="s">
        <v>70</v>
      </c>
      <c r="H55">
        <v>85.3</v>
      </c>
      <c r="I55">
        <v>60.317999999999998</v>
      </c>
      <c r="J55">
        <v>39.244999999999997</v>
      </c>
      <c r="K55" t="s">
        <v>84</v>
      </c>
      <c r="L55">
        <v>13.284000000000001</v>
      </c>
      <c r="M55">
        <v>9.5338999999999992</v>
      </c>
      <c r="N55">
        <v>7.75</v>
      </c>
      <c r="O55">
        <v>1</v>
      </c>
      <c r="P55">
        <v>0.1</v>
      </c>
      <c r="Q55">
        <v>1</v>
      </c>
      <c r="R55">
        <v>0.1</v>
      </c>
      <c r="S55">
        <v>1</v>
      </c>
      <c r="T55">
        <v>0.12</v>
      </c>
    </row>
    <row r="56" spans="1:20">
      <c r="A56">
        <v>55</v>
      </c>
      <c r="B56">
        <v>187746.11199999999</v>
      </c>
      <c r="C56">
        <v>419311.31</v>
      </c>
      <c r="D56" t="s">
        <v>72</v>
      </c>
      <c r="E56">
        <v>1015.1609999999999</v>
      </c>
      <c r="F56">
        <v>8</v>
      </c>
      <c r="G56" t="s">
        <v>70</v>
      </c>
      <c r="H56">
        <v>82.941999999999993</v>
      </c>
      <c r="I56">
        <v>64.903999999999996</v>
      </c>
      <c r="J56">
        <v>41.247</v>
      </c>
      <c r="K56" t="s">
        <v>84</v>
      </c>
      <c r="L56">
        <v>13.284000000000001</v>
      </c>
      <c r="M56">
        <v>9.5863999999999994</v>
      </c>
      <c r="N56">
        <v>7.75</v>
      </c>
      <c r="O56">
        <v>1</v>
      </c>
      <c r="P56">
        <v>0.1</v>
      </c>
      <c r="Q56">
        <v>1</v>
      </c>
      <c r="R56">
        <v>0.1</v>
      </c>
      <c r="S56">
        <v>1</v>
      </c>
      <c r="T56">
        <v>0.12</v>
      </c>
    </row>
    <row r="57" spans="1:20">
      <c r="A57">
        <v>56</v>
      </c>
      <c r="B57">
        <v>187688.71400000001</v>
      </c>
      <c r="C57">
        <v>419346.54</v>
      </c>
      <c r="D57" t="s">
        <v>74</v>
      </c>
      <c r="E57">
        <v>1082.752</v>
      </c>
      <c r="F57">
        <v>8</v>
      </c>
      <c r="G57" t="s">
        <v>70</v>
      </c>
      <c r="H57">
        <v>74.405000000000001</v>
      </c>
      <c r="I57">
        <v>53.665999999999997</v>
      </c>
      <c r="J57">
        <v>27.300999999999998</v>
      </c>
      <c r="K57" t="s">
        <v>85</v>
      </c>
      <c r="L57">
        <v>13.287000000000001</v>
      </c>
      <c r="M57">
        <v>9.109</v>
      </c>
      <c r="N57">
        <v>7.75</v>
      </c>
      <c r="O57">
        <v>1</v>
      </c>
      <c r="P57">
        <v>0.1</v>
      </c>
      <c r="Q57">
        <v>1</v>
      </c>
      <c r="R57">
        <v>0.1</v>
      </c>
      <c r="S57">
        <v>1</v>
      </c>
      <c r="T57">
        <v>0.12</v>
      </c>
    </row>
    <row r="58" spans="1:20">
      <c r="A58">
        <v>57</v>
      </c>
      <c r="B58">
        <v>187675.054</v>
      </c>
      <c r="C58">
        <v>419359.96100000001</v>
      </c>
      <c r="D58" t="s">
        <v>74</v>
      </c>
      <c r="E58">
        <v>1102.925</v>
      </c>
      <c r="F58">
        <v>8</v>
      </c>
      <c r="G58" t="s">
        <v>70</v>
      </c>
      <c r="H58">
        <v>74.510000000000005</v>
      </c>
      <c r="I58">
        <v>53.365000000000002</v>
      </c>
      <c r="J58">
        <v>27.064</v>
      </c>
      <c r="K58" t="s">
        <v>85</v>
      </c>
      <c r="L58">
        <v>13.287000000000001</v>
      </c>
      <c r="M58">
        <v>9.0741999999999994</v>
      </c>
      <c r="N58">
        <v>7.75</v>
      </c>
      <c r="O58">
        <v>1</v>
      </c>
      <c r="P58">
        <v>0.1</v>
      </c>
      <c r="Q58">
        <v>1</v>
      </c>
      <c r="R58">
        <v>0.1</v>
      </c>
      <c r="S58">
        <v>1</v>
      </c>
      <c r="T58">
        <v>0.12</v>
      </c>
    </row>
    <row r="59" spans="1:20">
      <c r="A59">
        <v>58</v>
      </c>
      <c r="B59">
        <v>187662.11199999999</v>
      </c>
      <c r="C59">
        <v>419373.50099999999</v>
      </c>
      <c r="D59" t="s">
        <v>74</v>
      </c>
      <c r="E59">
        <v>1121.778</v>
      </c>
      <c r="F59">
        <v>8</v>
      </c>
      <c r="G59" t="s">
        <v>70</v>
      </c>
      <c r="H59">
        <v>75.201999999999998</v>
      </c>
      <c r="I59">
        <v>53.66</v>
      </c>
      <c r="J59">
        <v>27.420999999999999</v>
      </c>
      <c r="K59" t="s">
        <v>85</v>
      </c>
      <c r="L59">
        <v>13.287000000000001</v>
      </c>
      <c r="M59">
        <v>9.1675000000000004</v>
      </c>
      <c r="N59">
        <v>7.75</v>
      </c>
      <c r="O59">
        <v>1</v>
      </c>
      <c r="P59">
        <v>0.1</v>
      </c>
      <c r="Q59">
        <v>1</v>
      </c>
      <c r="R59">
        <v>0.1</v>
      </c>
      <c r="S59">
        <v>1</v>
      </c>
      <c r="T59">
        <v>0.12</v>
      </c>
    </row>
    <row r="60" spans="1:20">
      <c r="A60">
        <v>59</v>
      </c>
      <c r="B60">
        <v>187649.171</v>
      </c>
      <c r="C60">
        <v>419387.641</v>
      </c>
      <c r="D60" t="s">
        <v>74</v>
      </c>
      <c r="E60">
        <v>1142.2719999999999</v>
      </c>
      <c r="F60">
        <v>8</v>
      </c>
      <c r="G60" t="s">
        <v>70</v>
      </c>
      <c r="H60">
        <v>76.322999999999993</v>
      </c>
      <c r="I60">
        <v>48.649000000000001</v>
      </c>
      <c r="J60">
        <v>27.614999999999998</v>
      </c>
      <c r="K60" t="s">
        <v>85</v>
      </c>
      <c r="L60">
        <v>13.287000000000001</v>
      </c>
      <c r="M60">
        <v>9.1737000000000002</v>
      </c>
      <c r="N60">
        <v>7.75</v>
      </c>
      <c r="O60">
        <v>1</v>
      </c>
      <c r="P60">
        <v>0.1</v>
      </c>
      <c r="Q60">
        <v>1</v>
      </c>
      <c r="R60">
        <v>0.1</v>
      </c>
      <c r="S60">
        <v>1</v>
      </c>
      <c r="T60">
        <v>0.12</v>
      </c>
    </row>
    <row r="61" spans="1:20">
      <c r="A61">
        <v>60</v>
      </c>
      <c r="B61">
        <v>187667.74400000001</v>
      </c>
      <c r="C61">
        <v>419352.29200000002</v>
      </c>
      <c r="D61" t="s">
        <v>72</v>
      </c>
      <c r="E61">
        <v>1102.644</v>
      </c>
      <c r="F61">
        <v>8</v>
      </c>
      <c r="G61" t="s">
        <v>70</v>
      </c>
      <c r="H61">
        <v>63.915999999999997</v>
      </c>
      <c r="I61">
        <v>42.776000000000003</v>
      </c>
      <c r="J61">
        <v>16.472999999999999</v>
      </c>
      <c r="K61" t="s">
        <v>85</v>
      </c>
      <c r="L61">
        <v>13.287000000000001</v>
      </c>
      <c r="M61">
        <v>10.505100000000001</v>
      </c>
      <c r="N61">
        <v>7.75</v>
      </c>
      <c r="O61">
        <v>1</v>
      </c>
      <c r="P61">
        <v>0.1</v>
      </c>
      <c r="Q61">
        <v>1</v>
      </c>
      <c r="R61">
        <v>0.1</v>
      </c>
      <c r="S61">
        <v>1</v>
      </c>
      <c r="T61">
        <v>0.12</v>
      </c>
    </row>
    <row r="62" spans="1:20">
      <c r="A62">
        <v>61</v>
      </c>
      <c r="B62">
        <v>187640.78200000001</v>
      </c>
      <c r="C62">
        <v>419381.53</v>
      </c>
      <c r="D62" t="s">
        <v>72</v>
      </c>
      <c r="E62">
        <v>1143.4760000000001</v>
      </c>
      <c r="F62">
        <v>8</v>
      </c>
      <c r="G62" t="s">
        <v>70</v>
      </c>
      <c r="H62">
        <v>66.094999999999999</v>
      </c>
      <c r="I62">
        <v>38.276000000000003</v>
      </c>
      <c r="J62">
        <v>17.288</v>
      </c>
      <c r="K62" t="s">
        <v>85</v>
      </c>
      <c r="L62">
        <v>13.287000000000001</v>
      </c>
      <c r="M62">
        <v>10.4526</v>
      </c>
      <c r="N62">
        <v>7.75</v>
      </c>
      <c r="O62">
        <v>1</v>
      </c>
      <c r="P62">
        <v>0.1</v>
      </c>
      <c r="Q62">
        <v>1</v>
      </c>
      <c r="R62">
        <v>0.1</v>
      </c>
      <c r="S62">
        <v>1</v>
      </c>
      <c r="T62">
        <v>0.12</v>
      </c>
    </row>
    <row r="63" spans="1:20">
      <c r="A63">
        <v>62</v>
      </c>
      <c r="B63">
        <v>187683.32199999999</v>
      </c>
      <c r="C63">
        <v>419368.70799999998</v>
      </c>
      <c r="D63" t="s">
        <v>72</v>
      </c>
      <c r="E63">
        <v>1103.2940000000001</v>
      </c>
      <c r="F63">
        <v>8</v>
      </c>
      <c r="G63" t="s">
        <v>70</v>
      </c>
      <c r="H63">
        <v>86.546000000000006</v>
      </c>
      <c r="I63">
        <v>65.394000000000005</v>
      </c>
      <c r="J63">
        <v>39.094000000000001</v>
      </c>
      <c r="K63" t="s">
        <v>85</v>
      </c>
      <c r="L63">
        <v>13.287000000000001</v>
      </c>
      <c r="M63">
        <v>9.7959999999999994</v>
      </c>
      <c r="N63">
        <v>7.75</v>
      </c>
      <c r="O63">
        <v>1</v>
      </c>
      <c r="P63">
        <v>0.1</v>
      </c>
      <c r="Q63">
        <v>1</v>
      </c>
      <c r="R63">
        <v>0.1</v>
      </c>
      <c r="S63">
        <v>1</v>
      </c>
      <c r="T63">
        <v>0.12</v>
      </c>
    </row>
    <row r="64" spans="1:20">
      <c r="A64">
        <v>63</v>
      </c>
      <c r="B64">
        <v>187657.91800000001</v>
      </c>
      <c r="C64">
        <v>419395.071</v>
      </c>
      <c r="D64" t="s">
        <v>72</v>
      </c>
      <c r="E64">
        <v>1141.7909999999999</v>
      </c>
      <c r="F64">
        <v>8</v>
      </c>
      <c r="G64" t="s">
        <v>70</v>
      </c>
      <c r="H64">
        <v>87.748000000000005</v>
      </c>
      <c r="I64">
        <v>60.116</v>
      </c>
      <c r="J64">
        <v>39.088000000000001</v>
      </c>
      <c r="K64" t="s">
        <v>85</v>
      </c>
      <c r="L64">
        <v>13.287000000000001</v>
      </c>
      <c r="M64">
        <v>9.6658000000000008</v>
      </c>
      <c r="N64">
        <v>7.75</v>
      </c>
      <c r="O64">
        <v>1</v>
      </c>
      <c r="P64">
        <v>0.1</v>
      </c>
      <c r="Q64">
        <v>1</v>
      </c>
      <c r="R64">
        <v>0.1</v>
      </c>
      <c r="S64">
        <v>1</v>
      </c>
      <c r="T64">
        <v>0.12</v>
      </c>
    </row>
    <row r="65" spans="1:20">
      <c r="A65">
        <v>64</v>
      </c>
      <c r="B65">
        <v>187633.71299999999</v>
      </c>
      <c r="C65">
        <v>419404.41700000002</v>
      </c>
      <c r="D65" t="s">
        <v>74</v>
      </c>
      <c r="E65">
        <v>1165.519</v>
      </c>
      <c r="F65">
        <v>8</v>
      </c>
      <c r="G65" t="s">
        <v>70</v>
      </c>
      <c r="H65">
        <v>77.581999999999994</v>
      </c>
      <c r="I65">
        <v>47.965000000000003</v>
      </c>
      <c r="J65">
        <v>27.256</v>
      </c>
      <c r="K65" t="s">
        <v>86</v>
      </c>
      <c r="L65">
        <v>13.29</v>
      </c>
      <c r="M65">
        <v>9.1157000000000004</v>
      </c>
      <c r="N65">
        <v>7.75</v>
      </c>
      <c r="O65">
        <v>1</v>
      </c>
      <c r="P65">
        <v>0.1</v>
      </c>
      <c r="Q65">
        <v>1</v>
      </c>
      <c r="R65">
        <v>0.1</v>
      </c>
      <c r="S65">
        <v>1</v>
      </c>
      <c r="T65">
        <v>0.12</v>
      </c>
    </row>
    <row r="66" spans="1:20">
      <c r="A66">
        <v>65</v>
      </c>
      <c r="B66">
        <v>187617.89499999999</v>
      </c>
      <c r="C66">
        <v>419422.75099999999</v>
      </c>
      <c r="D66" t="s">
        <v>74</v>
      </c>
      <c r="E66">
        <v>1190.154</v>
      </c>
      <c r="F66">
        <v>8</v>
      </c>
      <c r="G66" t="s">
        <v>70</v>
      </c>
      <c r="H66">
        <v>79.225999999999999</v>
      </c>
      <c r="I66">
        <v>48.125</v>
      </c>
      <c r="J66">
        <v>27.446000000000002</v>
      </c>
      <c r="K66" t="s">
        <v>86</v>
      </c>
      <c r="L66">
        <v>13.29</v>
      </c>
      <c r="M66">
        <v>9.1294000000000004</v>
      </c>
      <c r="N66">
        <v>7.75</v>
      </c>
      <c r="O66">
        <v>1</v>
      </c>
      <c r="P66">
        <v>0.1</v>
      </c>
      <c r="Q66">
        <v>1</v>
      </c>
      <c r="R66">
        <v>0.1</v>
      </c>
      <c r="S66">
        <v>1</v>
      </c>
      <c r="T66">
        <v>0.12</v>
      </c>
    </row>
    <row r="67" spans="1:20">
      <c r="A67">
        <v>66</v>
      </c>
      <c r="B67">
        <v>187608.429</v>
      </c>
      <c r="C67">
        <v>419416.4</v>
      </c>
      <c r="D67" t="s">
        <v>72</v>
      </c>
      <c r="E67">
        <v>1191.6679999999999</v>
      </c>
      <c r="F67">
        <v>8</v>
      </c>
      <c r="G67" t="s">
        <v>70</v>
      </c>
      <c r="H67">
        <v>68</v>
      </c>
      <c r="I67">
        <v>36.817999999999998</v>
      </c>
      <c r="J67">
        <v>16.11</v>
      </c>
      <c r="K67" t="s">
        <v>86</v>
      </c>
      <c r="L67">
        <v>13.29</v>
      </c>
      <c r="M67">
        <v>10.5085</v>
      </c>
      <c r="N67">
        <v>7.75</v>
      </c>
      <c r="O67">
        <v>1</v>
      </c>
      <c r="P67">
        <v>0.1</v>
      </c>
      <c r="Q67">
        <v>1</v>
      </c>
      <c r="R67">
        <v>0.1</v>
      </c>
      <c r="S67">
        <v>1</v>
      </c>
      <c r="T67">
        <v>0.12</v>
      </c>
    </row>
    <row r="68" spans="1:20">
      <c r="A68">
        <v>67</v>
      </c>
      <c r="B68">
        <v>187603.39600000001</v>
      </c>
      <c r="C68">
        <v>419439.76699999999</v>
      </c>
      <c r="D68" t="s">
        <v>74</v>
      </c>
      <c r="E68">
        <v>1214.1369999999999</v>
      </c>
      <c r="F68">
        <v>8</v>
      </c>
      <c r="G68" t="s">
        <v>70</v>
      </c>
      <c r="H68">
        <v>80.566000000000003</v>
      </c>
      <c r="I68">
        <v>48.408999999999999</v>
      </c>
      <c r="J68">
        <v>27.241</v>
      </c>
      <c r="K68" t="s">
        <v>86</v>
      </c>
      <c r="L68">
        <v>13.29</v>
      </c>
      <c r="M68">
        <v>9.1258999999999997</v>
      </c>
      <c r="N68">
        <v>7.75</v>
      </c>
      <c r="O68">
        <v>1</v>
      </c>
      <c r="P68">
        <v>0.1</v>
      </c>
      <c r="Q68">
        <v>1</v>
      </c>
      <c r="R68">
        <v>0.1</v>
      </c>
      <c r="S68">
        <v>1</v>
      </c>
      <c r="T68">
        <v>0.12</v>
      </c>
    </row>
    <row r="69" spans="1:20">
      <c r="A69">
        <v>68</v>
      </c>
      <c r="B69">
        <v>187590.125</v>
      </c>
      <c r="C69">
        <v>419456.14600000001</v>
      </c>
      <c r="D69" t="s">
        <v>74</v>
      </c>
      <c r="E69">
        <v>1236.9159999999999</v>
      </c>
      <c r="F69">
        <v>8</v>
      </c>
      <c r="G69" t="s">
        <v>70</v>
      </c>
      <c r="H69">
        <v>82.350999999999999</v>
      </c>
      <c r="I69">
        <v>49.048999999999999</v>
      </c>
      <c r="J69">
        <v>27.57</v>
      </c>
      <c r="K69" t="s">
        <v>86</v>
      </c>
      <c r="L69">
        <v>13.29</v>
      </c>
      <c r="M69">
        <v>9.1498000000000008</v>
      </c>
      <c r="N69">
        <v>7.75</v>
      </c>
      <c r="O69">
        <v>1</v>
      </c>
      <c r="P69">
        <v>0.1</v>
      </c>
      <c r="Q69">
        <v>1</v>
      </c>
      <c r="R69">
        <v>0.1</v>
      </c>
      <c r="S69">
        <v>1</v>
      </c>
      <c r="T69">
        <v>0.12</v>
      </c>
    </row>
    <row r="70" spans="1:20">
      <c r="A70">
        <v>69</v>
      </c>
      <c r="B70">
        <v>187578.704</v>
      </c>
      <c r="C70">
        <v>419472.06099999999</v>
      </c>
      <c r="D70" t="s">
        <v>74</v>
      </c>
      <c r="E70">
        <v>1256.5050000000001</v>
      </c>
      <c r="F70">
        <v>8</v>
      </c>
      <c r="G70" t="s">
        <v>70</v>
      </c>
      <c r="H70">
        <v>85.147000000000006</v>
      </c>
      <c r="I70">
        <v>49.405000000000001</v>
      </c>
      <c r="J70">
        <v>28.573</v>
      </c>
      <c r="K70" t="s">
        <v>86</v>
      </c>
      <c r="L70">
        <v>13.29</v>
      </c>
      <c r="M70">
        <v>9.2566000000000006</v>
      </c>
      <c r="N70">
        <v>7.75</v>
      </c>
      <c r="O70">
        <v>1</v>
      </c>
      <c r="P70">
        <v>0.1</v>
      </c>
      <c r="Q70">
        <v>1</v>
      </c>
      <c r="R70">
        <v>0.1</v>
      </c>
      <c r="S70">
        <v>1</v>
      </c>
      <c r="T70">
        <v>0.12</v>
      </c>
    </row>
    <row r="71" spans="1:20">
      <c r="A71">
        <v>70</v>
      </c>
      <c r="B71">
        <v>187568.59299999999</v>
      </c>
      <c r="C71">
        <v>419487.03899999999</v>
      </c>
      <c r="D71" t="s">
        <v>74</v>
      </c>
      <c r="E71">
        <v>1275.7829999999999</v>
      </c>
      <c r="F71">
        <v>8</v>
      </c>
      <c r="G71" t="s">
        <v>70</v>
      </c>
      <c r="H71">
        <v>88.239000000000004</v>
      </c>
      <c r="I71">
        <v>50.252000000000002</v>
      </c>
      <c r="J71">
        <v>24.151</v>
      </c>
      <c r="K71" t="s">
        <v>86</v>
      </c>
      <c r="L71">
        <v>13.29</v>
      </c>
      <c r="M71">
        <v>9.2270000000000003</v>
      </c>
      <c r="N71">
        <v>7.75</v>
      </c>
      <c r="O71">
        <v>1</v>
      </c>
      <c r="P71">
        <v>0.1</v>
      </c>
      <c r="Q71">
        <v>1</v>
      </c>
      <c r="R71">
        <v>0.1</v>
      </c>
      <c r="S71">
        <v>1</v>
      </c>
      <c r="T71">
        <v>0.12</v>
      </c>
    </row>
    <row r="72" spans="1:20">
      <c r="A72">
        <v>71</v>
      </c>
      <c r="B72">
        <v>187572.899</v>
      </c>
      <c r="C72">
        <v>419497.712</v>
      </c>
      <c r="D72" t="s">
        <v>74</v>
      </c>
      <c r="E72">
        <v>1282.0719999999999</v>
      </c>
      <c r="F72">
        <v>8</v>
      </c>
      <c r="G72" t="s">
        <v>70</v>
      </c>
      <c r="H72">
        <v>98.74</v>
      </c>
      <c r="I72">
        <v>60.084000000000003</v>
      </c>
      <c r="J72">
        <v>26.064</v>
      </c>
      <c r="K72" t="s">
        <v>86</v>
      </c>
      <c r="L72">
        <v>13.29</v>
      </c>
      <c r="M72">
        <v>9.0945999999999998</v>
      </c>
      <c r="N72">
        <v>7.75</v>
      </c>
      <c r="O72">
        <v>1</v>
      </c>
      <c r="P72">
        <v>0.1</v>
      </c>
      <c r="Q72">
        <v>1</v>
      </c>
      <c r="R72">
        <v>0.1</v>
      </c>
      <c r="S72">
        <v>1</v>
      </c>
      <c r="T72">
        <v>0.12</v>
      </c>
    </row>
    <row r="73" spans="1:20">
      <c r="A73">
        <v>72</v>
      </c>
      <c r="B73">
        <v>187587.69099999999</v>
      </c>
      <c r="C73">
        <v>419503.516</v>
      </c>
      <c r="D73" t="s">
        <v>74</v>
      </c>
      <c r="E73">
        <v>1278.3689999999999</v>
      </c>
      <c r="F73">
        <v>8</v>
      </c>
      <c r="G73" t="s">
        <v>70</v>
      </c>
      <c r="H73">
        <v>113.426</v>
      </c>
      <c r="I73">
        <v>75.411000000000001</v>
      </c>
      <c r="J73">
        <v>41.290999999999997</v>
      </c>
      <c r="K73" t="s">
        <v>86</v>
      </c>
      <c r="L73">
        <v>13.29</v>
      </c>
      <c r="M73">
        <v>9.1628000000000007</v>
      </c>
      <c r="N73">
        <v>7.75</v>
      </c>
      <c r="O73">
        <v>1</v>
      </c>
      <c r="P73">
        <v>0.1</v>
      </c>
      <c r="Q73">
        <v>1</v>
      </c>
      <c r="R73">
        <v>0.1</v>
      </c>
      <c r="S73">
        <v>1</v>
      </c>
      <c r="T73">
        <v>0.12</v>
      </c>
    </row>
    <row r="74" spans="1:20">
      <c r="A74">
        <v>73</v>
      </c>
      <c r="B74">
        <v>187568.78</v>
      </c>
      <c r="C74">
        <v>419465.50799999997</v>
      </c>
      <c r="D74" t="s">
        <v>72</v>
      </c>
      <c r="E74">
        <v>1257.171</v>
      </c>
      <c r="F74">
        <v>8</v>
      </c>
      <c r="G74" t="s">
        <v>70</v>
      </c>
      <c r="H74">
        <v>73.451999999999998</v>
      </c>
      <c r="I74">
        <v>37.531999999999996</v>
      </c>
      <c r="J74">
        <v>16.7</v>
      </c>
      <c r="K74" t="s">
        <v>86</v>
      </c>
      <c r="L74">
        <v>13.29</v>
      </c>
      <c r="M74">
        <v>10.579599999999999</v>
      </c>
      <c r="N74">
        <v>7.75</v>
      </c>
      <c r="O74">
        <v>1</v>
      </c>
      <c r="P74">
        <v>0.1</v>
      </c>
      <c r="Q74">
        <v>1</v>
      </c>
      <c r="R74">
        <v>0.1</v>
      </c>
      <c r="S74">
        <v>1</v>
      </c>
      <c r="T74">
        <v>0.12</v>
      </c>
    </row>
    <row r="75" spans="1:20">
      <c r="A75">
        <v>74</v>
      </c>
      <c r="B75">
        <v>187607.53700000001</v>
      </c>
      <c r="C75">
        <v>419467.56699999998</v>
      </c>
      <c r="D75" t="s">
        <v>72</v>
      </c>
      <c r="E75">
        <v>1235.684</v>
      </c>
      <c r="F75">
        <v>8</v>
      </c>
      <c r="G75" t="s">
        <v>70</v>
      </c>
      <c r="H75">
        <v>102.819</v>
      </c>
      <c r="I75">
        <v>69.825000000000003</v>
      </c>
      <c r="J75">
        <v>48.253999999999998</v>
      </c>
      <c r="K75" t="s">
        <v>86</v>
      </c>
      <c r="L75">
        <v>13.29</v>
      </c>
      <c r="M75">
        <v>9.9273000000000007</v>
      </c>
      <c r="N75">
        <v>7.75</v>
      </c>
      <c r="O75">
        <v>1</v>
      </c>
      <c r="P75">
        <v>0.1</v>
      </c>
      <c r="Q75">
        <v>1</v>
      </c>
      <c r="R75">
        <v>0.1</v>
      </c>
      <c r="S75">
        <v>1</v>
      </c>
      <c r="T75">
        <v>0.12</v>
      </c>
    </row>
    <row r="76" spans="1:20">
      <c r="A76">
        <v>75</v>
      </c>
      <c r="B76">
        <v>187643.91899999999</v>
      </c>
      <c r="C76">
        <v>419413.65600000002</v>
      </c>
      <c r="D76" t="s">
        <v>72</v>
      </c>
      <c r="E76">
        <v>1165.53</v>
      </c>
      <c r="F76">
        <v>8</v>
      </c>
      <c r="G76" t="s">
        <v>70</v>
      </c>
      <c r="H76">
        <v>91.32</v>
      </c>
      <c r="I76">
        <v>61.73</v>
      </c>
      <c r="J76">
        <v>41.021999999999998</v>
      </c>
      <c r="K76" t="s">
        <v>86</v>
      </c>
      <c r="L76">
        <v>13.29</v>
      </c>
      <c r="M76">
        <v>9.1294002532958896</v>
      </c>
      <c r="N76">
        <v>7.75</v>
      </c>
      <c r="O76">
        <v>1</v>
      </c>
      <c r="P76">
        <v>0.1</v>
      </c>
      <c r="Q76">
        <v>1</v>
      </c>
      <c r="R76">
        <v>0.1</v>
      </c>
      <c r="S76">
        <v>1</v>
      </c>
      <c r="T76">
        <v>0.12</v>
      </c>
    </row>
    <row r="77" spans="1:20">
      <c r="A77">
        <v>76</v>
      </c>
      <c r="B77">
        <v>187630.16899999999</v>
      </c>
      <c r="C77">
        <v>419432.37900000002</v>
      </c>
      <c r="D77" t="s">
        <v>72</v>
      </c>
      <c r="E77">
        <v>1189.2349999999999</v>
      </c>
      <c r="F77">
        <v>8</v>
      </c>
      <c r="G77" t="s">
        <v>70</v>
      </c>
      <c r="H77">
        <v>94.747</v>
      </c>
      <c r="I77">
        <v>63.701999999999998</v>
      </c>
      <c r="J77">
        <v>43.037999999999997</v>
      </c>
      <c r="K77" t="s">
        <v>86</v>
      </c>
      <c r="L77">
        <v>13.29</v>
      </c>
      <c r="M77">
        <v>9.1294002532958896</v>
      </c>
      <c r="N77">
        <v>7.75</v>
      </c>
      <c r="O77">
        <v>1</v>
      </c>
      <c r="P77">
        <v>0.1</v>
      </c>
      <c r="Q77">
        <v>1</v>
      </c>
      <c r="R77">
        <v>0.1</v>
      </c>
      <c r="S77">
        <v>1</v>
      </c>
      <c r="T77">
        <v>0.12</v>
      </c>
    </row>
    <row r="78" spans="1:20">
      <c r="A78">
        <v>77</v>
      </c>
      <c r="B78">
        <v>187631.924</v>
      </c>
      <c r="C78">
        <v>419519.26699999999</v>
      </c>
      <c r="D78" t="s">
        <v>74</v>
      </c>
      <c r="E78">
        <v>1263.3040000000001</v>
      </c>
      <c r="F78">
        <v>8</v>
      </c>
      <c r="G78" t="s">
        <v>70</v>
      </c>
      <c r="H78">
        <v>156.22999999999999</v>
      </c>
      <c r="I78">
        <v>120.288</v>
      </c>
      <c r="J78">
        <v>87.822000000000003</v>
      </c>
      <c r="K78" t="s">
        <v>86</v>
      </c>
      <c r="L78">
        <v>13.29</v>
      </c>
      <c r="M78">
        <v>9.0883000000000003</v>
      </c>
      <c r="N78">
        <v>7.75</v>
      </c>
      <c r="O78">
        <v>1</v>
      </c>
      <c r="P78">
        <v>0.1</v>
      </c>
      <c r="Q78">
        <v>1</v>
      </c>
      <c r="R78">
        <v>0.1</v>
      </c>
      <c r="S78">
        <v>1</v>
      </c>
      <c r="T78">
        <v>0.12</v>
      </c>
    </row>
    <row r="79" spans="1:20">
      <c r="A79">
        <v>78</v>
      </c>
      <c r="B79">
        <v>187620.51500000001</v>
      </c>
      <c r="C79">
        <v>419537.11200000002</v>
      </c>
      <c r="D79" t="s">
        <v>74</v>
      </c>
      <c r="E79">
        <v>1287.1410000000001</v>
      </c>
      <c r="F79">
        <v>8</v>
      </c>
      <c r="G79" t="s">
        <v>70</v>
      </c>
      <c r="H79">
        <v>160.37299999999999</v>
      </c>
      <c r="I79">
        <v>121.80800000000001</v>
      </c>
      <c r="J79">
        <v>81.563999999999993</v>
      </c>
      <c r="K79" t="s">
        <v>86</v>
      </c>
      <c r="L79">
        <v>13.29</v>
      </c>
      <c r="M79">
        <v>9.3460999999999999</v>
      </c>
      <c r="N79">
        <v>7.75</v>
      </c>
      <c r="O79">
        <v>1</v>
      </c>
      <c r="P79">
        <v>0.1</v>
      </c>
      <c r="Q79">
        <v>1</v>
      </c>
      <c r="R79">
        <v>0.1</v>
      </c>
      <c r="S79">
        <v>1</v>
      </c>
      <c r="T79">
        <v>0.12</v>
      </c>
    </row>
    <row r="80" spans="1:20">
      <c r="A80">
        <v>79</v>
      </c>
      <c r="B80">
        <v>187581.89799999999</v>
      </c>
      <c r="C80">
        <v>419526.58100000001</v>
      </c>
      <c r="D80" t="s">
        <v>74</v>
      </c>
      <c r="E80">
        <v>1301.2470000000001</v>
      </c>
      <c r="F80">
        <v>8</v>
      </c>
      <c r="G80" t="s">
        <v>70</v>
      </c>
      <c r="H80">
        <v>125.20699999999999</v>
      </c>
      <c r="I80">
        <v>84.554000000000002</v>
      </c>
      <c r="J80">
        <v>41.65</v>
      </c>
      <c r="K80" t="s">
        <v>86</v>
      </c>
      <c r="L80">
        <v>13.29</v>
      </c>
      <c r="M80">
        <v>9.4944000000000006</v>
      </c>
      <c r="N80">
        <v>7.75</v>
      </c>
      <c r="O80">
        <v>1</v>
      </c>
      <c r="P80">
        <v>0.1</v>
      </c>
      <c r="Q80">
        <v>1</v>
      </c>
      <c r="R80">
        <v>0.1</v>
      </c>
      <c r="S80">
        <v>1</v>
      </c>
      <c r="T80">
        <v>0.12</v>
      </c>
    </row>
    <row r="81" spans="1:20">
      <c r="A81">
        <v>80</v>
      </c>
      <c r="B81">
        <v>187548.54699999999</v>
      </c>
      <c r="C81">
        <v>419522.19199999998</v>
      </c>
      <c r="D81" t="s">
        <v>74</v>
      </c>
      <c r="E81">
        <v>1318.586</v>
      </c>
      <c r="F81">
        <v>9</v>
      </c>
      <c r="G81" t="s">
        <v>71</v>
      </c>
      <c r="H81">
        <v>97.070999999999998</v>
      </c>
      <c r="I81">
        <v>54.765999999999998</v>
      </c>
      <c r="J81">
        <v>12.044</v>
      </c>
      <c r="K81" t="s">
        <v>87</v>
      </c>
      <c r="L81">
        <v>13.29</v>
      </c>
      <c r="M81">
        <v>9.1057000000000006</v>
      </c>
      <c r="N81">
        <v>7.75</v>
      </c>
      <c r="O81">
        <v>1</v>
      </c>
      <c r="P81">
        <v>0.1</v>
      </c>
      <c r="Q81">
        <v>1</v>
      </c>
      <c r="R81">
        <v>0.1</v>
      </c>
      <c r="S81">
        <v>1</v>
      </c>
      <c r="T81">
        <v>0.12</v>
      </c>
    </row>
    <row r="82" spans="1:20">
      <c r="A82">
        <v>81</v>
      </c>
      <c r="B82">
        <v>187525.728</v>
      </c>
      <c r="C82">
        <v>419529.21399999998</v>
      </c>
      <c r="D82" t="s">
        <v>74</v>
      </c>
      <c r="E82">
        <v>1336.444</v>
      </c>
      <c r="F82">
        <v>9</v>
      </c>
      <c r="G82" t="s">
        <v>71</v>
      </c>
      <c r="H82">
        <v>82.44</v>
      </c>
      <c r="I82">
        <v>38.996000000000002</v>
      </c>
      <c r="J82">
        <v>8.7789999999999999</v>
      </c>
      <c r="K82" t="s">
        <v>87</v>
      </c>
      <c r="L82">
        <v>13.29</v>
      </c>
      <c r="M82">
        <v>9.0036000000000005</v>
      </c>
      <c r="N82">
        <v>7.75</v>
      </c>
      <c r="O82">
        <v>1</v>
      </c>
      <c r="P82">
        <v>0.1</v>
      </c>
      <c r="Q82">
        <v>1</v>
      </c>
      <c r="R82">
        <v>0.1</v>
      </c>
      <c r="S82">
        <v>1</v>
      </c>
      <c r="T82">
        <v>0.12</v>
      </c>
    </row>
    <row r="83" spans="1:20">
      <c r="A83">
        <v>82</v>
      </c>
      <c r="B83">
        <v>187506.432</v>
      </c>
      <c r="C83">
        <v>419553.50699999998</v>
      </c>
      <c r="D83" t="s">
        <v>74</v>
      </c>
      <c r="E83">
        <v>1366.923</v>
      </c>
      <c r="F83">
        <v>9</v>
      </c>
      <c r="G83" t="s">
        <v>71</v>
      </c>
      <c r="H83">
        <v>73.295000000000002</v>
      </c>
      <c r="I83">
        <v>35.268000000000001</v>
      </c>
      <c r="J83">
        <v>9.6579999999999995</v>
      </c>
      <c r="K83" t="s">
        <v>88</v>
      </c>
      <c r="L83">
        <v>13.29</v>
      </c>
      <c r="M83">
        <v>8.82</v>
      </c>
      <c r="N83">
        <v>7.75</v>
      </c>
      <c r="O83">
        <v>1</v>
      </c>
      <c r="P83">
        <v>0.1</v>
      </c>
      <c r="Q83">
        <v>1</v>
      </c>
      <c r="R83">
        <v>0.1</v>
      </c>
      <c r="S83">
        <v>1</v>
      </c>
      <c r="T83">
        <v>0.12</v>
      </c>
    </row>
    <row r="84" spans="1:20">
      <c r="A84">
        <v>83</v>
      </c>
      <c r="B84">
        <v>187495.01</v>
      </c>
      <c r="C84">
        <v>419573.54100000003</v>
      </c>
      <c r="D84" t="s">
        <v>74</v>
      </c>
      <c r="E84">
        <v>1391.097</v>
      </c>
      <c r="F84">
        <v>9</v>
      </c>
      <c r="G84" t="s">
        <v>71</v>
      </c>
      <c r="H84">
        <v>70.331999999999994</v>
      </c>
      <c r="I84">
        <v>36.021000000000001</v>
      </c>
      <c r="J84">
        <v>9.3379999999999992</v>
      </c>
      <c r="K84" t="s">
        <v>88</v>
      </c>
      <c r="L84">
        <v>13.29</v>
      </c>
      <c r="M84">
        <v>8.8564000000000007</v>
      </c>
      <c r="N84">
        <v>7.75</v>
      </c>
      <c r="O84">
        <v>1</v>
      </c>
      <c r="P84">
        <v>0.1</v>
      </c>
      <c r="Q84">
        <v>1</v>
      </c>
      <c r="R84">
        <v>0.1</v>
      </c>
      <c r="S84">
        <v>1</v>
      </c>
      <c r="T84">
        <v>0.12</v>
      </c>
    </row>
    <row r="85" spans="1:20">
      <c r="A85">
        <v>84</v>
      </c>
      <c r="B85">
        <v>187483.02799999999</v>
      </c>
      <c r="C85">
        <v>419593.38799999998</v>
      </c>
      <c r="D85" t="s">
        <v>74</v>
      </c>
      <c r="E85">
        <v>1414.4690000000001</v>
      </c>
      <c r="F85">
        <v>9</v>
      </c>
      <c r="G85" t="s">
        <v>71</v>
      </c>
      <c r="H85">
        <v>66.694000000000003</v>
      </c>
      <c r="I85">
        <v>35.555</v>
      </c>
      <c r="J85">
        <v>8.4359999999999999</v>
      </c>
      <c r="K85" t="s">
        <v>88</v>
      </c>
      <c r="L85">
        <v>13.29</v>
      </c>
      <c r="M85">
        <v>8.7265999999999995</v>
      </c>
      <c r="N85">
        <v>7.75</v>
      </c>
      <c r="O85">
        <v>1</v>
      </c>
      <c r="P85">
        <v>0.1</v>
      </c>
      <c r="Q85">
        <v>1</v>
      </c>
      <c r="R85">
        <v>0.1</v>
      </c>
      <c r="S85">
        <v>1</v>
      </c>
      <c r="T85">
        <v>0.12</v>
      </c>
    </row>
    <row r="86" spans="1:20">
      <c r="A86">
        <v>85</v>
      </c>
      <c r="B86">
        <v>187469.734</v>
      </c>
      <c r="C86">
        <v>419617.353</v>
      </c>
      <c r="D86" t="s">
        <v>74</v>
      </c>
      <c r="E86">
        <v>1442.1369999999999</v>
      </c>
      <c r="F86">
        <v>9</v>
      </c>
      <c r="G86" t="s">
        <v>71</v>
      </c>
      <c r="H86">
        <v>63.052</v>
      </c>
      <c r="I86">
        <v>35.661999999999999</v>
      </c>
      <c r="J86">
        <v>8.3759999999999994</v>
      </c>
      <c r="K86" t="s">
        <v>88</v>
      </c>
      <c r="L86">
        <v>13.29</v>
      </c>
      <c r="M86">
        <v>8.6908999999999992</v>
      </c>
      <c r="N86">
        <v>7.75</v>
      </c>
      <c r="O86">
        <v>1</v>
      </c>
      <c r="P86">
        <v>0.1</v>
      </c>
      <c r="Q86">
        <v>1</v>
      </c>
      <c r="R86">
        <v>0.1</v>
      </c>
      <c r="S86">
        <v>1</v>
      </c>
      <c r="T86">
        <v>0.12</v>
      </c>
    </row>
    <row r="87" spans="1:20">
      <c r="A87">
        <v>86</v>
      </c>
      <c r="B87">
        <v>187507.18100000001</v>
      </c>
      <c r="C87">
        <v>419604.24699999997</v>
      </c>
      <c r="D87" t="s">
        <v>72</v>
      </c>
      <c r="E87">
        <v>1412.019</v>
      </c>
      <c r="F87">
        <v>9</v>
      </c>
      <c r="G87" t="s">
        <v>71</v>
      </c>
      <c r="H87">
        <v>93.143000000000001</v>
      </c>
      <c r="I87">
        <v>61.935000000000002</v>
      </c>
      <c r="J87">
        <v>34.829000000000001</v>
      </c>
      <c r="K87" t="s">
        <v>88</v>
      </c>
      <c r="L87">
        <v>13.29</v>
      </c>
      <c r="M87">
        <v>9.3066999999999993</v>
      </c>
      <c r="N87">
        <v>7.75</v>
      </c>
      <c r="O87">
        <v>1</v>
      </c>
      <c r="P87">
        <v>0.1</v>
      </c>
      <c r="Q87">
        <v>1</v>
      </c>
      <c r="R87">
        <v>0.1</v>
      </c>
      <c r="S87">
        <v>1</v>
      </c>
      <c r="T87">
        <v>0.12</v>
      </c>
    </row>
    <row r="88" spans="1:20">
      <c r="A88">
        <v>87</v>
      </c>
      <c r="B88">
        <v>187522.72099999999</v>
      </c>
      <c r="C88">
        <v>419584.21299999999</v>
      </c>
      <c r="D88" t="s">
        <v>72</v>
      </c>
      <c r="E88">
        <v>1385.58</v>
      </c>
      <c r="F88">
        <v>9</v>
      </c>
      <c r="G88" t="s">
        <v>71</v>
      </c>
      <c r="H88">
        <v>100.02</v>
      </c>
      <c r="I88">
        <v>65.218999999999994</v>
      </c>
      <c r="J88">
        <v>38.756</v>
      </c>
      <c r="K88" t="s">
        <v>88</v>
      </c>
      <c r="L88">
        <v>13.29</v>
      </c>
      <c r="M88">
        <v>9.4048999999999996</v>
      </c>
      <c r="N88">
        <v>7.75</v>
      </c>
      <c r="O88">
        <v>1</v>
      </c>
      <c r="P88">
        <v>0.1</v>
      </c>
      <c r="Q88">
        <v>1</v>
      </c>
      <c r="R88">
        <v>0.1</v>
      </c>
      <c r="S88">
        <v>1</v>
      </c>
      <c r="T88">
        <v>0.12</v>
      </c>
    </row>
    <row r="89" spans="1:20">
      <c r="A89">
        <v>88</v>
      </c>
      <c r="B89">
        <v>187533.76800000001</v>
      </c>
      <c r="C89">
        <v>419562.12</v>
      </c>
      <c r="D89" t="s">
        <v>72</v>
      </c>
      <c r="E89">
        <v>1359.9880000000001</v>
      </c>
      <c r="F89">
        <v>9</v>
      </c>
      <c r="G89" t="s">
        <v>71</v>
      </c>
      <c r="H89">
        <v>101.854</v>
      </c>
      <c r="I89">
        <v>63.069000000000003</v>
      </c>
      <c r="J89">
        <v>37.752000000000002</v>
      </c>
      <c r="K89" t="s">
        <v>88</v>
      </c>
      <c r="L89">
        <v>13.29</v>
      </c>
      <c r="M89">
        <v>9.4594000000000005</v>
      </c>
      <c r="N89">
        <v>7.75</v>
      </c>
      <c r="O89">
        <v>1</v>
      </c>
      <c r="P89">
        <v>0.1</v>
      </c>
      <c r="Q89">
        <v>1</v>
      </c>
      <c r="R89">
        <v>0.1</v>
      </c>
      <c r="S89">
        <v>1</v>
      </c>
      <c r="T89">
        <v>0.12</v>
      </c>
    </row>
    <row r="90" spans="1:20">
      <c r="A90">
        <v>89</v>
      </c>
      <c r="B90">
        <v>187546.87400000001</v>
      </c>
      <c r="C90">
        <v>419539.09</v>
      </c>
      <c r="D90" t="s">
        <v>72</v>
      </c>
      <c r="E90">
        <v>1331.779</v>
      </c>
      <c r="F90">
        <v>9</v>
      </c>
      <c r="G90" t="s">
        <v>71</v>
      </c>
      <c r="H90">
        <v>105.548</v>
      </c>
      <c r="I90">
        <v>62.183</v>
      </c>
      <c r="J90">
        <v>27.361999999999998</v>
      </c>
      <c r="K90" t="s">
        <v>87</v>
      </c>
      <c r="L90">
        <v>13.29</v>
      </c>
      <c r="M90">
        <v>9.5521999999999991</v>
      </c>
      <c r="N90">
        <v>7.75</v>
      </c>
      <c r="O90">
        <v>1</v>
      </c>
      <c r="P90">
        <v>0.1</v>
      </c>
      <c r="Q90">
        <v>1</v>
      </c>
      <c r="R90">
        <v>0.1</v>
      </c>
      <c r="S90">
        <v>1</v>
      </c>
      <c r="T90">
        <v>0.12</v>
      </c>
    </row>
    <row r="91" spans="1:20">
      <c r="A91">
        <v>90</v>
      </c>
      <c r="B91">
        <v>187501.182</v>
      </c>
      <c r="C91">
        <v>419626.10100000002</v>
      </c>
      <c r="D91" t="s">
        <v>72</v>
      </c>
      <c r="E91">
        <v>1433.96</v>
      </c>
      <c r="F91">
        <v>9</v>
      </c>
      <c r="G91" t="s">
        <v>71</v>
      </c>
      <c r="H91">
        <v>95.525000000000006</v>
      </c>
      <c r="I91">
        <v>67.375</v>
      </c>
      <c r="J91">
        <v>40.136000000000003</v>
      </c>
      <c r="K91" t="s">
        <v>88</v>
      </c>
      <c r="L91">
        <v>13.29</v>
      </c>
      <c r="M91">
        <v>8.8773999999999997</v>
      </c>
      <c r="N91">
        <v>7.75</v>
      </c>
      <c r="O91">
        <v>1</v>
      </c>
      <c r="P91">
        <v>0.1</v>
      </c>
      <c r="Q91">
        <v>1</v>
      </c>
      <c r="R91">
        <v>0.1</v>
      </c>
      <c r="S91">
        <v>1</v>
      </c>
      <c r="T91">
        <v>0.12</v>
      </c>
    </row>
    <row r="92" spans="1:20">
      <c r="A92">
        <v>91</v>
      </c>
      <c r="B92">
        <v>187459.96</v>
      </c>
      <c r="C92">
        <v>419634.609</v>
      </c>
      <c r="D92" t="s">
        <v>74</v>
      </c>
      <c r="E92">
        <v>1462.4069999999999</v>
      </c>
      <c r="F92">
        <v>9</v>
      </c>
      <c r="G92" t="s">
        <v>71</v>
      </c>
      <c r="H92">
        <v>60.241999999999997</v>
      </c>
      <c r="I92">
        <v>35.561999999999998</v>
      </c>
      <c r="J92">
        <v>7.7350000000000003</v>
      </c>
      <c r="K92" t="s">
        <v>88</v>
      </c>
      <c r="L92">
        <v>13.29</v>
      </c>
      <c r="M92">
        <v>8.7820999999999998</v>
      </c>
      <c r="N92">
        <v>7.75</v>
      </c>
      <c r="O92">
        <v>1</v>
      </c>
      <c r="P92">
        <v>0.1</v>
      </c>
      <c r="Q92">
        <v>1</v>
      </c>
      <c r="R92">
        <v>0.1</v>
      </c>
      <c r="S92">
        <v>1</v>
      </c>
      <c r="T92">
        <v>0.12</v>
      </c>
    </row>
    <row r="93" spans="1:20">
      <c r="A93">
        <v>92</v>
      </c>
      <c r="B93">
        <v>187451.33300000001</v>
      </c>
      <c r="C93">
        <v>419652.34299999999</v>
      </c>
      <c r="D93" t="s">
        <v>74</v>
      </c>
      <c r="E93">
        <v>1482.5709999999999</v>
      </c>
      <c r="F93">
        <v>9</v>
      </c>
      <c r="G93" t="s">
        <v>71</v>
      </c>
      <c r="H93">
        <v>58.673999999999999</v>
      </c>
      <c r="I93">
        <v>36.697000000000003</v>
      </c>
      <c r="J93">
        <v>8.2720000000000002</v>
      </c>
      <c r="K93" t="s">
        <v>89</v>
      </c>
      <c r="L93">
        <v>13.29</v>
      </c>
      <c r="M93">
        <v>8.6329999999999991</v>
      </c>
      <c r="N93">
        <v>7.75</v>
      </c>
      <c r="O93">
        <v>1</v>
      </c>
      <c r="P93">
        <v>0.1</v>
      </c>
      <c r="Q93">
        <v>1</v>
      </c>
      <c r="R93">
        <v>0.1</v>
      </c>
      <c r="S93">
        <v>1</v>
      </c>
      <c r="T93">
        <v>0.12</v>
      </c>
    </row>
    <row r="94" spans="1:20">
      <c r="A94">
        <v>93</v>
      </c>
      <c r="B94">
        <v>187443.90299999999</v>
      </c>
      <c r="C94">
        <v>419666.84299999999</v>
      </c>
      <c r="D94" t="s">
        <v>74</v>
      </c>
      <c r="E94">
        <v>1498.367</v>
      </c>
      <c r="F94">
        <v>9</v>
      </c>
      <c r="G94" t="s">
        <v>71</v>
      </c>
      <c r="H94">
        <v>57.042000000000002</v>
      </c>
      <c r="I94">
        <v>36.551000000000002</v>
      </c>
      <c r="J94">
        <v>8.3780000000000001</v>
      </c>
      <c r="K94" t="s">
        <v>89</v>
      </c>
      <c r="L94">
        <v>13.29</v>
      </c>
      <c r="M94">
        <v>8.5892999999999997</v>
      </c>
      <c r="N94">
        <v>7.75</v>
      </c>
      <c r="O94">
        <v>1</v>
      </c>
      <c r="P94">
        <v>0.1</v>
      </c>
      <c r="Q94">
        <v>1</v>
      </c>
      <c r="R94">
        <v>0.1</v>
      </c>
      <c r="S94">
        <v>1</v>
      </c>
      <c r="T94">
        <v>0.12</v>
      </c>
    </row>
    <row r="95" spans="1:20">
      <c r="A95">
        <v>94</v>
      </c>
      <c r="B95">
        <v>187436.47399999999</v>
      </c>
      <c r="C95">
        <v>419680.50300000003</v>
      </c>
      <c r="D95" t="s">
        <v>74</v>
      </c>
      <c r="E95">
        <v>1513.9159999999999</v>
      </c>
      <c r="F95">
        <v>9</v>
      </c>
      <c r="G95" t="s">
        <v>71</v>
      </c>
      <c r="H95">
        <v>55.103999999999999</v>
      </c>
      <c r="I95">
        <v>35.68</v>
      </c>
      <c r="J95">
        <v>8.0960000000000001</v>
      </c>
      <c r="K95" t="s">
        <v>89</v>
      </c>
      <c r="L95">
        <v>13.29</v>
      </c>
      <c r="M95">
        <v>8.6798000000000002</v>
      </c>
      <c r="N95">
        <v>7.75</v>
      </c>
      <c r="O95">
        <v>1</v>
      </c>
      <c r="P95">
        <v>0.1</v>
      </c>
      <c r="Q95">
        <v>1</v>
      </c>
      <c r="R95">
        <v>0.1</v>
      </c>
      <c r="S95">
        <v>1</v>
      </c>
      <c r="T95">
        <v>0.12</v>
      </c>
    </row>
    <row r="96" spans="1:20">
      <c r="A96">
        <v>95</v>
      </c>
      <c r="B96">
        <v>187479.97200000001</v>
      </c>
      <c r="C96">
        <v>419681.58199999999</v>
      </c>
      <c r="D96" t="s">
        <v>72</v>
      </c>
      <c r="E96">
        <v>1495.748</v>
      </c>
      <c r="F96">
        <v>9</v>
      </c>
      <c r="G96" t="s">
        <v>71</v>
      </c>
      <c r="H96">
        <v>96.001999999999995</v>
      </c>
      <c r="I96">
        <v>75.457999999999998</v>
      </c>
      <c r="J96">
        <v>47.176000000000002</v>
      </c>
      <c r="K96" t="s">
        <v>89</v>
      </c>
      <c r="L96">
        <v>13.29</v>
      </c>
      <c r="M96">
        <v>8.9077999999999999</v>
      </c>
      <c r="N96">
        <v>7.75</v>
      </c>
      <c r="O96">
        <v>1</v>
      </c>
      <c r="P96">
        <v>0.1</v>
      </c>
      <c r="Q96">
        <v>1</v>
      </c>
      <c r="R96">
        <v>0.1</v>
      </c>
      <c r="S96">
        <v>1</v>
      </c>
      <c r="T96">
        <v>0.12</v>
      </c>
    </row>
    <row r="97" spans="1:20">
      <c r="A97">
        <v>96</v>
      </c>
      <c r="B97">
        <v>187502.14</v>
      </c>
      <c r="C97">
        <v>419689.25099999999</v>
      </c>
      <c r="D97" t="s">
        <v>72</v>
      </c>
      <c r="E97">
        <v>1492.5930000000001</v>
      </c>
      <c r="F97">
        <v>9</v>
      </c>
      <c r="G97" t="s">
        <v>71</v>
      </c>
      <c r="H97">
        <v>119.44</v>
      </c>
      <c r="I97">
        <v>98.775999999999996</v>
      </c>
      <c r="J97">
        <v>70.381</v>
      </c>
      <c r="K97" t="s">
        <v>89</v>
      </c>
      <c r="L97">
        <v>13.29</v>
      </c>
      <c r="M97">
        <v>8.5473999999999997</v>
      </c>
      <c r="N97">
        <v>7.75</v>
      </c>
      <c r="O97">
        <v>1</v>
      </c>
      <c r="P97">
        <v>0.1</v>
      </c>
      <c r="Q97">
        <v>1</v>
      </c>
      <c r="R97">
        <v>0.1</v>
      </c>
      <c r="S97">
        <v>1</v>
      </c>
      <c r="T97">
        <v>0.12</v>
      </c>
    </row>
    <row r="98" spans="1:20">
      <c r="A98">
        <v>97</v>
      </c>
      <c r="B98">
        <v>187524.788</v>
      </c>
      <c r="C98">
        <v>419634.489</v>
      </c>
      <c r="D98" t="s">
        <v>72</v>
      </c>
      <c r="E98">
        <v>1429.615</v>
      </c>
      <c r="F98">
        <v>9</v>
      </c>
      <c r="G98" t="s">
        <v>71</v>
      </c>
      <c r="H98">
        <v>120.56399999999999</v>
      </c>
      <c r="I98">
        <v>92.070999999999998</v>
      </c>
      <c r="J98">
        <v>64.856999999999999</v>
      </c>
      <c r="K98" t="s">
        <v>88</v>
      </c>
      <c r="L98">
        <v>13.29</v>
      </c>
      <c r="M98">
        <v>8.7873999999999999</v>
      </c>
      <c r="N98">
        <v>7.75</v>
      </c>
      <c r="O98">
        <v>1</v>
      </c>
      <c r="P98">
        <v>0.1</v>
      </c>
      <c r="Q98">
        <v>1</v>
      </c>
      <c r="R98">
        <v>0.1</v>
      </c>
      <c r="S98">
        <v>1</v>
      </c>
      <c r="T98">
        <v>0.12</v>
      </c>
    </row>
    <row r="99" spans="1:20">
      <c r="A99">
        <v>98</v>
      </c>
      <c r="B99">
        <v>187432.52</v>
      </c>
      <c r="C99">
        <v>419689.73</v>
      </c>
      <c r="D99" t="s">
        <v>74</v>
      </c>
      <c r="E99">
        <v>1524.9290000000001</v>
      </c>
      <c r="F99">
        <v>9</v>
      </c>
      <c r="G99" t="s">
        <v>71</v>
      </c>
      <c r="H99">
        <v>54.786000000000001</v>
      </c>
      <c r="I99">
        <v>36.054000000000002</v>
      </c>
      <c r="J99">
        <v>8.9260000000000002</v>
      </c>
      <c r="K99" t="s">
        <v>89</v>
      </c>
      <c r="L99">
        <v>13.29</v>
      </c>
      <c r="M99">
        <v>8.7263000000000002</v>
      </c>
      <c r="N99">
        <v>7.75</v>
      </c>
      <c r="O99">
        <v>1</v>
      </c>
      <c r="P99">
        <v>0.1</v>
      </c>
      <c r="Q99">
        <v>1</v>
      </c>
      <c r="R99">
        <v>0.1</v>
      </c>
      <c r="S99">
        <v>1</v>
      </c>
      <c r="T99">
        <v>0.12</v>
      </c>
    </row>
    <row r="100" spans="1:20">
      <c r="A100">
        <v>100</v>
      </c>
      <c r="B100">
        <v>187474.58</v>
      </c>
      <c r="C100">
        <v>419641.679</v>
      </c>
      <c r="D100" t="s">
        <v>72</v>
      </c>
      <c r="E100">
        <v>1462.16</v>
      </c>
      <c r="F100">
        <v>9</v>
      </c>
      <c r="G100" t="s">
        <v>71</v>
      </c>
      <c r="H100">
        <v>76.433000000000007</v>
      </c>
      <c r="I100">
        <v>51.771999999999998</v>
      </c>
      <c r="J100">
        <v>23.966999999999999</v>
      </c>
      <c r="K100" t="s">
        <v>88</v>
      </c>
      <c r="L100">
        <v>13.29</v>
      </c>
      <c r="M100">
        <v>9.1720000000000006</v>
      </c>
      <c r="N100">
        <v>7.75</v>
      </c>
      <c r="O100">
        <v>1</v>
      </c>
      <c r="P100">
        <v>0.1</v>
      </c>
      <c r="Q100">
        <v>1</v>
      </c>
      <c r="R100">
        <v>0.1</v>
      </c>
      <c r="S100">
        <v>1</v>
      </c>
      <c r="T100">
        <v>0.12</v>
      </c>
    </row>
    <row r="101" spans="1:20">
      <c r="A101">
        <v>101</v>
      </c>
      <c r="B101">
        <v>187452.41099999999</v>
      </c>
      <c r="C101">
        <v>419687.45299999998</v>
      </c>
      <c r="D101" t="s">
        <v>72</v>
      </c>
      <c r="E101">
        <v>1512.579</v>
      </c>
      <c r="F101">
        <v>9</v>
      </c>
      <c r="G101" t="s">
        <v>71</v>
      </c>
      <c r="H101">
        <v>72.478999999999999</v>
      </c>
      <c r="I101">
        <v>53.058999999999997</v>
      </c>
      <c r="J101">
        <v>25.442</v>
      </c>
      <c r="K101" t="s">
        <v>89</v>
      </c>
      <c r="L101">
        <v>13.29</v>
      </c>
      <c r="M101">
        <v>9.0852000000000004</v>
      </c>
      <c r="N101">
        <v>7.75</v>
      </c>
      <c r="O101">
        <v>1</v>
      </c>
      <c r="P101">
        <v>0.1</v>
      </c>
      <c r="Q101">
        <v>1</v>
      </c>
      <c r="R101">
        <v>0.1</v>
      </c>
      <c r="S101">
        <v>1</v>
      </c>
      <c r="T101">
        <v>0.12</v>
      </c>
    </row>
    <row r="102" spans="1:20">
      <c r="A102">
        <v>102</v>
      </c>
      <c r="B102">
        <v>187467.39</v>
      </c>
      <c r="C102">
        <v>419658.81400000001</v>
      </c>
      <c r="D102" t="s">
        <v>72</v>
      </c>
      <c r="E102">
        <v>1481.1030000000001</v>
      </c>
      <c r="F102">
        <v>9</v>
      </c>
      <c r="G102" t="s">
        <v>71</v>
      </c>
      <c r="H102">
        <v>75.984999999999999</v>
      </c>
      <c r="I102">
        <v>53.869</v>
      </c>
      <c r="J102">
        <v>25.503</v>
      </c>
      <c r="K102" t="s">
        <v>89</v>
      </c>
      <c r="L102">
        <v>13.29</v>
      </c>
      <c r="M102">
        <v>9.1880000000000006</v>
      </c>
      <c r="N102">
        <v>7.75</v>
      </c>
      <c r="O102">
        <v>1</v>
      </c>
      <c r="P102">
        <v>0.1</v>
      </c>
      <c r="Q102">
        <v>1</v>
      </c>
      <c r="R102">
        <v>0.1</v>
      </c>
      <c r="S102">
        <v>1</v>
      </c>
      <c r="T102">
        <v>0.12</v>
      </c>
    </row>
    <row r="103" spans="1:20">
      <c r="A103">
        <v>103</v>
      </c>
      <c r="B103">
        <v>187447.019</v>
      </c>
      <c r="C103">
        <v>419699.67599999998</v>
      </c>
      <c r="D103" t="s">
        <v>72</v>
      </c>
      <c r="E103">
        <v>1527.6120000000001</v>
      </c>
      <c r="F103">
        <v>9</v>
      </c>
      <c r="G103" t="s">
        <v>71</v>
      </c>
      <c r="H103">
        <v>71.912999999999997</v>
      </c>
      <c r="I103">
        <v>53.414000000000001</v>
      </c>
      <c r="J103">
        <v>26.507999999999999</v>
      </c>
      <c r="K103" t="s">
        <v>89</v>
      </c>
      <c r="L103">
        <v>13.29</v>
      </c>
      <c r="M103">
        <v>9.2014999999999993</v>
      </c>
      <c r="N103">
        <v>7.75</v>
      </c>
      <c r="O103">
        <v>1</v>
      </c>
      <c r="P103">
        <v>0.1</v>
      </c>
      <c r="Q103">
        <v>1</v>
      </c>
      <c r="R103">
        <v>0.1</v>
      </c>
      <c r="S103">
        <v>1</v>
      </c>
      <c r="T103">
        <v>0.12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tabSelected="1" workbookViewId="0">
      <selection activeCell="A56" sqref="A56:XFD535"/>
    </sheetView>
  </sheetViews>
  <sheetFormatPr defaultRowHeight="15"/>
  <cols>
    <col min="1" max="1" width="26" bestFit="1" customWidth="1"/>
    <col min="2" max="2" width="10.7109375" bestFit="1" customWidth="1"/>
    <col min="3" max="3" width="15" bestFit="1" customWidth="1"/>
    <col min="4" max="4" width="15.5703125" customWidth="1"/>
    <col min="5" max="5" width="14.7109375" customWidth="1"/>
    <col min="6" max="6" width="17.28515625" customWidth="1"/>
    <col min="7" max="7" width="17.140625" customWidth="1"/>
    <col min="8" max="8" width="27" customWidth="1"/>
    <col min="9" max="9" width="26.85546875" customWidth="1"/>
    <col min="10" max="10" width="15.140625" customWidth="1"/>
    <col min="11" max="11" width="15" customWidth="1"/>
    <col min="12" max="12" width="16.140625" customWidth="1"/>
    <col min="13" max="13" width="13" customWidth="1"/>
    <col min="14" max="14" width="14.85546875" customWidth="1"/>
    <col min="15" max="15" width="12.28515625" customWidth="1"/>
  </cols>
  <sheetData>
    <row r="1" spans="1:16">
      <c r="A1" s="1" t="s">
        <v>25</v>
      </c>
      <c r="B1" s="1" t="s">
        <v>0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</row>
    <row r="2" spans="1:16">
      <c r="A2">
        <v>1</v>
      </c>
      <c r="B2">
        <v>1</v>
      </c>
      <c r="C2">
        <v>1</v>
      </c>
      <c r="D2" t="s">
        <v>90</v>
      </c>
      <c r="E2">
        <v>0.5</v>
      </c>
      <c r="F2">
        <v>9.35</v>
      </c>
      <c r="G2">
        <v>0.5</v>
      </c>
      <c r="H2">
        <v>18.5</v>
      </c>
      <c r="I2">
        <v>0.92500000000000004</v>
      </c>
      <c r="J2">
        <v>10.5</v>
      </c>
      <c r="K2">
        <v>0.5</v>
      </c>
      <c r="L2">
        <f>Ondergrondscenarios[[#This Row],[k_wvp_mean]]*Ondergrondscenarios[[#This Row],[D_wvp_mean]]</f>
        <v>588</v>
      </c>
      <c r="M2">
        <v>0.39</v>
      </c>
      <c r="N2">
        <v>56</v>
      </c>
      <c r="O2" s="2">
        <v>4.4999999999999999E-4</v>
      </c>
      <c r="P2">
        <v>0.12</v>
      </c>
    </row>
    <row r="3" spans="1:16">
      <c r="A3">
        <v>2</v>
      </c>
      <c r="B3">
        <v>1</v>
      </c>
      <c r="C3">
        <v>2</v>
      </c>
      <c r="D3" t="s">
        <v>91</v>
      </c>
      <c r="E3">
        <v>0.5</v>
      </c>
      <c r="F3">
        <v>9.35</v>
      </c>
      <c r="G3">
        <v>0.5</v>
      </c>
      <c r="H3">
        <v>18.5</v>
      </c>
      <c r="I3">
        <v>0.92500000000000004</v>
      </c>
      <c r="J3">
        <v>11.8</v>
      </c>
      <c r="K3">
        <v>0.5</v>
      </c>
      <c r="L3">
        <f>Ondergrondscenarios[[#This Row],[k_wvp_mean]]*Ondergrondscenarios[[#This Row],[D_wvp_mean]]</f>
        <v>613.6</v>
      </c>
      <c r="M3">
        <v>0.35</v>
      </c>
      <c r="N3">
        <v>52</v>
      </c>
      <c r="O3" s="2">
        <v>4.4999999999999999E-4</v>
      </c>
      <c r="P3">
        <v>0.12</v>
      </c>
    </row>
    <row r="4" spans="1:16">
      <c r="A4">
        <v>3</v>
      </c>
      <c r="B4">
        <v>1</v>
      </c>
      <c r="C4">
        <v>3</v>
      </c>
      <c r="D4" t="s">
        <v>92</v>
      </c>
      <c r="E4">
        <v>0</v>
      </c>
      <c r="F4">
        <v>9.35</v>
      </c>
      <c r="G4">
        <v>0.5</v>
      </c>
      <c r="H4">
        <v>18.5</v>
      </c>
      <c r="I4">
        <v>0.92500000000000004</v>
      </c>
      <c r="K4">
        <v>0.5</v>
      </c>
      <c r="L4">
        <f>Ondergrondscenarios[[#This Row],[k_wvp_mean]]*Ondergrondscenarios[[#This Row],[D_wvp_mean]]</f>
        <v>0</v>
      </c>
      <c r="O4" s="2">
        <v>4.4999999999999999E-4</v>
      </c>
      <c r="P4">
        <v>0.12</v>
      </c>
    </row>
    <row r="5" spans="1:16">
      <c r="A5">
        <v>4</v>
      </c>
      <c r="B5">
        <v>1</v>
      </c>
      <c r="C5">
        <v>4</v>
      </c>
      <c r="E5">
        <v>0</v>
      </c>
      <c r="F5">
        <v>9.35</v>
      </c>
      <c r="G5">
        <v>0.5</v>
      </c>
      <c r="H5">
        <v>18.5</v>
      </c>
      <c r="I5">
        <v>0.92500000000000004</v>
      </c>
      <c r="K5">
        <v>0.5</v>
      </c>
      <c r="L5">
        <f>Ondergrondscenarios[[#This Row],[k_wvp_mean]]*Ondergrondscenarios[[#This Row],[D_wvp_mean]]</f>
        <v>0</v>
      </c>
      <c r="O5" s="2"/>
      <c r="P5">
        <v>0.12</v>
      </c>
    </row>
    <row r="6" spans="1:16">
      <c r="A6">
        <v>5</v>
      </c>
      <c r="B6">
        <v>1</v>
      </c>
      <c r="C6">
        <v>5</v>
      </c>
      <c r="E6">
        <v>0</v>
      </c>
      <c r="F6">
        <v>9.35</v>
      </c>
      <c r="G6">
        <v>0.5</v>
      </c>
      <c r="H6">
        <v>18.5</v>
      </c>
      <c r="I6">
        <v>0.92500000000000004</v>
      </c>
      <c r="K6">
        <v>0.5</v>
      </c>
      <c r="L6">
        <f>Ondergrondscenarios[[#This Row],[k_wvp_mean]]*Ondergrondscenarios[[#This Row],[D_wvp_mean]]</f>
        <v>0</v>
      </c>
      <c r="O6" s="2"/>
      <c r="P6">
        <v>0.12</v>
      </c>
    </row>
    <row r="7" spans="1:16">
      <c r="A7">
        <v>6</v>
      </c>
      <c r="B7">
        <v>1</v>
      </c>
      <c r="C7">
        <v>6</v>
      </c>
      <c r="E7">
        <v>0</v>
      </c>
      <c r="F7">
        <v>9.35</v>
      </c>
      <c r="G7">
        <v>0.5</v>
      </c>
      <c r="H7">
        <v>18.5</v>
      </c>
      <c r="I7">
        <v>0.92500000000000004</v>
      </c>
      <c r="K7">
        <v>0.5</v>
      </c>
      <c r="L7">
        <f>Ondergrondscenarios[[#This Row],[k_wvp_mean]]*Ondergrondscenarios[[#This Row],[D_wvp_mean]]</f>
        <v>0</v>
      </c>
      <c r="O7" s="2"/>
      <c r="P7">
        <v>0.12</v>
      </c>
    </row>
    <row r="8" spans="1:16">
      <c r="A8">
        <v>7</v>
      </c>
      <c r="B8">
        <v>2</v>
      </c>
      <c r="C8">
        <v>1</v>
      </c>
      <c r="D8" t="s">
        <v>90</v>
      </c>
      <c r="E8">
        <v>0.5</v>
      </c>
      <c r="F8">
        <v>9.35</v>
      </c>
      <c r="G8">
        <v>0.5</v>
      </c>
      <c r="H8">
        <v>18.5</v>
      </c>
      <c r="I8">
        <v>0.92500000000000004</v>
      </c>
      <c r="J8">
        <v>11</v>
      </c>
      <c r="K8">
        <v>0.5</v>
      </c>
      <c r="L8">
        <f>Ondergrondscenarios[[#This Row],[k_wvp_mean]]*Ondergrondscenarios[[#This Row],[D_wvp_mean]]</f>
        <v>616</v>
      </c>
      <c r="M8">
        <v>0.39</v>
      </c>
      <c r="N8">
        <v>56</v>
      </c>
      <c r="O8" s="2">
        <v>4.4999999999999999E-4</v>
      </c>
      <c r="P8">
        <v>0.12</v>
      </c>
    </row>
    <row r="9" spans="1:16">
      <c r="A9">
        <v>8</v>
      </c>
      <c r="B9">
        <v>2</v>
      </c>
      <c r="C9">
        <v>2</v>
      </c>
      <c r="D9" t="s">
        <v>91</v>
      </c>
      <c r="E9">
        <v>0.5</v>
      </c>
      <c r="F9">
        <v>9.35</v>
      </c>
      <c r="G9">
        <v>0.5</v>
      </c>
      <c r="H9">
        <v>18.5</v>
      </c>
      <c r="I9">
        <v>0.92500000000000004</v>
      </c>
      <c r="J9">
        <v>12.5</v>
      </c>
      <c r="K9">
        <v>0.5</v>
      </c>
      <c r="L9">
        <f>Ondergrondscenarios[[#This Row],[k_wvp_mean]]*Ondergrondscenarios[[#This Row],[D_wvp_mean]]</f>
        <v>650</v>
      </c>
      <c r="M9">
        <v>0.35</v>
      </c>
      <c r="N9">
        <v>52</v>
      </c>
      <c r="O9" s="2">
        <v>4.4999999999999999E-4</v>
      </c>
      <c r="P9">
        <v>0.12</v>
      </c>
    </row>
    <row r="10" spans="1:16">
      <c r="A10">
        <v>9</v>
      </c>
      <c r="B10">
        <v>2</v>
      </c>
      <c r="C10">
        <v>3</v>
      </c>
      <c r="D10" t="s">
        <v>92</v>
      </c>
      <c r="E10">
        <v>0</v>
      </c>
      <c r="F10">
        <v>9.35</v>
      </c>
      <c r="G10">
        <v>0.5</v>
      </c>
      <c r="H10">
        <v>18.5</v>
      </c>
      <c r="I10">
        <v>0.92500000000000004</v>
      </c>
      <c r="K10">
        <v>0.5</v>
      </c>
      <c r="L10">
        <f>Ondergrondscenarios[[#This Row],[k_wvp_mean]]*Ondergrondscenarios[[#This Row],[D_wvp_mean]]</f>
        <v>0</v>
      </c>
      <c r="O10" s="2">
        <v>4.4999999999999999E-4</v>
      </c>
      <c r="P10">
        <v>0.12</v>
      </c>
    </row>
    <row r="11" spans="1:16">
      <c r="A11">
        <v>10</v>
      </c>
      <c r="B11">
        <v>2</v>
      </c>
      <c r="C11">
        <v>4</v>
      </c>
      <c r="E11">
        <v>0</v>
      </c>
      <c r="F11">
        <v>9.35</v>
      </c>
      <c r="G11">
        <v>0.5</v>
      </c>
      <c r="H11">
        <v>18.5</v>
      </c>
      <c r="I11">
        <v>0.92500000000000004</v>
      </c>
      <c r="K11">
        <v>0.5</v>
      </c>
      <c r="L11">
        <f>Ondergrondscenarios[[#This Row],[k_wvp_mean]]*Ondergrondscenarios[[#This Row],[D_wvp_mean]]</f>
        <v>0</v>
      </c>
      <c r="O11" s="2"/>
      <c r="P11">
        <v>0.12</v>
      </c>
    </row>
    <row r="12" spans="1:16">
      <c r="A12">
        <v>11</v>
      </c>
      <c r="B12">
        <v>2</v>
      </c>
      <c r="C12">
        <v>5</v>
      </c>
      <c r="E12">
        <v>0</v>
      </c>
      <c r="F12">
        <v>9.35</v>
      </c>
      <c r="G12">
        <v>0.5</v>
      </c>
      <c r="H12">
        <v>18.5</v>
      </c>
      <c r="I12">
        <v>0.92500000000000004</v>
      </c>
      <c r="K12">
        <v>0.5</v>
      </c>
      <c r="L12">
        <f>Ondergrondscenarios[[#This Row],[k_wvp_mean]]*Ondergrondscenarios[[#This Row],[D_wvp_mean]]</f>
        <v>0</v>
      </c>
      <c r="O12" s="2"/>
      <c r="P12">
        <v>0.12</v>
      </c>
    </row>
    <row r="13" spans="1:16">
      <c r="A13">
        <v>12</v>
      </c>
      <c r="B13">
        <v>2</v>
      </c>
      <c r="C13">
        <v>6</v>
      </c>
      <c r="E13">
        <v>0</v>
      </c>
      <c r="F13">
        <v>9.35</v>
      </c>
      <c r="G13">
        <v>0.5</v>
      </c>
      <c r="H13">
        <v>18.5</v>
      </c>
      <c r="I13">
        <v>0.92500000000000004</v>
      </c>
      <c r="K13">
        <v>0.5</v>
      </c>
      <c r="L13">
        <f>Ondergrondscenarios[[#This Row],[k_wvp_mean]]*Ondergrondscenarios[[#This Row],[D_wvp_mean]]</f>
        <v>0</v>
      </c>
      <c r="O13" s="2"/>
      <c r="P13">
        <v>0.12</v>
      </c>
    </row>
    <row r="14" spans="1:16">
      <c r="A14">
        <v>13</v>
      </c>
      <c r="B14">
        <v>3</v>
      </c>
      <c r="C14">
        <v>1</v>
      </c>
      <c r="D14" t="s">
        <v>90</v>
      </c>
      <c r="E14">
        <v>0.5</v>
      </c>
      <c r="F14">
        <v>9.35</v>
      </c>
      <c r="G14">
        <v>0.5</v>
      </c>
      <c r="H14">
        <v>18.5</v>
      </c>
      <c r="I14">
        <v>0.92500000000000004</v>
      </c>
      <c r="J14">
        <v>12</v>
      </c>
      <c r="K14">
        <v>0.5</v>
      </c>
      <c r="L14">
        <f>Ondergrondscenarios[[#This Row],[k_wvp_mean]]*Ondergrondscenarios[[#This Row],[D_wvp_mean]]</f>
        <v>672</v>
      </c>
      <c r="M14">
        <v>0.39</v>
      </c>
      <c r="N14">
        <v>56</v>
      </c>
      <c r="O14" s="2">
        <v>4.4999999999999999E-4</v>
      </c>
      <c r="P14">
        <v>0.12</v>
      </c>
    </row>
    <row r="15" spans="1:16">
      <c r="A15">
        <v>14</v>
      </c>
      <c r="B15">
        <v>3</v>
      </c>
      <c r="C15">
        <v>2</v>
      </c>
      <c r="D15" t="s">
        <v>91</v>
      </c>
      <c r="E15">
        <v>0.5</v>
      </c>
      <c r="F15">
        <v>9.35</v>
      </c>
      <c r="G15">
        <v>0.5</v>
      </c>
      <c r="H15">
        <v>18.5</v>
      </c>
      <c r="I15">
        <v>0.92500000000000004</v>
      </c>
      <c r="J15">
        <v>13.8</v>
      </c>
      <c r="K15">
        <v>0.5</v>
      </c>
      <c r="L15">
        <f>Ondergrondscenarios[[#This Row],[k_wvp_mean]]*Ondergrondscenarios[[#This Row],[D_wvp_mean]]</f>
        <v>717.6</v>
      </c>
      <c r="M15">
        <v>0.35</v>
      </c>
      <c r="N15">
        <v>52</v>
      </c>
      <c r="O15" s="2">
        <v>4.4999999999999999E-4</v>
      </c>
      <c r="P15">
        <v>0.12</v>
      </c>
    </row>
    <row r="16" spans="1:16">
      <c r="A16">
        <v>15</v>
      </c>
      <c r="B16">
        <v>3</v>
      </c>
      <c r="C16">
        <v>3</v>
      </c>
      <c r="D16" t="s">
        <v>92</v>
      </c>
      <c r="E16">
        <v>0</v>
      </c>
      <c r="F16">
        <v>9.35</v>
      </c>
      <c r="G16">
        <v>0.5</v>
      </c>
      <c r="H16">
        <v>18.5</v>
      </c>
      <c r="I16">
        <v>0.92500000000000004</v>
      </c>
      <c r="K16">
        <v>0.5</v>
      </c>
      <c r="L16">
        <f>Ondergrondscenarios[[#This Row],[k_wvp_mean]]*Ondergrondscenarios[[#This Row],[D_wvp_mean]]</f>
        <v>0</v>
      </c>
      <c r="O16" s="2">
        <v>4.4999999999999999E-4</v>
      </c>
      <c r="P16">
        <v>0.12</v>
      </c>
    </row>
    <row r="17" spans="1:16">
      <c r="A17">
        <v>16</v>
      </c>
      <c r="B17">
        <v>3</v>
      </c>
      <c r="C17">
        <v>4</v>
      </c>
      <c r="E17">
        <v>0</v>
      </c>
      <c r="F17">
        <v>9.35</v>
      </c>
      <c r="G17">
        <v>0.5</v>
      </c>
      <c r="H17">
        <v>18.5</v>
      </c>
      <c r="I17">
        <v>0.92500000000000004</v>
      </c>
      <c r="K17">
        <v>0.5</v>
      </c>
      <c r="L17">
        <f>Ondergrondscenarios[[#This Row],[k_wvp_mean]]*Ondergrondscenarios[[#This Row],[D_wvp_mean]]</f>
        <v>0</v>
      </c>
      <c r="O17" s="2"/>
      <c r="P17">
        <v>0.12</v>
      </c>
    </row>
    <row r="18" spans="1:16">
      <c r="A18">
        <v>17</v>
      </c>
      <c r="B18">
        <v>3</v>
      </c>
      <c r="C18">
        <v>5</v>
      </c>
      <c r="E18">
        <v>0</v>
      </c>
      <c r="F18">
        <v>9.35</v>
      </c>
      <c r="G18">
        <v>0.5</v>
      </c>
      <c r="H18">
        <v>18.5</v>
      </c>
      <c r="I18">
        <v>0.92500000000000004</v>
      </c>
      <c r="K18">
        <v>0.5</v>
      </c>
      <c r="L18">
        <f>Ondergrondscenarios[[#This Row],[k_wvp_mean]]*Ondergrondscenarios[[#This Row],[D_wvp_mean]]</f>
        <v>0</v>
      </c>
      <c r="O18" s="2"/>
      <c r="P18">
        <v>0.12</v>
      </c>
    </row>
    <row r="19" spans="1:16">
      <c r="A19">
        <v>18</v>
      </c>
      <c r="B19">
        <v>3</v>
      </c>
      <c r="C19">
        <v>6</v>
      </c>
      <c r="E19">
        <v>0</v>
      </c>
      <c r="F19">
        <v>9.35</v>
      </c>
      <c r="G19">
        <v>0.5</v>
      </c>
      <c r="H19">
        <v>18.5</v>
      </c>
      <c r="I19">
        <v>0.92500000000000004</v>
      </c>
      <c r="K19">
        <v>0.5</v>
      </c>
      <c r="L19">
        <f>Ondergrondscenarios[[#This Row],[k_wvp_mean]]*Ondergrondscenarios[[#This Row],[D_wvp_mean]]</f>
        <v>0</v>
      </c>
      <c r="O19" s="2"/>
      <c r="P19">
        <v>0.12</v>
      </c>
    </row>
    <row r="20" spans="1:16">
      <c r="A20">
        <v>19</v>
      </c>
      <c r="B20">
        <v>4</v>
      </c>
      <c r="C20">
        <v>1</v>
      </c>
      <c r="D20" t="s">
        <v>90</v>
      </c>
      <c r="E20">
        <v>0.5</v>
      </c>
      <c r="F20">
        <v>9.35</v>
      </c>
      <c r="G20">
        <v>0.5</v>
      </c>
      <c r="H20">
        <v>18.5</v>
      </c>
      <c r="I20">
        <v>0.92500000000000004</v>
      </c>
      <c r="J20">
        <v>13</v>
      </c>
      <c r="K20">
        <v>0.5</v>
      </c>
      <c r="L20">
        <f>Ondergrondscenarios[[#This Row],[k_wvp_mean]]*Ondergrondscenarios[[#This Row],[D_wvp_mean]]</f>
        <v>728</v>
      </c>
      <c r="M20">
        <v>0.39</v>
      </c>
      <c r="N20">
        <v>56</v>
      </c>
      <c r="O20" s="2">
        <v>4.4999999999999999E-4</v>
      </c>
      <c r="P20">
        <v>0.12</v>
      </c>
    </row>
    <row r="21" spans="1:16">
      <c r="A21">
        <v>20</v>
      </c>
      <c r="B21">
        <v>4</v>
      </c>
      <c r="C21">
        <v>2</v>
      </c>
      <c r="D21" t="s">
        <v>91</v>
      </c>
      <c r="E21">
        <v>0.5</v>
      </c>
      <c r="F21">
        <v>9.35</v>
      </c>
      <c r="G21">
        <v>0.5</v>
      </c>
      <c r="H21">
        <v>18.5</v>
      </c>
      <c r="I21">
        <v>0.92500000000000004</v>
      </c>
      <c r="J21">
        <v>14.2</v>
      </c>
      <c r="K21">
        <v>0.5</v>
      </c>
      <c r="L21">
        <f>Ondergrondscenarios[[#This Row],[k_wvp_mean]]*Ondergrondscenarios[[#This Row],[D_wvp_mean]]</f>
        <v>738.4</v>
      </c>
      <c r="M21">
        <v>0.35</v>
      </c>
      <c r="N21">
        <v>52</v>
      </c>
      <c r="O21" s="2">
        <v>4.4999999999999999E-4</v>
      </c>
      <c r="P21">
        <v>0.12</v>
      </c>
    </row>
    <row r="22" spans="1:16">
      <c r="A22">
        <v>21</v>
      </c>
      <c r="B22">
        <v>4</v>
      </c>
      <c r="C22">
        <v>3</v>
      </c>
      <c r="D22" t="s">
        <v>92</v>
      </c>
      <c r="E22">
        <v>0</v>
      </c>
      <c r="F22">
        <v>9.35</v>
      </c>
      <c r="G22">
        <v>0.5</v>
      </c>
      <c r="H22">
        <v>18.5</v>
      </c>
      <c r="I22">
        <v>0.92500000000000004</v>
      </c>
      <c r="K22">
        <v>0.5</v>
      </c>
      <c r="L22">
        <f>Ondergrondscenarios[[#This Row],[k_wvp_mean]]*Ondergrondscenarios[[#This Row],[D_wvp_mean]]</f>
        <v>0</v>
      </c>
      <c r="O22" s="2">
        <v>4.4999999999999999E-4</v>
      </c>
      <c r="P22">
        <v>0.12</v>
      </c>
    </row>
    <row r="23" spans="1:16">
      <c r="A23">
        <v>22</v>
      </c>
      <c r="B23">
        <v>4</v>
      </c>
      <c r="C23">
        <v>4</v>
      </c>
      <c r="E23">
        <v>0</v>
      </c>
      <c r="F23">
        <v>9.35</v>
      </c>
      <c r="G23">
        <v>0.5</v>
      </c>
      <c r="H23">
        <v>18.5</v>
      </c>
      <c r="I23">
        <v>0.92500000000000004</v>
      </c>
      <c r="K23">
        <v>0.5</v>
      </c>
      <c r="L23">
        <f>Ondergrondscenarios[[#This Row],[k_wvp_mean]]*Ondergrondscenarios[[#This Row],[D_wvp_mean]]</f>
        <v>0</v>
      </c>
      <c r="O23" s="2"/>
      <c r="P23">
        <v>0.12</v>
      </c>
    </row>
    <row r="24" spans="1:16">
      <c r="A24">
        <v>23</v>
      </c>
      <c r="B24">
        <v>4</v>
      </c>
      <c r="C24">
        <v>5</v>
      </c>
      <c r="E24">
        <v>0</v>
      </c>
      <c r="F24">
        <v>9.35</v>
      </c>
      <c r="G24">
        <v>0.5</v>
      </c>
      <c r="H24">
        <v>18.5</v>
      </c>
      <c r="I24">
        <v>0.92500000000000004</v>
      </c>
      <c r="K24">
        <v>0.5</v>
      </c>
      <c r="L24">
        <f>Ondergrondscenarios[[#This Row],[k_wvp_mean]]*Ondergrondscenarios[[#This Row],[D_wvp_mean]]</f>
        <v>0</v>
      </c>
      <c r="O24" s="2"/>
      <c r="P24">
        <v>0.12</v>
      </c>
    </row>
    <row r="25" spans="1:16">
      <c r="A25">
        <v>24</v>
      </c>
      <c r="B25">
        <v>4</v>
      </c>
      <c r="C25">
        <v>6</v>
      </c>
      <c r="E25">
        <v>0</v>
      </c>
      <c r="F25">
        <v>9.35</v>
      </c>
      <c r="G25">
        <v>0.5</v>
      </c>
      <c r="H25">
        <v>18.5</v>
      </c>
      <c r="I25">
        <v>0.92500000000000004</v>
      </c>
      <c r="K25">
        <v>0.5</v>
      </c>
      <c r="L25">
        <f>Ondergrondscenarios[[#This Row],[k_wvp_mean]]*Ondergrondscenarios[[#This Row],[D_wvp_mean]]</f>
        <v>0</v>
      </c>
      <c r="O25" s="2"/>
      <c r="P25">
        <v>0.12</v>
      </c>
    </row>
    <row r="26" spans="1:16">
      <c r="A26">
        <v>25</v>
      </c>
      <c r="B26">
        <v>5</v>
      </c>
      <c r="C26">
        <v>1</v>
      </c>
      <c r="D26" t="s">
        <v>90</v>
      </c>
      <c r="E26">
        <v>0.5</v>
      </c>
      <c r="F26">
        <v>9.35</v>
      </c>
      <c r="G26">
        <v>0.5</v>
      </c>
      <c r="H26">
        <v>18.5</v>
      </c>
      <c r="I26">
        <v>0.92500000000000004</v>
      </c>
      <c r="J26">
        <v>15</v>
      </c>
      <c r="K26">
        <v>0.5</v>
      </c>
      <c r="L26">
        <f>Ondergrondscenarios[[#This Row],[k_wvp_mean]]*Ondergrondscenarios[[#This Row],[D_wvp_mean]]</f>
        <v>840</v>
      </c>
      <c r="M26">
        <v>0.39</v>
      </c>
      <c r="N26">
        <v>56</v>
      </c>
      <c r="O26" s="2">
        <v>4.4999999999999999E-4</v>
      </c>
      <c r="P26">
        <v>0.12</v>
      </c>
    </row>
    <row r="27" spans="1:16">
      <c r="A27">
        <v>26</v>
      </c>
      <c r="B27">
        <v>5</v>
      </c>
      <c r="C27">
        <v>2</v>
      </c>
      <c r="D27" t="s">
        <v>91</v>
      </c>
      <c r="E27">
        <v>0.5</v>
      </c>
      <c r="F27">
        <v>9.35</v>
      </c>
      <c r="G27">
        <v>0.5</v>
      </c>
      <c r="H27">
        <v>18.5</v>
      </c>
      <c r="I27">
        <v>0.92500000000000004</v>
      </c>
      <c r="J27">
        <v>16.5</v>
      </c>
      <c r="K27">
        <v>0.5</v>
      </c>
      <c r="L27">
        <f>Ondergrondscenarios[[#This Row],[k_wvp_mean]]*Ondergrondscenarios[[#This Row],[D_wvp_mean]]</f>
        <v>858</v>
      </c>
      <c r="M27">
        <v>0.35</v>
      </c>
      <c r="N27">
        <v>52</v>
      </c>
      <c r="O27" s="2">
        <v>4.4999999999999999E-4</v>
      </c>
      <c r="P27">
        <v>0.12</v>
      </c>
    </row>
    <row r="28" spans="1:16">
      <c r="A28">
        <v>27</v>
      </c>
      <c r="B28">
        <v>5</v>
      </c>
      <c r="C28">
        <v>3</v>
      </c>
      <c r="D28" t="s">
        <v>92</v>
      </c>
      <c r="E28">
        <v>0</v>
      </c>
      <c r="F28">
        <v>9.35</v>
      </c>
      <c r="G28">
        <v>0.5</v>
      </c>
      <c r="H28">
        <v>18.5</v>
      </c>
      <c r="I28">
        <v>0.92500000000000004</v>
      </c>
      <c r="K28">
        <v>0.5</v>
      </c>
      <c r="L28">
        <f>Ondergrondscenarios[[#This Row],[k_wvp_mean]]*Ondergrondscenarios[[#This Row],[D_wvp_mean]]</f>
        <v>0</v>
      </c>
      <c r="O28" s="2">
        <v>4.4999999999999999E-4</v>
      </c>
      <c r="P28">
        <v>0.12</v>
      </c>
    </row>
    <row r="29" spans="1:16">
      <c r="A29">
        <v>28</v>
      </c>
      <c r="B29">
        <v>5</v>
      </c>
      <c r="C29">
        <v>4</v>
      </c>
      <c r="E29">
        <v>0</v>
      </c>
      <c r="F29">
        <v>9.35</v>
      </c>
      <c r="G29">
        <v>0.5</v>
      </c>
      <c r="H29">
        <v>18.5</v>
      </c>
      <c r="I29">
        <v>0.92500000000000004</v>
      </c>
      <c r="K29">
        <v>0.5</v>
      </c>
      <c r="L29">
        <f>Ondergrondscenarios[[#This Row],[k_wvp_mean]]*Ondergrondscenarios[[#This Row],[D_wvp_mean]]</f>
        <v>0</v>
      </c>
      <c r="O29" s="2"/>
      <c r="P29">
        <v>0.12</v>
      </c>
    </row>
    <row r="30" spans="1:16">
      <c r="A30">
        <v>29</v>
      </c>
      <c r="B30">
        <v>5</v>
      </c>
      <c r="C30">
        <v>5</v>
      </c>
      <c r="E30">
        <v>0</v>
      </c>
      <c r="F30">
        <v>9.35</v>
      </c>
      <c r="G30">
        <v>0.5</v>
      </c>
      <c r="H30">
        <v>18.5</v>
      </c>
      <c r="I30">
        <v>0.92500000000000004</v>
      </c>
      <c r="K30">
        <v>0.5</v>
      </c>
      <c r="L30">
        <f>Ondergrondscenarios[[#This Row],[k_wvp_mean]]*Ondergrondscenarios[[#This Row],[D_wvp_mean]]</f>
        <v>0</v>
      </c>
      <c r="O30" s="2"/>
      <c r="P30">
        <v>0.12</v>
      </c>
    </row>
    <row r="31" spans="1:16">
      <c r="A31">
        <v>30</v>
      </c>
      <c r="B31">
        <v>5</v>
      </c>
      <c r="C31">
        <v>6</v>
      </c>
      <c r="E31">
        <v>0</v>
      </c>
      <c r="F31">
        <v>9.35</v>
      </c>
      <c r="G31">
        <v>0.5</v>
      </c>
      <c r="H31">
        <v>18.5</v>
      </c>
      <c r="I31">
        <v>0.92500000000000004</v>
      </c>
      <c r="K31">
        <v>0.5</v>
      </c>
      <c r="L31">
        <f>Ondergrondscenarios[[#This Row],[k_wvp_mean]]*Ondergrondscenarios[[#This Row],[D_wvp_mean]]</f>
        <v>0</v>
      </c>
      <c r="O31" s="2"/>
      <c r="P31">
        <v>0.12</v>
      </c>
    </row>
    <row r="32" spans="1:16">
      <c r="A32">
        <v>31</v>
      </c>
      <c r="B32">
        <v>6</v>
      </c>
      <c r="C32">
        <v>1</v>
      </c>
      <c r="D32" t="s">
        <v>90</v>
      </c>
      <c r="E32">
        <v>0.5</v>
      </c>
      <c r="F32">
        <v>9.35</v>
      </c>
      <c r="G32">
        <v>0.35</v>
      </c>
      <c r="H32">
        <v>18.5</v>
      </c>
      <c r="I32">
        <v>0.92500000000000004</v>
      </c>
      <c r="J32">
        <v>20</v>
      </c>
      <c r="K32">
        <v>0.5</v>
      </c>
      <c r="L32">
        <f>Ondergrondscenarios[[#This Row],[k_wvp_mean]]*Ondergrondscenarios[[#This Row],[D_wvp_mean]]</f>
        <v>1120</v>
      </c>
      <c r="M32">
        <v>0.39</v>
      </c>
      <c r="N32">
        <v>56</v>
      </c>
      <c r="O32" s="2">
        <v>4.4999999999999999E-4</v>
      </c>
      <c r="P32">
        <v>0.12</v>
      </c>
    </row>
    <row r="33" spans="1:16">
      <c r="A33">
        <v>32</v>
      </c>
      <c r="B33">
        <v>6</v>
      </c>
      <c r="C33">
        <v>2</v>
      </c>
      <c r="D33" t="s">
        <v>91</v>
      </c>
      <c r="E33">
        <v>0.5</v>
      </c>
      <c r="F33">
        <v>9.35</v>
      </c>
      <c r="G33">
        <v>0.35</v>
      </c>
      <c r="H33">
        <v>18.5</v>
      </c>
      <c r="I33">
        <v>0.92500000000000004</v>
      </c>
      <c r="J33">
        <v>21</v>
      </c>
      <c r="K33">
        <v>0.5</v>
      </c>
      <c r="L33">
        <f>Ondergrondscenarios[[#This Row],[k_wvp_mean]]*Ondergrondscenarios[[#This Row],[D_wvp_mean]]</f>
        <v>1092</v>
      </c>
      <c r="M33">
        <v>0.35</v>
      </c>
      <c r="N33">
        <v>52</v>
      </c>
      <c r="O33" s="2">
        <v>4.4999999999999999E-4</v>
      </c>
      <c r="P33">
        <v>0.12</v>
      </c>
    </row>
    <row r="34" spans="1:16">
      <c r="A34">
        <v>33</v>
      </c>
      <c r="B34">
        <v>6</v>
      </c>
      <c r="C34">
        <v>3</v>
      </c>
      <c r="D34" t="s">
        <v>92</v>
      </c>
      <c r="E34">
        <v>0</v>
      </c>
      <c r="F34">
        <v>9.35</v>
      </c>
      <c r="G34">
        <v>0.35</v>
      </c>
      <c r="H34">
        <v>18.5</v>
      </c>
      <c r="I34">
        <v>0.92500000000000004</v>
      </c>
      <c r="K34">
        <v>0.5</v>
      </c>
      <c r="L34">
        <f>Ondergrondscenarios[[#This Row],[k_wvp_mean]]*Ondergrondscenarios[[#This Row],[D_wvp_mean]]</f>
        <v>0</v>
      </c>
      <c r="O34" s="2">
        <v>4.4999999999999999E-4</v>
      </c>
      <c r="P34">
        <v>0.12</v>
      </c>
    </row>
    <row r="35" spans="1:16">
      <c r="A35">
        <v>34</v>
      </c>
      <c r="B35">
        <v>6</v>
      </c>
      <c r="C35">
        <v>4</v>
      </c>
      <c r="E35">
        <v>0</v>
      </c>
      <c r="F35">
        <v>9.35</v>
      </c>
      <c r="G35">
        <v>0.35</v>
      </c>
      <c r="H35">
        <v>18.5</v>
      </c>
      <c r="I35">
        <v>0.92500000000000004</v>
      </c>
      <c r="K35">
        <v>0.5</v>
      </c>
      <c r="L35">
        <f>Ondergrondscenarios[[#This Row],[k_wvp_mean]]*Ondergrondscenarios[[#This Row],[D_wvp_mean]]</f>
        <v>0</v>
      </c>
      <c r="O35" s="2"/>
      <c r="P35">
        <v>0.12</v>
      </c>
    </row>
    <row r="36" spans="1:16">
      <c r="A36">
        <v>35</v>
      </c>
      <c r="B36">
        <v>6</v>
      </c>
      <c r="C36">
        <v>5</v>
      </c>
      <c r="E36">
        <v>0</v>
      </c>
      <c r="F36">
        <v>9.35</v>
      </c>
      <c r="G36">
        <v>0.35</v>
      </c>
      <c r="H36">
        <v>18.5</v>
      </c>
      <c r="I36">
        <v>0.92500000000000004</v>
      </c>
      <c r="K36">
        <v>0.5</v>
      </c>
      <c r="L36">
        <f>Ondergrondscenarios[[#This Row],[k_wvp_mean]]*Ondergrondscenarios[[#This Row],[D_wvp_mean]]</f>
        <v>0</v>
      </c>
      <c r="O36" s="2"/>
      <c r="P36">
        <v>0.12</v>
      </c>
    </row>
    <row r="37" spans="1:16">
      <c r="A37">
        <v>36</v>
      </c>
      <c r="B37">
        <v>6</v>
      </c>
      <c r="C37">
        <v>6</v>
      </c>
      <c r="E37">
        <v>0</v>
      </c>
      <c r="F37">
        <v>9.35</v>
      </c>
      <c r="G37">
        <v>0.35</v>
      </c>
      <c r="H37">
        <v>18.5</v>
      </c>
      <c r="I37">
        <v>0.92500000000000004</v>
      </c>
      <c r="K37">
        <v>0.5</v>
      </c>
      <c r="L37">
        <f>Ondergrondscenarios[[#This Row],[k_wvp_mean]]*Ondergrondscenarios[[#This Row],[D_wvp_mean]]</f>
        <v>0</v>
      </c>
      <c r="O37" s="2"/>
      <c r="P37">
        <v>0.12</v>
      </c>
    </row>
    <row r="38" spans="1:16">
      <c r="A38">
        <v>37</v>
      </c>
      <c r="B38">
        <v>7</v>
      </c>
      <c r="C38">
        <v>1</v>
      </c>
      <c r="D38" t="s">
        <v>90</v>
      </c>
      <c r="E38">
        <v>0.5</v>
      </c>
      <c r="F38">
        <v>8</v>
      </c>
      <c r="G38">
        <v>0.5</v>
      </c>
      <c r="H38">
        <v>18.5</v>
      </c>
      <c r="I38">
        <v>0.92500000000000004</v>
      </c>
      <c r="J38">
        <v>10.5</v>
      </c>
      <c r="K38">
        <v>0.5</v>
      </c>
      <c r="L38">
        <f>Ondergrondscenarios[[#This Row],[k_wvp_mean]]*Ondergrondscenarios[[#This Row],[D_wvp_mean]]</f>
        <v>588</v>
      </c>
      <c r="M38">
        <v>0.39</v>
      </c>
      <c r="N38">
        <v>56</v>
      </c>
      <c r="O38" s="2">
        <v>4.4999999999999999E-4</v>
      </c>
      <c r="P38">
        <v>0.12</v>
      </c>
    </row>
    <row r="39" spans="1:16">
      <c r="A39">
        <v>38</v>
      </c>
      <c r="B39">
        <v>7</v>
      </c>
      <c r="C39">
        <v>2</v>
      </c>
      <c r="D39" t="s">
        <v>91</v>
      </c>
      <c r="E39">
        <v>0.5</v>
      </c>
      <c r="F39">
        <v>9</v>
      </c>
      <c r="G39">
        <v>0.5</v>
      </c>
      <c r="H39">
        <v>18.5</v>
      </c>
      <c r="I39">
        <v>0.92500000000000004</v>
      </c>
      <c r="J39">
        <v>11.8</v>
      </c>
      <c r="K39">
        <v>0.5</v>
      </c>
      <c r="L39">
        <f>Ondergrondscenarios[[#This Row],[k_wvp_mean]]*Ondergrondscenarios[[#This Row],[D_wvp_mean]]</f>
        <v>613.6</v>
      </c>
      <c r="M39">
        <v>0.35</v>
      </c>
      <c r="N39">
        <v>52</v>
      </c>
      <c r="O39" s="2">
        <v>4.4999999999999999E-4</v>
      </c>
      <c r="P39">
        <v>0.12</v>
      </c>
    </row>
    <row r="40" spans="1:16">
      <c r="A40">
        <v>39</v>
      </c>
      <c r="B40">
        <v>7</v>
      </c>
      <c r="C40">
        <v>3</v>
      </c>
      <c r="D40" t="s">
        <v>92</v>
      </c>
      <c r="E40">
        <v>0</v>
      </c>
      <c r="F40">
        <v>8</v>
      </c>
      <c r="G40">
        <v>0.5</v>
      </c>
      <c r="H40">
        <v>18.5</v>
      </c>
      <c r="I40">
        <v>0.92500000000000004</v>
      </c>
      <c r="K40">
        <v>0.5</v>
      </c>
      <c r="L40">
        <f>Ondergrondscenarios[[#This Row],[k_wvp_mean]]*Ondergrondscenarios[[#This Row],[D_wvp_mean]]</f>
        <v>0</v>
      </c>
      <c r="O40" s="2">
        <v>4.4999999999999999E-4</v>
      </c>
      <c r="P40">
        <v>0.12</v>
      </c>
    </row>
    <row r="41" spans="1:16">
      <c r="A41">
        <v>40</v>
      </c>
      <c r="B41">
        <v>7</v>
      </c>
      <c r="C41">
        <v>4</v>
      </c>
      <c r="E41">
        <v>0</v>
      </c>
      <c r="F41">
        <v>9</v>
      </c>
      <c r="G41">
        <v>0.5</v>
      </c>
      <c r="H41">
        <v>18.5</v>
      </c>
      <c r="I41">
        <v>0.92500000000000004</v>
      </c>
      <c r="K41">
        <v>0.5</v>
      </c>
      <c r="L41">
        <f>Ondergrondscenarios[[#This Row],[k_wvp_mean]]*Ondergrondscenarios[[#This Row],[D_wvp_mean]]</f>
        <v>0</v>
      </c>
      <c r="O41" s="2"/>
      <c r="P41">
        <v>0.12</v>
      </c>
    </row>
    <row r="42" spans="1:16">
      <c r="A42">
        <v>41</v>
      </c>
      <c r="B42">
        <v>7</v>
      </c>
      <c r="C42">
        <v>5</v>
      </c>
      <c r="E42">
        <v>0</v>
      </c>
      <c r="F42">
        <v>8</v>
      </c>
      <c r="G42">
        <v>0.5</v>
      </c>
      <c r="H42">
        <v>18.5</v>
      </c>
      <c r="I42">
        <v>0.92500000000000004</v>
      </c>
      <c r="K42">
        <v>0.5</v>
      </c>
      <c r="L42">
        <f>Ondergrondscenarios[[#This Row],[k_wvp_mean]]*Ondergrondscenarios[[#This Row],[D_wvp_mean]]</f>
        <v>0</v>
      </c>
      <c r="O42" s="2"/>
      <c r="P42">
        <v>0.12</v>
      </c>
    </row>
    <row r="43" spans="1:16">
      <c r="A43">
        <v>42</v>
      </c>
      <c r="B43">
        <v>7</v>
      </c>
      <c r="C43">
        <v>6</v>
      </c>
      <c r="E43">
        <v>0</v>
      </c>
      <c r="F43">
        <v>9</v>
      </c>
      <c r="G43">
        <v>0.5</v>
      </c>
      <c r="H43">
        <v>18.5</v>
      </c>
      <c r="I43">
        <v>0.92500000000000004</v>
      </c>
      <c r="K43">
        <v>0.5</v>
      </c>
      <c r="L43">
        <f>Ondergrondscenarios[[#This Row],[k_wvp_mean]]*Ondergrondscenarios[[#This Row],[D_wvp_mean]]</f>
        <v>0</v>
      </c>
      <c r="O43" s="2"/>
      <c r="P43">
        <v>0.12</v>
      </c>
    </row>
    <row r="44" spans="1:16">
      <c r="A44">
        <v>43</v>
      </c>
      <c r="B44">
        <v>8</v>
      </c>
      <c r="C44">
        <v>1</v>
      </c>
      <c r="D44" t="s">
        <v>90</v>
      </c>
      <c r="E44">
        <v>0.5</v>
      </c>
      <c r="F44">
        <v>8.5</v>
      </c>
      <c r="G44">
        <v>0.35355339099999999</v>
      </c>
      <c r="H44">
        <v>18.5</v>
      </c>
      <c r="I44">
        <v>0.92500000000000004</v>
      </c>
      <c r="J44">
        <v>11</v>
      </c>
      <c r="K44">
        <v>0.5</v>
      </c>
      <c r="L44">
        <f>Ondergrondscenarios[[#This Row],[k_wvp_mean]]*Ondergrondscenarios[[#This Row],[D_wvp_mean]]</f>
        <v>616</v>
      </c>
      <c r="M44">
        <v>0.39</v>
      </c>
      <c r="N44">
        <v>56</v>
      </c>
      <c r="O44" s="2">
        <v>4.4999999999999999E-4</v>
      </c>
      <c r="P44">
        <v>0.12</v>
      </c>
    </row>
    <row r="45" spans="1:16">
      <c r="A45">
        <v>44</v>
      </c>
      <c r="B45">
        <v>8</v>
      </c>
      <c r="C45">
        <v>2</v>
      </c>
      <c r="D45" t="s">
        <v>91</v>
      </c>
      <c r="E45">
        <v>0.5</v>
      </c>
      <c r="F45">
        <v>8.5</v>
      </c>
      <c r="G45">
        <v>0.35355339099999999</v>
      </c>
      <c r="H45">
        <v>18.5</v>
      </c>
      <c r="I45">
        <v>0.92500000000000004</v>
      </c>
      <c r="J45">
        <v>12.5</v>
      </c>
      <c r="K45">
        <v>0.5</v>
      </c>
      <c r="L45">
        <f>Ondergrondscenarios[[#This Row],[k_wvp_mean]]*Ondergrondscenarios[[#This Row],[D_wvp_mean]]</f>
        <v>650</v>
      </c>
      <c r="M45">
        <v>0.35</v>
      </c>
      <c r="N45">
        <v>52</v>
      </c>
      <c r="O45" s="2">
        <v>4.4999999999999999E-4</v>
      </c>
      <c r="P45">
        <v>0.12</v>
      </c>
    </row>
    <row r="46" spans="1:16">
      <c r="A46">
        <v>45</v>
      </c>
      <c r="B46">
        <v>8</v>
      </c>
      <c r="C46">
        <v>3</v>
      </c>
      <c r="D46" t="s">
        <v>92</v>
      </c>
      <c r="E46">
        <v>0</v>
      </c>
      <c r="F46">
        <v>8.5</v>
      </c>
      <c r="G46">
        <v>0.35355339099999999</v>
      </c>
      <c r="H46">
        <v>18.5</v>
      </c>
      <c r="I46">
        <v>0.92500000000000004</v>
      </c>
      <c r="K46">
        <v>0.5</v>
      </c>
      <c r="L46">
        <f>Ondergrondscenarios[[#This Row],[k_wvp_mean]]*Ondergrondscenarios[[#This Row],[D_wvp_mean]]</f>
        <v>0</v>
      </c>
      <c r="O46" s="2">
        <v>4.4999999999999999E-4</v>
      </c>
      <c r="P46">
        <v>0.12</v>
      </c>
    </row>
    <row r="47" spans="1:16">
      <c r="A47">
        <v>46</v>
      </c>
      <c r="B47">
        <v>8</v>
      </c>
      <c r="C47">
        <v>4</v>
      </c>
      <c r="E47">
        <v>0</v>
      </c>
      <c r="F47">
        <v>8.5</v>
      </c>
      <c r="G47">
        <v>0.35355339099999999</v>
      </c>
      <c r="H47">
        <v>18.5</v>
      </c>
      <c r="I47">
        <v>0.92500000000000004</v>
      </c>
      <c r="K47">
        <v>0.5</v>
      </c>
      <c r="L47">
        <f>Ondergrondscenarios[[#This Row],[k_wvp_mean]]*Ondergrondscenarios[[#This Row],[D_wvp_mean]]</f>
        <v>0</v>
      </c>
      <c r="O47" s="2"/>
      <c r="P47">
        <v>0.12</v>
      </c>
    </row>
    <row r="48" spans="1:16">
      <c r="A48">
        <v>47</v>
      </c>
      <c r="B48">
        <v>8</v>
      </c>
      <c r="C48">
        <v>5</v>
      </c>
      <c r="E48">
        <v>0</v>
      </c>
      <c r="F48">
        <v>8.5</v>
      </c>
      <c r="G48">
        <v>0.35355339099999999</v>
      </c>
      <c r="H48">
        <v>18.5</v>
      </c>
      <c r="I48">
        <v>0.92500000000000004</v>
      </c>
      <c r="K48">
        <v>0.5</v>
      </c>
      <c r="L48">
        <f>Ondergrondscenarios[[#This Row],[k_wvp_mean]]*Ondergrondscenarios[[#This Row],[D_wvp_mean]]</f>
        <v>0</v>
      </c>
      <c r="O48" s="2"/>
      <c r="P48">
        <v>0.12</v>
      </c>
    </row>
    <row r="49" spans="1:16">
      <c r="A49">
        <v>48</v>
      </c>
      <c r="B49">
        <v>8</v>
      </c>
      <c r="C49">
        <v>6</v>
      </c>
      <c r="E49">
        <v>0</v>
      </c>
      <c r="F49">
        <v>8.5</v>
      </c>
      <c r="G49">
        <v>0.35355339099999999</v>
      </c>
      <c r="H49">
        <v>18.5</v>
      </c>
      <c r="I49">
        <v>0.92500000000000004</v>
      </c>
      <c r="K49">
        <v>0.5</v>
      </c>
      <c r="L49">
        <f>Ondergrondscenarios[[#This Row],[k_wvp_mean]]*Ondergrondscenarios[[#This Row],[D_wvp_mean]]</f>
        <v>0</v>
      </c>
      <c r="O49" s="2"/>
      <c r="P49">
        <v>0.12</v>
      </c>
    </row>
    <row r="50" spans="1:16">
      <c r="A50">
        <v>49</v>
      </c>
      <c r="B50">
        <v>9</v>
      </c>
      <c r="C50">
        <v>1</v>
      </c>
      <c r="D50" t="s">
        <v>90</v>
      </c>
      <c r="E50">
        <v>0.5</v>
      </c>
      <c r="F50">
        <v>9</v>
      </c>
      <c r="G50">
        <v>0.5</v>
      </c>
      <c r="H50">
        <v>18.5</v>
      </c>
      <c r="I50">
        <v>0.92500000000000004</v>
      </c>
      <c r="J50">
        <v>12</v>
      </c>
      <c r="K50">
        <v>0.5</v>
      </c>
      <c r="L50">
        <f>Ondergrondscenarios[[#This Row],[k_wvp_mean]]*Ondergrondscenarios[[#This Row],[D_wvp_mean]]</f>
        <v>672</v>
      </c>
      <c r="M50">
        <v>0.39</v>
      </c>
      <c r="N50">
        <v>56</v>
      </c>
      <c r="O50" s="2">
        <v>4.4999999999999999E-4</v>
      </c>
      <c r="P50">
        <v>0.12</v>
      </c>
    </row>
    <row r="51" spans="1:16">
      <c r="A51">
        <v>50</v>
      </c>
      <c r="B51">
        <v>9</v>
      </c>
      <c r="C51">
        <v>2</v>
      </c>
      <c r="D51" t="s">
        <v>91</v>
      </c>
      <c r="E51">
        <v>0.5</v>
      </c>
      <c r="F51">
        <v>9</v>
      </c>
      <c r="G51">
        <v>0.5</v>
      </c>
      <c r="H51">
        <v>18.5</v>
      </c>
      <c r="I51">
        <v>0.92500000000000004</v>
      </c>
      <c r="J51">
        <v>13.8</v>
      </c>
      <c r="K51">
        <v>0.5</v>
      </c>
      <c r="L51">
        <f>Ondergrondscenarios[[#This Row],[k_wvp_mean]]*Ondergrondscenarios[[#This Row],[D_wvp_mean]]</f>
        <v>717.6</v>
      </c>
      <c r="M51">
        <v>0.35</v>
      </c>
      <c r="N51">
        <v>52</v>
      </c>
      <c r="O51" s="2">
        <v>4.4999999999999999E-4</v>
      </c>
      <c r="P51">
        <v>0.12</v>
      </c>
    </row>
    <row r="52" spans="1:16">
      <c r="A52">
        <v>51</v>
      </c>
      <c r="B52">
        <v>9</v>
      </c>
      <c r="C52">
        <v>3</v>
      </c>
      <c r="D52" t="s">
        <v>92</v>
      </c>
      <c r="E52">
        <v>0</v>
      </c>
      <c r="F52">
        <v>9</v>
      </c>
      <c r="G52">
        <v>0.5</v>
      </c>
      <c r="H52">
        <v>18.5</v>
      </c>
      <c r="I52">
        <v>0.92500000000000004</v>
      </c>
      <c r="K52">
        <v>0.5</v>
      </c>
      <c r="L52">
        <f>Ondergrondscenarios[[#This Row],[k_wvp_mean]]*Ondergrondscenarios[[#This Row],[D_wvp_mean]]</f>
        <v>0</v>
      </c>
      <c r="O52" s="2">
        <v>4.4999999999999999E-4</v>
      </c>
      <c r="P52">
        <v>0.12</v>
      </c>
    </row>
    <row r="53" spans="1:16">
      <c r="A53">
        <v>52</v>
      </c>
      <c r="B53">
        <v>9</v>
      </c>
      <c r="C53">
        <v>4</v>
      </c>
      <c r="E53">
        <v>0</v>
      </c>
      <c r="F53">
        <v>9</v>
      </c>
      <c r="G53">
        <v>0.5</v>
      </c>
      <c r="H53">
        <v>18.5</v>
      </c>
      <c r="I53">
        <v>0.92500000000000004</v>
      </c>
      <c r="K53">
        <v>0.5</v>
      </c>
      <c r="L53">
        <f>Ondergrondscenarios[[#This Row],[k_wvp_mean]]*Ondergrondscenarios[[#This Row],[D_wvp_mean]]</f>
        <v>0</v>
      </c>
      <c r="O53" s="2"/>
      <c r="P53">
        <v>0.12</v>
      </c>
    </row>
    <row r="54" spans="1:16">
      <c r="A54">
        <v>53</v>
      </c>
      <c r="B54">
        <v>9</v>
      </c>
      <c r="C54">
        <v>5</v>
      </c>
      <c r="E54">
        <v>0</v>
      </c>
      <c r="F54">
        <v>9</v>
      </c>
      <c r="G54">
        <v>0.5</v>
      </c>
      <c r="H54">
        <v>18.5</v>
      </c>
      <c r="I54">
        <v>0.92500000000000004</v>
      </c>
      <c r="K54">
        <v>0.5</v>
      </c>
      <c r="L54">
        <f>Ondergrondscenarios[[#This Row],[k_wvp_mean]]*Ondergrondscenarios[[#This Row],[D_wvp_mean]]</f>
        <v>0</v>
      </c>
      <c r="O54" s="2"/>
      <c r="P54">
        <v>0.12</v>
      </c>
    </row>
    <row r="55" spans="1:16">
      <c r="A55">
        <v>54</v>
      </c>
      <c r="B55">
        <v>9</v>
      </c>
      <c r="C55">
        <v>6</v>
      </c>
      <c r="E55">
        <v>0</v>
      </c>
      <c r="F55">
        <v>9</v>
      </c>
      <c r="G55">
        <v>0.5</v>
      </c>
      <c r="H55">
        <v>18.5</v>
      </c>
      <c r="I55">
        <v>0.92500000000000004</v>
      </c>
      <c r="K55">
        <v>0.5</v>
      </c>
      <c r="L55">
        <f>Ondergrondscenarios[[#This Row],[k_wvp_mean]]*Ondergrondscenarios[[#This Row],[D_wvp_mean]]</f>
        <v>0</v>
      </c>
      <c r="O55" s="2"/>
      <c r="P55">
        <v>0.12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5170-5F28-403F-8B82-EE7830E95804}">
  <dimension ref="A1:F13"/>
  <sheetViews>
    <sheetView workbookViewId="0">
      <selection activeCell="C7" sqref="C7"/>
    </sheetView>
  </sheetViews>
  <sheetFormatPr defaultRowHeight="15"/>
  <cols>
    <col min="1" max="1" width="17.7109375" customWidth="1"/>
    <col min="2" max="2" width="80.42578125" bestFit="1" customWidth="1"/>
    <col min="3" max="4" width="17.7109375" customWidth="1"/>
    <col min="5" max="5" width="24.140625" bestFit="1" customWidth="1"/>
    <col min="6" max="6" width="24" bestFit="1" customWidth="1"/>
  </cols>
  <sheetData>
    <row r="1" spans="1:6">
      <c r="A1" t="s">
        <v>43</v>
      </c>
      <c r="B1" t="s">
        <v>98</v>
      </c>
      <c r="C1" t="s">
        <v>44</v>
      </c>
      <c r="D1" t="s">
        <v>95</v>
      </c>
      <c r="E1" t="s">
        <v>94</v>
      </c>
      <c r="F1" t="s">
        <v>93</v>
      </c>
    </row>
    <row r="2" spans="1:6">
      <c r="A2" t="s">
        <v>99</v>
      </c>
      <c r="B2" t="s">
        <v>100</v>
      </c>
      <c r="C2" t="s">
        <v>61</v>
      </c>
      <c r="D2" t="s">
        <v>97</v>
      </c>
      <c r="E2">
        <v>9.81</v>
      </c>
    </row>
    <row r="3" spans="1:6">
      <c r="A3" t="s">
        <v>48</v>
      </c>
      <c r="B3" t="s">
        <v>101</v>
      </c>
      <c r="C3" t="s">
        <v>56</v>
      </c>
      <c r="D3" t="s">
        <v>96</v>
      </c>
      <c r="E3">
        <v>0.5</v>
      </c>
      <c r="F3">
        <v>0.1</v>
      </c>
    </row>
    <row r="4" spans="1:6">
      <c r="A4" t="s">
        <v>49</v>
      </c>
      <c r="B4" t="s">
        <v>102</v>
      </c>
      <c r="C4" t="s">
        <v>56</v>
      </c>
      <c r="D4" t="s">
        <v>97</v>
      </c>
      <c r="E4">
        <v>0.3</v>
      </c>
    </row>
    <row r="5" spans="1:6">
      <c r="A5" t="s">
        <v>50</v>
      </c>
      <c r="B5" t="s">
        <v>103</v>
      </c>
      <c r="C5" t="s">
        <v>56</v>
      </c>
      <c r="D5" t="s">
        <v>97</v>
      </c>
      <c r="E5">
        <v>0.25</v>
      </c>
    </row>
    <row r="6" spans="1:6">
      <c r="A6" t="s">
        <v>51</v>
      </c>
      <c r="B6" t="s">
        <v>104</v>
      </c>
      <c r="C6" t="s">
        <v>57</v>
      </c>
      <c r="D6" t="s">
        <v>97</v>
      </c>
      <c r="E6">
        <v>37</v>
      </c>
    </row>
    <row r="7" spans="1:6">
      <c r="A7" t="s">
        <v>52</v>
      </c>
      <c r="B7" t="s">
        <v>105</v>
      </c>
      <c r="C7" t="s">
        <v>58</v>
      </c>
      <c r="D7" t="s">
        <v>97</v>
      </c>
      <c r="E7">
        <v>2.0799999999999999E-4</v>
      </c>
    </row>
    <row r="8" spans="1:6">
      <c r="A8" t="s">
        <v>53</v>
      </c>
      <c r="B8" t="s">
        <v>106</v>
      </c>
      <c r="C8" t="s">
        <v>59</v>
      </c>
      <c r="D8" t="s">
        <v>97</v>
      </c>
      <c r="E8">
        <v>9.81</v>
      </c>
    </row>
    <row r="9" spans="1:6">
      <c r="A9" t="s">
        <v>54</v>
      </c>
      <c r="B9" t="s">
        <v>107</v>
      </c>
      <c r="C9" t="s">
        <v>60</v>
      </c>
      <c r="D9" t="s">
        <v>97</v>
      </c>
      <c r="E9">
        <v>1.33E-6</v>
      </c>
    </row>
    <row r="10" spans="1:6">
      <c r="A10" t="s">
        <v>55</v>
      </c>
      <c r="B10" t="s">
        <v>108</v>
      </c>
      <c r="C10" t="s">
        <v>61</v>
      </c>
      <c r="D10" t="s">
        <v>97</v>
      </c>
      <c r="E10">
        <v>26</v>
      </c>
    </row>
    <row r="11" spans="1:6">
      <c r="A11" t="s">
        <v>45</v>
      </c>
      <c r="B11" t="s">
        <v>109</v>
      </c>
      <c r="C11" t="s">
        <v>62</v>
      </c>
      <c r="D11" t="s">
        <v>97</v>
      </c>
      <c r="E11">
        <v>0.1</v>
      </c>
    </row>
    <row r="12" spans="1:6">
      <c r="A12" t="s">
        <v>46</v>
      </c>
      <c r="B12" t="s">
        <v>110</v>
      </c>
      <c r="C12" t="s">
        <v>62</v>
      </c>
      <c r="D12" t="s">
        <v>97</v>
      </c>
      <c r="E12">
        <v>0.01</v>
      </c>
    </row>
    <row r="13" spans="1:6">
      <c r="A13" t="s">
        <v>47</v>
      </c>
      <c r="B13" t="s">
        <v>111</v>
      </c>
      <c r="C13" t="s">
        <v>58</v>
      </c>
      <c r="D13" t="s">
        <v>97</v>
      </c>
      <c r="E13">
        <v>1.5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11</vt:i4>
      </vt:variant>
    </vt:vector>
  </HeadingPairs>
  <TitlesOfParts>
    <vt:vector size="15" baseType="lpstr">
      <vt:lpstr>Vakken</vt:lpstr>
      <vt:lpstr>Uittredepunten</vt:lpstr>
      <vt:lpstr>Ondergrondscenarios</vt:lpstr>
      <vt:lpstr>Constanten</vt:lpstr>
      <vt:lpstr>d70_m</vt:lpstr>
      <vt:lpstr>eta</vt:lpstr>
      <vt:lpstr>g</vt:lpstr>
      <vt:lpstr>gamma_korrel</vt:lpstr>
      <vt:lpstr>gws_m_mv</vt:lpstr>
      <vt:lpstr>i_c_h</vt:lpstr>
      <vt:lpstr>k_v_boven_gws</vt:lpstr>
      <vt:lpstr>k_v_onder_gws</vt:lpstr>
      <vt:lpstr>r_c_deklaag</vt:lpstr>
      <vt:lpstr>theta</vt:lpstr>
      <vt:lpstr>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Kapinga, Sander</cp:lastModifiedBy>
  <dcterms:created xsi:type="dcterms:W3CDTF">2025-04-23T12:38:30Z</dcterms:created>
  <dcterms:modified xsi:type="dcterms:W3CDTF">2025-04-23T14:53:59Z</dcterms:modified>
</cp:coreProperties>
</file>