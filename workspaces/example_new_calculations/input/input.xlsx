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2A649AE8-E2B8-467A-841A-3324CE662DFA}" xr6:coauthVersionLast="47" xr6:coauthVersionMax="47" xr10:uidLastSave="{00000000-0000-0000-0000-000000000000}"/>
  <bookViews>
    <workbookView xWindow="38280" yWindow="-165" windowWidth="25440" windowHeight="1527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<sst xmlns="http://schemas.openxmlformats.org/spreadsheetml/2006/main" count="844" uniqueCount="234">
  <si>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</si>
  <si>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</si>
  <si>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</si>
  <si>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</si>
  <si>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</si>
  <si>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</si>
  <si>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</si>
  <si>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</si>
  <si>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</si>
  <si>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</si>
  <si>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</si>
  <si>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</si>
  <si>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</si>
  <si>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</si>
  <si>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</si>
  <si>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</si>
  <si>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</si>
  <si>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</si>
  <si>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</si>
  <si>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</si>
  <si>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</si>
  <si>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</si>
  <si>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</si>
  <si>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</si>
  <si>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</si>
  <si>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</si>
  <si>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</si>
  <si>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</si>
  <si>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</si>
  <si>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</si>
  <si>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</si>
  <si>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</si>
  <si>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</si>
  <si>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</si>
  <si>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</si>
  <si>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</si>
  <si>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</si>
  <si>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</si>
  <si>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</si>
  <si>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</si>
  <si>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</si>
  <si>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</si>
  <si>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</si>
  <si>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</si>
  <si>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</si>
  <si>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</si>
  <si>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</si>
  <si>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</si>
  <si>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</si>
  <si>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</si>
  <si>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</si>
  <si>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</si>
  <si>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</si>
  <si>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</si>
  <si>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</si>
  <si>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</si>
  <si>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</si>
  <si>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</si>
  <si>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</si>
  <si>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</si>
  <si>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</si>
  <si>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</si>
  <si>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</si>
  <si>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</si>
  <si>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</si>
  <si>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</si>
  <si>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</si>
  <si>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</si>
  <si>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</si>
  <si>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</si>
  <si>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</si>
  <si>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</si>
  <si>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</si>
  <si>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</si>
  <si>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</si>
  <si>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</si>
  <si>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</si>
  <si>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</si>
  <si>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</si>
  <si>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</si>
  <si>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</si>
  <si>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</si>
  <si>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</si>
  <si>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</si>
  <si>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</si>
  <si>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</si>
  <si>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</si>
  <si>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</si>
  <si>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</si>
  <si>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</si>
  <si>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</si>
  <si>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</si>
  <si>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</si>
  <si>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</si>
  <si>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</si>
  <si>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</si>
  <si>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</si>
  <si>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</si>
  <si>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</si>
  <si>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</si>
  <si>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</si>
  <si>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</si>
  <si>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</si>
  <si>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</si>
  <si>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</si>
  <si>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</si>
  <si>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</si>
  <si>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</si>
  <si>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</si>
  <si>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</si>
  <si>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</si>
  <si>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</si>
  <si>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</si>
  <si>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</si>
  <si>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</si>
  <si>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</si>
  <si>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</si>
  <si>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</si>
  <si>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</si>
  <si>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</si>
  <si>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</si>
  <si>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</si>
  <si>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</si>
  <si>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</si>
  <si>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</si>
  <si>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</si>
  <si>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</si>
  <si>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</si>
  <si>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</si>
  <si>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</si>
  <si>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</si>
  <si>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</si>
  <si>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</si>
  <si>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</si>
  <si>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</si>
  <si>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</si>
  <si>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</si>
  <si>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</si>
  <si>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</si>
  <si>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</si>
  <si>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</si>
  <si>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</si>
  <si>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</si>
  <si>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</si>
  <si>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</si>
  <si>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</si>
  <si>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</si>
  <si>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</si>
  <si>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</si>
  <si>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</si>
  <si>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</si>
  <si>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</si>
  <si>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</si>
  <si>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</si>
  <si>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</si>
  <si>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</si>
  <si>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</si>
  <si>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</si>
  <si>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</si>
  <si>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</si>
  <si>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</si>
  <si>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</si>
  <si>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</si>
  <si>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</si>
  <si>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</si>
  <si>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</si>
  <si>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</si>
  <si>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</si>
  <si>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</si>
  <si>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</si>
  <si>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</si>
  <si>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</si>
  <si>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</si>
  <si>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</si>
  <si>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</si>
  <si>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</si>
  <si>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</si>
  <si>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</si>
  <si>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</si>
  <si>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</si>
  <si>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</si>
  <si>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</si>
  <si>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</si>
  <si>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</si>
  <si>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</si>
  <si>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</si>
  <si>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</si>
  <si>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</si>
  <si>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</si>
  <si>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</si>
  <si>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</si>
  <si>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</si>
  <si>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</si>
  <si>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</si>
  <si>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</si>
  <si>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</si>
  <si>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</si>
  <si>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</si>
  <si>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</si>
  <si>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</si>
  <si>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</si>
  <si>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</si>
  <si>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</si>
  <si>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</si>
  <si>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</si>
  <si>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</si>
  <si>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</si>
  <si>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</si>
  <si>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</si>
  <si>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</si>
  <si>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</si>
  <si>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</si>
  <si>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start_value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</si>
  <si>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</si>
  <si>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</si>
  <si>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</si>
  <si>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</si>
  <si>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</si>
  <si>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</si>
  <si>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</si>
  <si>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</si>
  <si>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</si>
  <si>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</si>
  <si>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</si>
  <si>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</si>
  <si>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</si>
  <si>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</si>
  <si>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</si>
  <si>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</si>
  <si>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parameter_default_value_stdev</t>
  </si>
  <si>
    <t>parameter_mean_lower_bound</t>
  </si>
  <si>
    <t>parameter_mean_upper_bound</t>
  </si>
  <si>
    <t>parameter_member_of</t>
  </si>
  <si>
    <t>parameter_name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</si>
</sst>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I1" sqref="I1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zoomScale="85" zoomScaleNormal="85" workbookViewId="0">
      <selection activeCell="C9" sqref="C9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164</v>
      </c>
      <c r="B1" s="4" t="s">
        <v>158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2">
      <c r="A4">
        <v>3</v>
      </c>
      <c r="B4">
        <v>4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2">
      <c r="A7">
        <v>6</v>
      </c>
      <c r="B7">
        <v>5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2">
      <c r="A9">
        <v>8</v>
      </c>
      <c r="B9">
        <v>5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2">
      <c r="A10">
        <v>9</v>
      </c>
      <c r="B10">
        <v>5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2">
      <c r="A11">
        <v>10</v>
      </c>
      <c r="B11">
        <v>5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2">
      <c r="A12">
        <v>11</v>
      </c>
      <c r="B12">
        <v>5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14</v>
      </c>
      <c r="B15">
        <v>5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17</v>
      </c>
      <c r="B18">
        <v>6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18</v>
      </c>
      <c r="B19">
        <v>6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2">
      <c r="A20">
        <v>19</v>
      </c>
      <c r="B20">
        <v>6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20</v>
      </c>
      <c r="B21">
        <v>6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2">
      <c r="A25">
        <v>24</v>
      </c>
      <c r="B25">
        <v>6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2">
      <c r="A26">
        <v>25</v>
      </c>
      <c r="B26">
        <v>7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2">
      <c r="A27">
        <v>26</v>
      </c>
      <c r="B27">
        <v>7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2">
      <c r="A28">
        <v>27</v>
      </c>
      <c r="B28">
        <v>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2">
      <c r="A31">
        <v>30</v>
      </c>
      <c r="B31">
        <v>7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2">
      <c r="A32">
        <v>31</v>
      </c>
      <c r="B32">
        <v>7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2">
      <c r="A33">
        <v>32</v>
      </c>
      <c r="B33">
        <v>7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33</v>
      </c>
      <c r="B34">
        <v>7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34</v>
      </c>
      <c r="B35">
        <v>7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35</v>
      </c>
      <c r="B36">
        <v>7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36</v>
      </c>
      <c r="B37">
        <v>7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37</v>
      </c>
      <c r="B38">
        <v>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38</v>
      </c>
      <c r="B39">
        <v>7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2">
      <c r="A40">
        <v>39</v>
      </c>
      <c r="B40">
        <v>7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2">
      <c r="A41">
        <v>40</v>
      </c>
      <c r="B41">
        <v>8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2">
      <c r="A42">
        <v>41</v>
      </c>
      <c r="B42">
        <v>8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42</v>
      </c>
      <c r="B43">
        <v>8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43</v>
      </c>
      <c r="B44">
        <v>8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44</v>
      </c>
      <c r="B45">
        <v>8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2">
      <c r="A46">
        <v>45</v>
      </c>
      <c r="B46">
        <v>8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48</v>
      </c>
      <c r="B49">
        <v>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2">
      <c r="A53">
        <v>52</v>
      </c>
      <c r="B53">
        <v>8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56</v>
      </c>
      <c r="B57">
        <v>8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2">
      <c r="A58">
        <v>57</v>
      </c>
      <c r="B58">
        <v>8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58</v>
      </c>
      <c r="B59">
        <v>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59</v>
      </c>
      <c r="B60">
        <v>8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64</v>
      </c>
      <c r="B65">
        <v>8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2">
      <c r="A66">
        <v>65</v>
      </c>
      <c r="B66">
        <v>8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2">
      <c r="A68">
        <v>67</v>
      </c>
      <c r="B68">
        <v>8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2">
      <c r="A69">
        <v>68</v>
      </c>
      <c r="B69">
        <v>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2">
      <c r="A70">
        <v>69</v>
      </c>
      <c r="B70">
        <v>8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2">
      <c r="A71">
        <v>70</v>
      </c>
      <c r="B71">
        <v>8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2">
      <c r="A72">
        <v>71</v>
      </c>
      <c r="B72">
        <v>8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2">
      <c r="A73">
        <v>72</v>
      </c>
      <c r="B73">
        <v>8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2">
      <c r="A78">
        <v>77</v>
      </c>
      <c r="B78">
        <v>8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2">
      <c r="A79">
        <v>78</v>
      </c>
      <c r="B79">
        <v>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2">
      <c r="A80">
        <v>79</v>
      </c>
      <c r="B80">
        <v>8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2">
      <c r="A81">
        <v>80</v>
      </c>
      <c r="B81">
        <v>9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2">
      <c r="A82">
        <v>81</v>
      </c>
      <c r="B82">
        <v>9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2">
      <c r="A83">
        <v>82</v>
      </c>
      <c r="B83">
        <v>9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2">
      <c r="A84">
        <v>83</v>
      </c>
      <c r="B84">
        <v>9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2">
      <c r="A85">
        <v>84</v>
      </c>
      <c r="B85">
        <v>9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2">
      <c r="A86">
        <v>85</v>
      </c>
      <c r="B86">
        <v>9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2">
      <c r="A92">
        <v>91</v>
      </c>
      <c r="B92">
        <v>9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2">
      <c r="A93">
        <v>92</v>
      </c>
      <c r="B93">
        <v>9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2">
      <c r="A94">
        <v>93</v>
      </c>
      <c r="B94">
        <v>9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2">
      <c r="A95">
        <v>94</v>
      </c>
      <c r="B95">
        <v>9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2">
      <c r="A99">
        <v>98</v>
      </c>
      <c r="B99">
        <v>9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topLeftCell="A3" workbookViewId="0">
      <selection activeCell="C43" sqref="C43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167</v>
      </c>
      <c r="B1" s="4" t="s">
        <v>158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LEFT(E1,LEN(E1)-5)&amp;VLOOKUP(LEFT(E1,LEN(E1)-5),Overzicht_parameters!$A$2:$F$69,6,(FALSE))</f>
        <v>top_zand_stdev</v>
      </c>
      <c r="G1" s="4" t="s">
        <v>40</v>
      </c>
      <c r="H1" s="4" t="str">
        <f>LEFT(G1,LEN(G1)-5)&amp;VLOOKUP(LEFT(G1,LEN(G1)-5),Overzicht_parameters!$A$2:$F$69,6,(FALSE))</f>
        <v>gamma_sat_deklaag_stdev</v>
      </c>
      <c r="I1" s="4" t="s">
        <v>41</v>
      </c>
      <c r="J1" s="4" t="str">
        <f>LEFT(I1,LEN(I1)-5)&amp;VLOOKUP(LEFT(I1,LEN(I1)-5),Overzicht_parameters!$A$2:$F$69,6,(FALSE))</f>
        <v>D_wvp_stdev</v>
      </c>
      <c r="K1" s="4" t="s">
        <v>42</v>
      </c>
      <c r="L1" s="4" t="str">
        <f>LEFT(K1,LEN(K1)-5)&amp;VLOOKUP(LEFT(K1,LEN(K1)-5),Overzicht_parameters!$A$2:$F$69,6,(FALSE))</f>
        <v>kD_wvp_vc</v>
      </c>
      <c r="M1" s="4" t="s">
        <v>43</v>
      </c>
      <c r="N1" s="4" t="str">
        <f>LEFT(M1,LEN(M1)-5)&amp;VLOOKUP(LEFT(M1,LEN(M1)-5),Overzicht_parameters!$A$2:$F$69,6,(FALSE))</f>
        <v>d70_vc</v>
      </c>
    </row>
    <row r="2" spans="1:14" x14ac:dyDescent="0.2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2</v>
      </c>
      <c r="B3">
        <v>1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3</v>
      </c>
      <c r="B4">
        <v>1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7</v>
      </c>
      <c r="B8">
        <v>2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8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9</v>
      </c>
      <c r="B10">
        <v>2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13</v>
      </c>
      <c r="B14">
        <v>3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14</v>
      </c>
      <c r="B15">
        <v>3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15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19</v>
      </c>
      <c r="B20">
        <v>4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20</v>
      </c>
      <c r="B21">
        <v>4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21</v>
      </c>
      <c r="B22">
        <v>4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25</v>
      </c>
      <c r="B26">
        <v>5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26</v>
      </c>
      <c r="B27">
        <v>5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27</v>
      </c>
      <c r="B28">
        <v>5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31</v>
      </c>
      <c r="B32">
        <v>6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32</v>
      </c>
      <c r="B33">
        <v>6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33</v>
      </c>
      <c r="B34">
        <v>6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37</v>
      </c>
      <c r="B38">
        <v>7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38</v>
      </c>
      <c r="B39">
        <v>7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39</v>
      </c>
      <c r="B40">
        <v>7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43</v>
      </c>
      <c r="B44">
        <v>8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44</v>
      </c>
      <c r="B45">
        <v>8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45</v>
      </c>
      <c r="B46">
        <v>8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49</v>
      </c>
      <c r="B50">
        <v>9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50</v>
      </c>
      <c r="B51">
        <v>9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51</v>
      </c>
      <c r="B52">
        <v>9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Normal="100" workbookViewId="0">
      <selection activeCell="B8" sqref="B8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233</v>
      </c>
      <c r="B1" s="4" t="s">
        <v>223</v>
      </c>
      <c r="C1" s="4" t="s">
        <v>224</v>
      </c>
      <c r="D1" s="4" t="s">
        <v>225</v>
      </c>
      <c r="E1" s="4" t="s">
        <v>226</v>
      </c>
      <c r="F1" s="4" t="s">
        <v>227</v>
      </c>
      <c r="G1" s="4" t="s">
        <v>228</v>
      </c>
      <c r="H1" s="4" t="s">
        <v>229</v>
      </c>
      <c r="I1" s="4" t="s">
        <v>230</v>
      </c>
      <c r="J1" s="4" t="s">
        <v>231</v>
      </c>
      <c r="K1" s="4" t="s">
        <v>232</v>
      </c>
      <c r="L1" s="4" t="s">
        <v>170</v>
      </c>
      <c r="M1" s="4" t="s">
        <v>172</v>
      </c>
      <c r="N1" s="4" t="s">
        <v>173</v>
      </c>
      <c r="O1" s="4" t="s">
        <v>174</v>
      </c>
      <c r="P1" s="4" t="s">
        <v>171</v>
      </c>
    </row>
    <row r="2" spans="1:16" x14ac:dyDescent="0.2">
      <c r="A2" t="s">
        <v>158</v>
      </c>
      <c r="B2" t="s">
        <v>195</v>
      </c>
      <c r="C2" t="s">
        <v>189</v>
      </c>
      <c r="D2" t="s">
        <v>220</v>
      </c>
      <c r="I2" s="2"/>
      <c r="J2" s="2"/>
      <c r="K2" s="2"/>
    </row>
    <row r="3" spans="1:16" x14ac:dyDescent="0.2">
      <c r="A3" t="s">
        <v>159</v>
      </c>
      <c r="B3" t="s">
        <v>196</v>
      </c>
      <c r="C3" t="s">
        <v>188</v>
      </c>
      <c r="D3" t="s">
        <v>220</v>
      </c>
      <c r="I3" s="2"/>
      <c r="J3" s="2"/>
      <c r="K3" s="2"/>
    </row>
    <row r="4" spans="1:16" x14ac:dyDescent="0.2">
      <c r="A4" t="s">
        <v>0</v>
      </c>
      <c r="B4" s="6"/>
      <c r="C4" s="6" t="s">
        <v>190</v>
      </c>
      <c r="D4" t="s">
        <v>220</v>
      </c>
      <c r="I4" s="2"/>
      <c r="J4" s="2"/>
      <c r="K4" s="2"/>
    </row>
    <row r="5" spans="1:16" x14ac:dyDescent="0.2">
      <c r="A5" t="s">
        <v>1</v>
      </c>
      <c r="B5" s="6"/>
      <c r="C5" s="6" t="s">
        <v>190</v>
      </c>
      <c r="D5" t="s">
        <v>220</v>
      </c>
      <c r="I5" s="2"/>
      <c r="J5" s="2"/>
      <c r="K5" s="2"/>
    </row>
    <row r="6" spans="1:16" x14ac:dyDescent="0.2">
      <c r="A6" t="s">
        <v>160</v>
      </c>
      <c r="B6" t="s">
        <v>198</v>
      </c>
      <c r="C6" s="6" t="s">
        <v>190</v>
      </c>
      <c r="D6" t="s">
        <v>220</v>
      </c>
      <c r="I6" s="2"/>
      <c r="J6" s="2"/>
      <c r="K6" s="2"/>
    </row>
    <row r="7" spans="1:16" x14ac:dyDescent="0.2">
      <c r="A7" t="s">
        <v>164</v>
      </c>
      <c r="B7" t="s">
        <v>194</v>
      </c>
      <c r="C7" t="s">
        <v>189</v>
      </c>
      <c r="D7" t="s">
        <v>220</v>
      </c>
      <c r="I7" s="2"/>
      <c r="J7" s="2"/>
      <c r="K7" s="2"/>
    </row>
    <row r="8" spans="1:16" x14ac:dyDescent="0.2">
      <c r="A8" t="s">
        <v>165</v>
      </c>
      <c r="B8" t="s">
        <v>199</v>
      </c>
      <c r="C8" t="s">
        <v>186</v>
      </c>
      <c r="D8" t="s">
        <v>220</v>
      </c>
      <c r="I8" s="2"/>
      <c r="J8" s="2"/>
      <c r="K8" s="2"/>
    </row>
    <row r="9" spans="1:16" x14ac:dyDescent="0.2">
      <c r="A9" t="s">
        <v>166</v>
      </c>
      <c r="B9" t="s">
        <v>200</v>
      </c>
      <c r="C9" t="s">
        <v>187</v>
      </c>
      <c r="D9" t="s">
        <v>220</v>
      </c>
      <c r="I9" s="2"/>
      <c r="J9" s="2"/>
      <c r="K9" s="2"/>
    </row>
    <row r="10" spans="1:16" x14ac:dyDescent="0.2">
      <c r="A10" t="s">
        <v>161</v>
      </c>
      <c r="B10" t="s">
        <v>201</v>
      </c>
      <c r="C10" t="s">
        <v>188</v>
      </c>
      <c r="D10" t="s">
        <v>220</v>
      </c>
      <c r="I10" s="2"/>
      <c r="J10" s="2"/>
      <c r="K10" s="2"/>
    </row>
    <row r="11" spans="1:16" x14ac:dyDescent="0.2">
      <c r="A11" t="s">
        <v>162</v>
      </c>
      <c r="B11" s="6"/>
      <c r="C11" s="6" t="s">
        <v>190</v>
      </c>
      <c r="D11" t="s">
        <v>220</v>
      </c>
      <c r="I11" s="2"/>
      <c r="J11" s="2"/>
      <c r="K11" s="2"/>
    </row>
    <row r="12" spans="1:16" x14ac:dyDescent="0.2">
      <c r="A12" t="s">
        <v>163</v>
      </c>
      <c r="B12" s="6"/>
      <c r="C12" s="6" t="s">
        <v>190</v>
      </c>
      <c r="D12" t="s">
        <v>220</v>
      </c>
      <c r="I12" s="2"/>
      <c r="J12" s="2"/>
      <c r="K12" s="2"/>
    </row>
    <row r="13" spans="1:16" x14ac:dyDescent="0.2">
      <c r="A13" t="s">
        <v>167</v>
      </c>
      <c r="B13" t="s">
        <v>193</v>
      </c>
      <c r="C13" t="s">
        <v>189</v>
      </c>
      <c r="D13" t="s">
        <v>220</v>
      </c>
      <c r="I13" s="2"/>
      <c r="J13" s="2"/>
      <c r="K13" s="2"/>
    </row>
    <row r="14" spans="1:16" x14ac:dyDescent="0.2">
      <c r="A14" t="s">
        <v>168</v>
      </c>
      <c r="B14" t="s">
        <v>197</v>
      </c>
      <c r="C14" t="s">
        <v>188</v>
      </c>
      <c r="D14" t="s">
        <v>220</v>
      </c>
      <c r="I14" s="2"/>
      <c r="J14" s="2"/>
      <c r="K14" s="2"/>
    </row>
    <row r="15" spans="1:16" x14ac:dyDescent="0.2">
      <c r="A15" t="s">
        <v>169</v>
      </c>
      <c r="B15" t="s">
        <v>192</v>
      </c>
      <c r="C15" t="s">
        <v>191</v>
      </c>
      <c r="D15" t="s">
        <v>221</v>
      </c>
      <c r="E15" t="s">
        <v>203</v>
      </c>
      <c r="I15" s="2">
        <v>0</v>
      </c>
      <c r="J15" s="2">
        <v>1</v>
      </c>
      <c r="K15" s="2"/>
    </row>
    <row r="16" spans="1:16" x14ac:dyDescent="0.2">
      <c r="A16" t="s">
        <v>18</v>
      </c>
      <c r="B16" t="s">
        <v>93</v>
      </c>
      <c r="C16" t="s">
        <v>52</v>
      </c>
      <c r="D16" t="s">
        <v>221</v>
      </c>
      <c r="E16" t="s">
        <v>203</v>
      </c>
      <c r="I16" s="2"/>
      <c r="J16" s="2"/>
      <c r="K16" s="2" t="s">
        <v>176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2">
      <c r="A17" t="s">
        <v>80</v>
      </c>
      <c r="B17" t="s">
        <v>81</v>
      </c>
      <c r="C17" t="s">
        <v>79</v>
      </c>
      <c r="D17" t="s">
        <v>221</v>
      </c>
      <c r="E17" t="s">
        <v>205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2">
      <c r="A18" t="s">
        <v>77</v>
      </c>
      <c r="B18" t="s">
        <v>78</v>
      </c>
      <c r="C18" t="s">
        <v>79</v>
      </c>
      <c r="D18" t="s">
        <v>221</v>
      </c>
      <c r="E18" t="s">
        <v>205</v>
      </c>
      <c r="F18" t="s">
        <v>49</v>
      </c>
      <c r="I18" s="2"/>
      <c r="J18" s="2"/>
      <c r="K18" s="2" t="s">
        <v>178</v>
      </c>
      <c r="L18" t="s">
        <v>48</v>
      </c>
      <c r="O18" t="s">
        <v>48</v>
      </c>
    </row>
    <row r="19" spans="1:16" x14ac:dyDescent="0.2">
      <c r="A19" t="s">
        <v>69</v>
      </c>
      <c r="B19" t="s">
        <v>70</v>
      </c>
      <c r="C19" t="s">
        <v>47</v>
      </c>
      <c r="D19" t="s">
        <v>221</v>
      </c>
      <c r="E19" t="s">
        <v>205</v>
      </c>
      <c r="F19" t="s">
        <v>49</v>
      </c>
      <c r="I19" s="2">
        <v>1.5</v>
      </c>
      <c r="J19" s="2">
        <v>60</v>
      </c>
      <c r="K19" s="2" t="s">
        <v>178</v>
      </c>
      <c r="O19" t="s">
        <v>48</v>
      </c>
    </row>
    <row r="20" spans="1:16" x14ac:dyDescent="0.2">
      <c r="A20" t="s">
        <v>74</v>
      </c>
      <c r="B20" t="s">
        <v>75</v>
      </c>
      <c r="C20" t="s">
        <v>47</v>
      </c>
      <c r="D20" t="s">
        <v>221</v>
      </c>
      <c r="E20" t="s">
        <v>205</v>
      </c>
      <c r="F20" t="s">
        <v>50</v>
      </c>
      <c r="I20" s="1">
        <v>1.4999999999999999E-4</v>
      </c>
      <c r="J20" s="1">
        <v>5.0000000000000001E-4</v>
      </c>
      <c r="K20" s="1" t="s">
        <v>178</v>
      </c>
      <c r="O20" t="s">
        <v>48</v>
      </c>
      <c r="P20" t="s">
        <v>76</v>
      </c>
    </row>
    <row r="21" spans="1:16" x14ac:dyDescent="0.2">
      <c r="A21" t="s">
        <v>57</v>
      </c>
      <c r="B21" t="s">
        <v>58</v>
      </c>
      <c r="C21" t="s">
        <v>59</v>
      </c>
      <c r="D21" t="s">
        <v>221</v>
      </c>
      <c r="E21" t="s">
        <v>205</v>
      </c>
      <c r="F21" t="s">
        <v>49</v>
      </c>
      <c r="I21" s="2">
        <v>10</v>
      </c>
      <c r="J21" s="2">
        <v>22</v>
      </c>
      <c r="K21" s="2" t="s">
        <v>178</v>
      </c>
    </row>
    <row r="22" spans="1:16" x14ac:dyDescent="0.2">
      <c r="A22" t="s">
        <v>66</v>
      </c>
      <c r="B22" t="s">
        <v>67</v>
      </c>
      <c r="C22" t="s">
        <v>68</v>
      </c>
      <c r="D22" t="s">
        <v>221</v>
      </c>
      <c r="E22" t="s">
        <v>205</v>
      </c>
      <c r="F22" t="s">
        <v>50</v>
      </c>
      <c r="I22" s="2">
        <v>1.5</v>
      </c>
      <c r="J22" s="2">
        <v>4000</v>
      </c>
      <c r="K22" s="2" t="s">
        <v>178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2">
      <c r="A23" t="s">
        <v>3</v>
      </c>
      <c r="B23" t="s">
        <v>182</v>
      </c>
      <c r="C23" t="s">
        <v>47</v>
      </c>
      <c r="D23" t="s">
        <v>221</v>
      </c>
      <c r="E23" t="s">
        <v>203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2">
      <c r="A24" t="s">
        <v>17</v>
      </c>
      <c r="B24" t="s">
        <v>183</v>
      </c>
      <c r="C24" t="s">
        <v>47</v>
      </c>
      <c r="D24" t="s">
        <v>221</v>
      </c>
      <c r="E24" t="s">
        <v>203</v>
      </c>
      <c r="I24" s="2">
        <v>0</v>
      </c>
      <c r="J24" s="2"/>
      <c r="K24" s="2" t="s">
        <v>176</v>
      </c>
      <c r="L24" t="s">
        <v>48</v>
      </c>
      <c r="M24" t="s">
        <v>48</v>
      </c>
      <c r="N24" t="s">
        <v>48</v>
      </c>
    </row>
    <row r="25" spans="1:16" x14ac:dyDescent="0.2">
      <c r="A25" t="s">
        <v>16</v>
      </c>
      <c r="B25" t="s">
        <v>184</v>
      </c>
      <c r="C25" t="s">
        <v>47</v>
      </c>
      <c r="D25" t="s">
        <v>221</v>
      </c>
      <c r="E25" t="s">
        <v>203</v>
      </c>
      <c r="I25" s="2">
        <v>0</v>
      </c>
      <c r="J25" s="2"/>
      <c r="K25" s="2" t="s">
        <v>176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2">
      <c r="A26" t="s">
        <v>15</v>
      </c>
      <c r="B26" t="s">
        <v>185</v>
      </c>
      <c r="C26" t="s">
        <v>47</v>
      </c>
      <c r="D26" t="s">
        <v>221</v>
      </c>
      <c r="E26" t="s">
        <v>203</v>
      </c>
      <c r="I26" s="2">
        <v>5</v>
      </c>
      <c r="J26" s="2">
        <v>2000</v>
      </c>
      <c r="K26" s="2" t="s">
        <v>176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2">
      <c r="A27" t="s">
        <v>2</v>
      </c>
      <c r="B27" t="s">
        <v>53</v>
      </c>
      <c r="C27" t="s">
        <v>52</v>
      </c>
      <c r="D27" t="s">
        <v>221</v>
      </c>
      <c r="E27" t="s">
        <v>203</v>
      </c>
      <c r="I27" s="2"/>
      <c r="J27" s="2"/>
      <c r="K27" s="2" t="s">
        <v>51</v>
      </c>
    </row>
    <row r="28" spans="1:16" x14ac:dyDescent="0.2">
      <c r="A28" t="s">
        <v>19</v>
      </c>
      <c r="B28" t="s">
        <v>181</v>
      </c>
      <c r="C28" t="s">
        <v>52</v>
      </c>
      <c r="D28" t="s">
        <v>221</v>
      </c>
      <c r="E28" t="s">
        <v>203</v>
      </c>
      <c r="I28" s="2">
        <v>-4</v>
      </c>
      <c r="J28" s="2">
        <v>15</v>
      </c>
      <c r="K28" s="2" t="s">
        <v>176</v>
      </c>
      <c r="O28" t="s">
        <v>48</v>
      </c>
    </row>
    <row r="29" spans="1:16" x14ac:dyDescent="0.2">
      <c r="A29" t="s">
        <v>20</v>
      </c>
      <c r="B29" t="s">
        <v>180</v>
      </c>
      <c r="C29" t="s">
        <v>52</v>
      </c>
      <c r="D29" t="s">
        <v>221</v>
      </c>
      <c r="E29" t="s">
        <v>203</v>
      </c>
      <c r="I29" s="2"/>
      <c r="J29" s="2"/>
      <c r="K29" s="2" t="s">
        <v>176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2">
      <c r="A30" t="s">
        <v>54</v>
      </c>
      <c r="B30" t="s">
        <v>55</v>
      </c>
      <c r="C30" t="s">
        <v>52</v>
      </c>
      <c r="D30" t="s">
        <v>221</v>
      </c>
      <c r="E30" t="s">
        <v>56</v>
      </c>
      <c r="F30" t="s">
        <v>49</v>
      </c>
      <c r="I30" s="2">
        <v>-18</v>
      </c>
      <c r="J30" s="2">
        <v>15</v>
      </c>
      <c r="K30" s="2" t="s">
        <v>178</v>
      </c>
      <c r="O30" t="s">
        <v>48</v>
      </c>
    </row>
    <row r="31" spans="1:16" x14ac:dyDescent="0.2">
      <c r="A31" t="s">
        <v>108</v>
      </c>
      <c r="B31" t="s">
        <v>109</v>
      </c>
      <c r="C31" t="s">
        <v>47</v>
      </c>
      <c r="D31" t="s">
        <v>222</v>
      </c>
      <c r="E31" t="s">
        <v>203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2">
      <c r="A32" t="s">
        <v>95</v>
      </c>
      <c r="B32" t="s">
        <v>96</v>
      </c>
      <c r="C32" t="s">
        <v>84</v>
      </c>
      <c r="D32" t="s">
        <v>222</v>
      </c>
      <c r="E32" t="s">
        <v>203</v>
      </c>
      <c r="G32">
        <v>0.25</v>
      </c>
      <c r="I32" s="2"/>
      <c r="J32" s="2"/>
      <c r="K32" s="2" t="s">
        <v>90</v>
      </c>
    </row>
    <row r="33" spans="1:16" x14ac:dyDescent="0.2">
      <c r="A33" t="s">
        <v>110</v>
      </c>
      <c r="B33" t="s">
        <v>111</v>
      </c>
      <c r="C33" t="s">
        <v>112</v>
      </c>
      <c r="D33" t="s">
        <v>222</v>
      </c>
      <c r="E33" t="s">
        <v>203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2">
      <c r="A34" t="s">
        <v>116</v>
      </c>
      <c r="B34" t="s">
        <v>117</v>
      </c>
      <c r="C34" t="s">
        <v>59</v>
      </c>
      <c r="D34" t="s">
        <v>222</v>
      </c>
      <c r="E34" t="s">
        <v>203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2">
      <c r="A35" t="s">
        <v>64</v>
      </c>
      <c r="B35" t="s">
        <v>65</v>
      </c>
      <c r="C35" t="s">
        <v>59</v>
      </c>
      <c r="D35" t="s">
        <v>222</v>
      </c>
      <c r="E35" t="s">
        <v>203</v>
      </c>
      <c r="G35">
        <v>9.81</v>
      </c>
      <c r="I35" s="2"/>
      <c r="J35" s="2"/>
      <c r="K35" s="2" t="s">
        <v>90</v>
      </c>
    </row>
    <row r="36" spans="1:16" x14ac:dyDescent="0.2">
      <c r="A36" t="s">
        <v>156</v>
      </c>
      <c r="B36" t="s">
        <v>157</v>
      </c>
      <c r="C36" t="s">
        <v>47</v>
      </c>
      <c r="D36" t="s">
        <v>222</v>
      </c>
      <c r="E36" t="s">
        <v>203</v>
      </c>
      <c r="G36">
        <v>1.5</v>
      </c>
      <c r="K36" s="2" t="s">
        <v>90</v>
      </c>
    </row>
    <row r="37" spans="1:16" x14ac:dyDescent="0.2">
      <c r="A37" t="s">
        <v>88</v>
      </c>
      <c r="B37" t="s">
        <v>89</v>
      </c>
      <c r="C37" t="s">
        <v>84</v>
      </c>
      <c r="D37" t="s">
        <v>222</v>
      </c>
      <c r="E37" t="s">
        <v>205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2">
      <c r="A38" t="s">
        <v>152</v>
      </c>
      <c r="B38" t="s">
        <v>153</v>
      </c>
      <c r="C38" t="s">
        <v>73</v>
      </c>
      <c r="D38" t="s">
        <v>222</v>
      </c>
      <c r="E38" t="s">
        <v>205</v>
      </c>
      <c r="F38" t="s">
        <v>49</v>
      </c>
      <c r="G38">
        <v>0.1</v>
      </c>
      <c r="K38" s="2" t="s">
        <v>90</v>
      </c>
    </row>
    <row r="39" spans="1:16" x14ac:dyDescent="0.2">
      <c r="A39" t="s">
        <v>154</v>
      </c>
      <c r="B39" t="s">
        <v>155</v>
      </c>
      <c r="C39" t="s">
        <v>73</v>
      </c>
      <c r="D39" t="s">
        <v>222</v>
      </c>
      <c r="E39" t="s">
        <v>205</v>
      </c>
      <c r="F39" t="s">
        <v>49</v>
      </c>
      <c r="G39">
        <v>0.01</v>
      </c>
      <c r="K39" s="2" t="s">
        <v>90</v>
      </c>
    </row>
    <row r="40" spans="1:16" x14ac:dyDescent="0.2">
      <c r="A40" t="s">
        <v>91</v>
      </c>
      <c r="B40" t="s">
        <v>92</v>
      </c>
      <c r="C40" t="s">
        <v>84</v>
      </c>
      <c r="D40" t="s">
        <v>222</v>
      </c>
      <c r="E40" t="s">
        <v>203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2">
      <c r="A41" t="s">
        <v>105</v>
      </c>
      <c r="B41" t="s">
        <v>106</v>
      </c>
      <c r="C41" t="s">
        <v>107</v>
      </c>
      <c r="D41" t="s">
        <v>222</v>
      </c>
      <c r="E41" t="s">
        <v>203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2">
      <c r="A42" t="s">
        <v>113</v>
      </c>
      <c r="B42" t="s">
        <v>114</v>
      </c>
      <c r="C42" t="s">
        <v>115</v>
      </c>
      <c r="D42" t="s">
        <v>222</v>
      </c>
      <c r="E42" t="s">
        <v>203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2">
      <c r="A43" t="s">
        <v>85</v>
      </c>
      <c r="B43" t="s">
        <v>175</v>
      </c>
      <c r="C43" t="s">
        <v>84</v>
      </c>
      <c r="D43" t="s">
        <v>222</v>
      </c>
      <c r="E43" t="s">
        <v>205</v>
      </c>
      <c r="F43" t="s">
        <v>49</v>
      </c>
      <c r="G43" s="3">
        <v>1</v>
      </c>
      <c r="H43">
        <v>0.1</v>
      </c>
      <c r="I43" s="2"/>
      <c r="J43" s="2"/>
      <c r="K43" s="2" t="s">
        <v>176</v>
      </c>
      <c r="N43" t="s">
        <v>48</v>
      </c>
    </row>
    <row r="44" spans="1:16" x14ac:dyDescent="0.2">
      <c r="A44" t="s">
        <v>86</v>
      </c>
      <c r="B44" t="s">
        <v>87</v>
      </c>
      <c r="C44" t="s">
        <v>84</v>
      </c>
      <c r="D44" t="s">
        <v>222</v>
      </c>
      <c r="E44" t="s">
        <v>205</v>
      </c>
      <c r="F44" t="s">
        <v>49</v>
      </c>
      <c r="G44" s="3">
        <v>1</v>
      </c>
      <c r="H44">
        <v>0.12</v>
      </c>
      <c r="I44" s="2"/>
      <c r="J44" s="2"/>
      <c r="K44" s="2" t="s">
        <v>176</v>
      </c>
      <c r="O44" t="s">
        <v>48</v>
      </c>
    </row>
    <row r="45" spans="1:16" x14ac:dyDescent="0.2">
      <c r="A45" t="s">
        <v>82</v>
      </c>
      <c r="B45" t="s">
        <v>83</v>
      </c>
      <c r="C45" t="s">
        <v>84</v>
      </c>
      <c r="D45" t="s">
        <v>222</v>
      </c>
      <c r="E45" t="s">
        <v>205</v>
      </c>
      <c r="F45" t="s">
        <v>49</v>
      </c>
      <c r="G45" s="3">
        <v>1</v>
      </c>
      <c r="H45">
        <v>0.1</v>
      </c>
      <c r="I45" s="2"/>
      <c r="J45" s="2"/>
      <c r="K45" s="2" t="s">
        <v>176</v>
      </c>
      <c r="M45" t="s">
        <v>48</v>
      </c>
    </row>
    <row r="46" spans="1:16" x14ac:dyDescent="0.2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202</v>
      </c>
      <c r="P46" t="s">
        <v>204</v>
      </c>
    </row>
    <row r="47" spans="1:16" x14ac:dyDescent="0.2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202</v>
      </c>
      <c r="P47" t="s">
        <v>204</v>
      </c>
    </row>
    <row r="48" spans="1:16" x14ac:dyDescent="0.2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202</v>
      </c>
      <c r="O48" t="s">
        <v>102</v>
      </c>
    </row>
    <row r="49" spans="1:15" x14ac:dyDescent="0.2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202</v>
      </c>
      <c r="O49" t="s">
        <v>102</v>
      </c>
    </row>
    <row r="50" spans="1:15" x14ac:dyDescent="0.2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202</v>
      </c>
      <c r="M50" t="s">
        <v>102</v>
      </c>
    </row>
    <row r="51" spans="1:15" x14ac:dyDescent="0.2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202</v>
      </c>
      <c r="N51" t="s">
        <v>98</v>
      </c>
    </row>
    <row r="52" spans="1:15" x14ac:dyDescent="0.2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202</v>
      </c>
      <c r="O52" t="s">
        <v>98</v>
      </c>
    </row>
    <row r="53" spans="1:15" x14ac:dyDescent="0.2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202</v>
      </c>
      <c r="M53" t="s">
        <v>98</v>
      </c>
    </row>
    <row r="54" spans="1:15" x14ac:dyDescent="0.2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202</v>
      </c>
      <c r="O54" t="s">
        <v>102</v>
      </c>
    </row>
    <row r="55" spans="1:15" x14ac:dyDescent="0.2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202</v>
      </c>
      <c r="N55" t="s">
        <v>102</v>
      </c>
    </row>
    <row r="56" spans="1:15" x14ac:dyDescent="0.2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202</v>
      </c>
    </row>
    <row r="57" spans="1:15" x14ac:dyDescent="0.2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202</v>
      </c>
      <c r="L57" t="s">
        <v>102</v>
      </c>
    </row>
    <row r="58" spans="1:15" x14ac:dyDescent="0.2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202</v>
      </c>
      <c r="O58" t="s">
        <v>102</v>
      </c>
    </row>
    <row r="59" spans="1:15" x14ac:dyDescent="0.2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202</v>
      </c>
      <c r="L59" t="s">
        <v>102</v>
      </c>
    </row>
    <row r="60" spans="1:15" x14ac:dyDescent="0.2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202</v>
      </c>
      <c r="L60" t="s">
        <v>102</v>
      </c>
    </row>
    <row r="61" spans="1:15" x14ac:dyDescent="0.2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202</v>
      </c>
      <c r="L61" t="s">
        <v>102</v>
      </c>
    </row>
    <row r="62" spans="1:15" x14ac:dyDescent="0.2">
      <c r="A62" t="s">
        <v>99</v>
      </c>
      <c r="B62" t="s">
        <v>179</v>
      </c>
      <c r="C62" t="s">
        <v>52</v>
      </c>
      <c r="D62" t="s">
        <v>102</v>
      </c>
      <c r="I62" s="2"/>
      <c r="J62" s="2"/>
      <c r="K62" s="2" t="s">
        <v>202</v>
      </c>
      <c r="L62" t="s">
        <v>98</v>
      </c>
      <c r="M62" t="s">
        <v>48</v>
      </c>
      <c r="N62" t="s">
        <v>48</v>
      </c>
    </row>
    <row r="63" spans="1:15" x14ac:dyDescent="0.2">
      <c r="A63" t="s">
        <v>97</v>
      </c>
      <c r="B63" t="s">
        <v>177</v>
      </c>
      <c r="C63" t="s">
        <v>84</v>
      </c>
      <c r="D63" t="s">
        <v>102</v>
      </c>
      <c r="I63" s="2"/>
      <c r="J63" s="2"/>
      <c r="K63" s="2" t="s">
        <v>202</v>
      </c>
      <c r="L63" t="s">
        <v>98</v>
      </c>
    </row>
    <row r="64" spans="1:15" x14ac:dyDescent="0.2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202</v>
      </c>
      <c r="L64" t="s">
        <v>102</v>
      </c>
    </row>
    <row r="65" spans="1:15" x14ac:dyDescent="0.2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202</v>
      </c>
      <c r="L65" t="s">
        <v>102</v>
      </c>
    </row>
    <row r="66" spans="1:15" x14ac:dyDescent="0.2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202</v>
      </c>
      <c r="M66" t="s">
        <v>48</v>
      </c>
      <c r="N66" t="s">
        <v>48</v>
      </c>
      <c r="O66" t="s">
        <v>48</v>
      </c>
    </row>
    <row r="67" spans="1:15" x14ac:dyDescent="0.2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202</v>
      </c>
      <c r="N67" t="s">
        <v>98</v>
      </c>
    </row>
    <row r="68" spans="1:15" x14ac:dyDescent="0.2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202</v>
      </c>
      <c r="O68" t="s">
        <v>98</v>
      </c>
    </row>
    <row r="69" spans="1:15" x14ac:dyDescent="0.2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202</v>
      </c>
      <c r="M69" t="s">
        <v>98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7"/>
  <sheetViews>
    <sheetView zoomScale="160" zoomScaleNormal="160" workbookViewId="0">
      <selection activeCell="B15" sqref="B15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219</v>
      </c>
      <c r="B1" s="8" t="s">
        <v>218</v>
      </c>
      <c r="C1" s="8" t="s">
        <v>217</v>
      </c>
    </row>
    <row r="2" spans="1:3" x14ac:dyDescent="0.3">
      <c r="A2" s="7" t="s">
        <v>216</v>
      </c>
      <c r="B2" s="7" t="s">
        <v>215</v>
      </c>
      <c r="C2" s="7" t="s">
        <v>214</v>
      </c>
    </row>
    <row r="3" spans="1:3" x14ac:dyDescent="0.3">
      <c r="A3" s="7" t="s">
        <v>213</v>
      </c>
      <c r="B3" s="7">
        <v>0.75</v>
      </c>
      <c r="C3" s="7" t="s">
        <v>210</v>
      </c>
    </row>
    <row r="4" spans="1:3" x14ac:dyDescent="0.3">
      <c r="A4" s="7" t="s">
        <v>212</v>
      </c>
      <c r="B4" s="7">
        <v>0</v>
      </c>
      <c r="C4" s="7" t="s">
        <v>210</v>
      </c>
    </row>
    <row r="5" spans="1:3" x14ac:dyDescent="0.3">
      <c r="A5" s="7" t="s">
        <v>211</v>
      </c>
      <c r="B5" s="7">
        <v>0.01</v>
      </c>
      <c r="C5" s="7" t="s">
        <v>210</v>
      </c>
    </row>
    <row r="6" spans="1:3" x14ac:dyDescent="0.3">
      <c r="A6" s="7" t="s">
        <v>209</v>
      </c>
      <c r="B6" s="7">
        <v>100</v>
      </c>
      <c r="C6" s="7" t="s">
        <v>208</v>
      </c>
    </row>
    <row r="7" spans="1:3" x14ac:dyDescent="0.3">
      <c r="A7" s="7" t="s">
        <v>207</v>
      </c>
      <c r="B7" s="7" t="b">
        <v>1</v>
      </c>
      <c r="C7" s="7" t="s">
        <v>206</v>
      </c>
    </row>
  </sheetData>
  <dataValidations count="4">
    <dataValidation type="custom" allowBlank="1" showInputMessage="1" showErrorMessage="1" sqref="B6" xr:uid="{94AA1909-8159-4ABD-8194-E5CC31B00066}">
      <formula1>AND(ISNUMBER(B6),B6=INT(B6))</formula1>
    </dataValidation>
    <dataValidation type="custom" showInputMessage="1" showErrorMessage="1" sqref="B3:B5" xr:uid="{0F940659-071E-4396-94AE-334C05124B18}">
      <formula1>ISNUMBER(B3)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7" xr:uid="{05F071D7-CE12-4A8B-B2AB-37DFC65D1C77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2025-05-16T09:46:44Z</dcterms:modified>
</cp:coreProperties>
</file>