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0814C914-B6D6-4BA7-8C4A-A22C067F25B5}" xr6:coauthVersionLast="47" xr6:coauthVersionMax="47" xr10:uidLastSave="{00000000-0000-0000-0000-000000000000}"/>
  <bookViews>
    <workbookView xWindow="38280" yWindow="-165" windowWidth="25440" windowHeight="15270" activeTab="3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variabelen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N1" i="3"/>
  <c r="L1" i="3"/>
  <c r="J1" i="3"/>
  <c r="H1" i="3"/>
  <c r="F1" i="3"/>
  <c r="K1" i="1"/>
</calcChain>
</file>

<file path=xl/sharedStrings.xml><?xml version="1.0" encoding="utf-8"?>
<sst xmlns="http://schemas.openxmlformats.org/spreadsheetml/2006/main" count="841" uniqueCount="220">
  <si>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</si>
  <si>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</si>
  <si>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</si>
  <si>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</si>
  <si>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</si>
  <si>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</si>
  <si>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</si>
  <si>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</si>
  <si>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</si>
  <si>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</si>
  <si>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</si>
  <si>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</si>
  <si>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</si>
  <si>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</si>
  <si>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</si>
  <si>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</si>
  <si>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</si>
  <si>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</si>
  <si>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</si>
  <si>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</si>
  <si>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</si>
  <si>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&gt;10 m binnenteen</t>
  </si>
  <si>
    <t>MA_1_41_4_dk_00004</t>
  </si>
  <si>
    <t>&lt;10 m binnenteen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</si>
  <si>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</si>
  <si>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</si>
  <si>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</si>
  <si>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</si>
  <si>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</si>
  <si>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</si>
  <si>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Watergang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</si>
  <si>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</si>
  <si>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</si>
  <si>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</si>
  <si>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</si>
  <si>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</si>
  <si>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</si>
  <si>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</si>
  <si>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</si>
  <si>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</si>
  <si>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</si>
  <si>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</si>
  <si>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</si>
  <si>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</si>
  <si>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</si>
  <si>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</si>
  <si>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</si>
  <si>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m</t>
  </si>
  <si>
    <t>Input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</si>
  <si>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</si>
  <si>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</si>
  <si>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</si>
  <si>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</si>
  <si>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</si>
  <si>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</si>
  <si>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</si>
  <si>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</si>
  <si>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</si>
  <si>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</si>
  <si>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</si>
  <si>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</si>
  <si>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</si>
  <si>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</si>
  <si>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Calculated</t>
  </si>
  <si>
    <t>d_deklaag_vak</t>
  </si>
  <si>
    <t>Dikte van de cohesieve deklaag van het vak</t>
  </si>
  <si>
    <t>gamma_water</t>
  </si>
  <si>
    <t>Volumegewicht van water</t>
  </si>
  <si>
    <t>Constant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</si>
  <si>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</si>
  <si>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</si>
  <si>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</si>
  <si>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</si>
  <si>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</si>
  <si>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</si>
  <si>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</si>
  <si>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</si>
  <si>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</si>
  <si>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</si>
  <si>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</si>
  <si>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</si>
  <si>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</si>
  <si>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</si>
  <si>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</si>
  <si>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</si>
  <si>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</si>
  <si>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</si>
  <si>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</si>
  <si>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</si>
  <si>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</si>
  <si>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</si>
  <si>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</si>
  <si>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</si>
  <si>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</si>
  <si>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</si>
  <si>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</si>
  <si>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Buitenwaterstand</t>
  </si>
  <si>
    <t>extreme value of CDF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</si>
  <si>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</si>
  <si>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</si>
  <si>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</si>
  <si>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</si>
  <si>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</si>
  <si>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</si>
  <si>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</si>
  <si>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</si>
  <si>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</si>
  <si>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</si>
  <si>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</si>
  <si>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</si>
  <si>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</si>
  <si>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</si>
  <si>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</si>
  <si>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</si>
  <si>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</si>
  <si>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</si>
  <si>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</si>
  <si>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</si>
  <si>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m²/s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</si>
  <si>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</si>
  <si>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</si>
  <si>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</si>
  <si>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</si>
  <si>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</si>
  <si>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</si>
  <si>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</si>
  <si>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</si>
  <si>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</si>
  <si>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</si>
  <si>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</si>
  <si>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</si>
  <si>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</si>
  <si>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</si>
  <si>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</si>
  <si>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</si>
  <si>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</si>
  <si>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</si>
  <si>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</si>
  <si>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</si>
  <si>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</si>
  <si>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</si>
  <si>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</si>
  <si>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</si>
  <si>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</si>
  <si>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</si>
  <si>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</si>
  <si>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</si>
  <si>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</si>
  <si>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</si>
  <si>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</si>
  <si>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</si>
  <si>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</si>
  <si>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</si>
  <si>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</si>
  <si>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</si>
  <si>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</si>
  <si>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</si>
  <si>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</si>
  <si>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</si>
  <si>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</si>
  <si>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</si>
  <si>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</si>
  <si>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</si>
  <si>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</si>
  <si>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</si>
  <si>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</si>
  <si>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</si>
  <si>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</si>
  <si>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</si>
  <si>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</si>
  <si>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</si>
  <si>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</si>
  <si>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</si>
  <si>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variable_description</t>
  </si>
  <si>
    <t>variable_unit</t>
  </si>
  <si>
    <t>variable_type</t>
  </si>
  <si>
    <t>variable_distribution</t>
  </si>
  <si>
    <t>variable_default_value_mean</t>
  </si>
  <si>
    <t>variable_default_value_stdev</t>
  </si>
  <si>
    <t>variable_mean_lower_bound</t>
  </si>
  <si>
    <t>variable_mean_upper_bound</t>
  </si>
  <si>
    <t>variable_member_of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</si>
  <si>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</si>
  <si>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</si>
  <si>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</si>
  <si>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</si>
  <si>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</si>
  <si>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</si>
  <si>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</si>
  <si>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</si>
  <si>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</si>
  <si>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</si>
  <si>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</si>
  <si>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</si>
  <si>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</si>
  <si>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</si>
  <si>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</si>
  <si>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</si>
  <si>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</si>
  <si>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</si>
  <si>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</si>
  <si>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</si>
  <si>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</si>
  <si>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</si>
  <si>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</si>
  <si>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</si>
  <si>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</si>
  <si>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</si>
  <si>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</si>
  <si>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</si>
  <si>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</si>
  <si>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</si>
  <si>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</si>
  <si>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</si>
  <si>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</si>
  <si>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variable_name</t>
  </si>
  <si>
    <t>variable_spreidingstype</t>
  </si>
  <si>
    <t>deterministic</t>
  </si>
  <si>
    <t>by functional design &gt;0,1 m</t>
  </si>
  <si>
    <t>log_normal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</si>
</sst>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Verdana"/>
      <family val="2"/>
    </font>
    <font>
      <b/>
      <sz val="9"/>
      <color theme="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1" fillId="2" borderId="0" xfId="0" applyFont="1" applyFill="1"/>
    <xf numFmtId="0" fontId="1" fillId="0" borderId="0" xfId="0" applyFont="1"/>
    <xf numFmtId="0" fontId="0" fillId="3" borderId="0" xfId="0" applyFill="1"/>
  </cellXfs>
  <cellStyles count="1">
    <cellStyle name="Normal" xfId="0" builtinId="0"/>
  </cellStyles>
  <dxfs count="9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N103" headerRowCount="0" totalsRowShown="0">
  <tableColumns count="14">
    <tableColumn id="1" xr3:uid="{5EE94583-3EBC-4D61-9BDE-C9E94899637C}" name="Kolom1"/>
    <tableColumn id="2" xr3:uid="{8990A576-5075-4246-8F9A-BA6C41A7A01C}" name="Kolom2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2" xr3:uid="{63DC1136-49A2-44E7-9286-3F64EFA876CE}" name="Kolom12"/>
    <tableColumn id="13" xr3:uid="{D266588F-C618-4806-A218-A5D90FF4D5E3}" name="Kolom13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N55" headerRowCount="0" totalsRowShown="0">
  <tableColumns count="14">
    <tableColumn id="1" xr3:uid="{849DD8E4-53A6-4E3D-B1F9-91F33ED43571}" name="Kolom1"/>
    <tableColumn id="2" xr3:uid="{E80206AD-C5FD-4475-B5E4-08A08DA66E4A}" name="Kolom2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8" dataDxfId="7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6"/>
    <tableColumn id="10" xr3:uid="{B851468F-D94B-4F13-9CF8-13DADE13A2A8}" name="Kolom10" headerRowDxfId="5"/>
    <tableColumn id="11" xr3:uid="{41B8BB8E-854F-4E90-B76F-4066FB0CA9A2}" name="Kolom11" headerRowDxfId="4" dataDxfId="3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topLeftCell="B1" zoomScale="130" zoomScaleNormal="130" workbookViewId="0">
      <selection activeCell="H13" sqref="H13"/>
    </sheetView>
  </sheetViews>
  <sheetFormatPr defaultRowHeight="11.4" x14ac:dyDescent="0.2"/>
  <cols>
    <col min="1" max="1" width="8.19921875" customWidth="1"/>
    <col min="2" max="2" width="32.8984375" bestFit="1" customWidth="1"/>
    <col min="3" max="4" width="8.19921875" customWidth="1"/>
    <col min="5" max="5" width="16.59765625" customWidth="1"/>
    <col min="6" max="6" width="16.3984375" bestFit="1" customWidth="1"/>
    <col min="7" max="7" width="11.09765625" bestFit="1" customWidth="1"/>
    <col min="8" max="8" width="15" bestFit="1" customWidth="1"/>
    <col min="9" max="9" width="17.3984375" customWidth="1"/>
    <col min="10" max="10" width="16.5" bestFit="1" customWidth="1"/>
    <col min="11" max="11" width="16.59765625" customWidth="1"/>
  </cols>
  <sheetData>
    <row r="1" spans="1:11" s="5" customFormat="1" x14ac:dyDescent="0.2">
      <c r="A1" s="4" t="s">
        <v>161</v>
      </c>
      <c r="B1" s="4" t="s">
        <v>162</v>
      </c>
      <c r="C1" s="4" t="s">
        <v>0</v>
      </c>
      <c r="D1" s="4" t="s">
        <v>1</v>
      </c>
      <c r="E1" s="4" t="s">
        <v>163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LEFT(H1,LEN(H1)-5)&amp;VLOOKUP(LEFT(H1,LEN(H1)-5),Overzicht_variabelen!$A$2:$F$69,6,(FALSE))</f>
        <v>c_voorland_stdev</v>
      </c>
      <c r="J1" s="4" t="s">
        <v>5</v>
      </c>
      <c r="K1" s="4" t="str">
        <f>LEFT(J1,LEN(J1)-5)&amp;VLOOKUP(LEFT(J1,LEN(J1)-5),Overzicht_variabelen!$A$2:$F$69,6,(FALSE))</f>
        <v>c_achterland_vc</v>
      </c>
    </row>
    <row r="2" spans="1:11" x14ac:dyDescent="0.2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2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2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2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2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2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2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2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2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N103"/>
  <sheetViews>
    <sheetView topLeftCell="E1" zoomScale="85" zoomScaleNormal="85" workbookViewId="0">
      <selection activeCell="K45" sqref="K45"/>
    </sheetView>
  </sheetViews>
  <sheetFormatPr defaultRowHeight="11.4" x14ac:dyDescent="0.2"/>
  <cols>
    <col min="1" max="1" width="7.3984375" customWidth="1"/>
    <col min="2" max="2" width="14" bestFit="1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19.19921875" bestFit="1" customWidth="1"/>
    <col min="12" max="12" width="15.09765625" bestFit="1" customWidth="1"/>
    <col min="13" max="13" width="11.8984375" bestFit="1" customWidth="1"/>
    <col min="14" max="14" width="8.59765625" bestFit="1" customWidth="1"/>
  </cols>
  <sheetData>
    <row r="1" spans="1:14" s="5" customFormat="1" x14ac:dyDescent="0.2">
      <c r="A1" s="4" t="s">
        <v>161</v>
      </c>
      <c r="B1" s="4" t="s">
        <v>167</v>
      </c>
      <c r="C1" s="4" t="s">
        <v>168</v>
      </c>
      <c r="D1" s="4" t="s">
        <v>169</v>
      </c>
      <c r="E1" s="4" t="s">
        <v>164</v>
      </c>
      <c r="F1" s="4" t="s">
        <v>165</v>
      </c>
      <c r="G1" s="4" t="s">
        <v>162</v>
      </c>
      <c r="H1" s="4" t="s">
        <v>15</v>
      </c>
      <c r="I1" s="4" t="s">
        <v>16</v>
      </c>
      <c r="J1" s="4" t="s">
        <v>17</v>
      </c>
      <c r="K1" s="4" t="s">
        <v>166</v>
      </c>
      <c r="L1" s="4" t="s">
        <v>18</v>
      </c>
      <c r="M1" s="4" t="s">
        <v>19</v>
      </c>
      <c r="N1" s="4" t="s">
        <v>20</v>
      </c>
    </row>
    <row r="2" spans="1:14" x14ac:dyDescent="0.2">
      <c r="A2">
        <v>1</v>
      </c>
      <c r="B2">
        <v>1</v>
      </c>
      <c r="C2">
        <v>188535.09099999999</v>
      </c>
      <c r="D2">
        <v>418878.19900000002</v>
      </c>
      <c r="E2" t="s">
        <v>21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22</v>
      </c>
      <c r="L2">
        <v>13.295</v>
      </c>
      <c r="M2">
        <v>10.2043</v>
      </c>
      <c r="N2">
        <v>7.75</v>
      </c>
    </row>
    <row r="3" spans="1:14" x14ac:dyDescent="0.2">
      <c r="A3">
        <v>3</v>
      </c>
      <c r="B3">
        <v>2</v>
      </c>
      <c r="C3">
        <v>188488.46799999999</v>
      </c>
      <c r="D3">
        <v>418854.745</v>
      </c>
      <c r="E3" t="s">
        <v>21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22</v>
      </c>
      <c r="L3">
        <v>13.295</v>
      </c>
      <c r="M3">
        <v>11.3071</v>
      </c>
      <c r="N3">
        <v>7.75</v>
      </c>
    </row>
    <row r="4" spans="1:14" x14ac:dyDescent="0.2">
      <c r="A4">
        <v>4</v>
      </c>
      <c r="B4">
        <v>3</v>
      </c>
      <c r="C4">
        <v>188448.99600000001</v>
      </c>
      <c r="D4">
        <v>418827.85800000001</v>
      </c>
      <c r="E4" t="s">
        <v>23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22</v>
      </c>
      <c r="L4">
        <v>13.295</v>
      </c>
      <c r="M4">
        <v>14.162699999999999</v>
      </c>
      <c r="N4">
        <v>7.75</v>
      </c>
    </row>
    <row r="5" spans="1:14" x14ac:dyDescent="0.2">
      <c r="A5">
        <v>4</v>
      </c>
      <c r="B5">
        <v>4</v>
      </c>
      <c r="C5">
        <v>188412.38399999999</v>
      </c>
      <c r="D5">
        <v>418852.74300000002</v>
      </c>
      <c r="E5" t="s">
        <v>23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24</v>
      </c>
      <c r="L5">
        <v>13.295</v>
      </c>
      <c r="M5">
        <v>14.102399999999999</v>
      </c>
      <c r="N5">
        <v>7.75</v>
      </c>
    </row>
    <row r="6" spans="1:14" x14ac:dyDescent="0.2">
      <c r="A6">
        <v>4</v>
      </c>
      <c r="B6">
        <v>5</v>
      </c>
      <c r="C6">
        <v>188460.43700000001</v>
      </c>
      <c r="D6">
        <v>418871.62099999998</v>
      </c>
      <c r="E6" t="s">
        <v>21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22</v>
      </c>
      <c r="L6">
        <v>13.295</v>
      </c>
      <c r="M6">
        <v>12.430300000000001</v>
      </c>
      <c r="N6">
        <v>7.75</v>
      </c>
    </row>
    <row r="7" spans="1:14" x14ac:dyDescent="0.2">
      <c r="A7">
        <v>5</v>
      </c>
      <c r="B7">
        <v>6</v>
      </c>
      <c r="C7">
        <v>188355.46400000001</v>
      </c>
      <c r="D7">
        <v>418892.50099999999</v>
      </c>
      <c r="E7" t="s">
        <v>23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24</v>
      </c>
      <c r="L7">
        <v>13.295</v>
      </c>
      <c r="M7">
        <v>13.128</v>
      </c>
      <c r="N7">
        <v>7.75</v>
      </c>
    </row>
    <row r="8" spans="1:14" x14ac:dyDescent="0.2">
      <c r="A8">
        <v>5</v>
      </c>
      <c r="B8">
        <v>7</v>
      </c>
      <c r="C8">
        <v>188366.61900000001</v>
      </c>
      <c r="D8">
        <v>418922.82</v>
      </c>
      <c r="E8" t="s">
        <v>21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24</v>
      </c>
      <c r="L8">
        <v>13.295</v>
      </c>
      <c r="M8">
        <v>12.598000000000001</v>
      </c>
      <c r="N8">
        <v>7.75</v>
      </c>
    </row>
    <row r="9" spans="1:14" x14ac:dyDescent="0.2">
      <c r="A9">
        <v>5</v>
      </c>
      <c r="B9">
        <v>8</v>
      </c>
      <c r="C9">
        <v>188341.16200000001</v>
      </c>
      <c r="D9">
        <v>418899.93800000002</v>
      </c>
      <c r="E9" t="s">
        <v>23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24</v>
      </c>
      <c r="L9">
        <v>13.295</v>
      </c>
      <c r="M9">
        <v>12.921900000000001</v>
      </c>
      <c r="N9">
        <v>7.75</v>
      </c>
    </row>
    <row r="10" spans="1:14" x14ac:dyDescent="0.2">
      <c r="A10">
        <v>5</v>
      </c>
      <c r="B10">
        <v>9</v>
      </c>
      <c r="C10">
        <v>188313.13099999999</v>
      </c>
      <c r="D10">
        <v>418917.386</v>
      </c>
      <c r="E10" t="s">
        <v>23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25</v>
      </c>
      <c r="L10">
        <v>13.287000000000001</v>
      </c>
      <c r="M10">
        <v>12.8507</v>
      </c>
      <c r="N10">
        <v>7.75</v>
      </c>
    </row>
    <row r="11" spans="1:14" x14ac:dyDescent="0.2">
      <c r="A11">
        <v>5</v>
      </c>
      <c r="B11">
        <v>10</v>
      </c>
      <c r="C11">
        <v>188258.785</v>
      </c>
      <c r="D11">
        <v>418947.99099999998</v>
      </c>
      <c r="E11" t="s">
        <v>23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26</v>
      </c>
      <c r="L11">
        <v>13.292999999999999</v>
      </c>
      <c r="M11">
        <v>12.9312</v>
      </c>
      <c r="N11">
        <v>7.75</v>
      </c>
    </row>
    <row r="12" spans="1:14" x14ac:dyDescent="0.2">
      <c r="A12">
        <v>5</v>
      </c>
      <c r="B12">
        <v>11</v>
      </c>
      <c r="C12">
        <v>188206.155</v>
      </c>
      <c r="D12">
        <v>418975.16399999999</v>
      </c>
      <c r="E12" t="s">
        <v>23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26</v>
      </c>
      <c r="L12">
        <v>13.292999999999999</v>
      </c>
      <c r="M12">
        <v>13.003399999999999</v>
      </c>
      <c r="N12">
        <v>7.75</v>
      </c>
    </row>
    <row r="13" spans="1:14" x14ac:dyDescent="0.2">
      <c r="A13">
        <v>5</v>
      </c>
      <c r="B13">
        <v>12</v>
      </c>
      <c r="C13">
        <v>188203.97399999999</v>
      </c>
      <c r="D13">
        <v>419023.45</v>
      </c>
      <c r="E13" t="s">
        <v>21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26</v>
      </c>
      <c r="L13">
        <v>13.292999999999999</v>
      </c>
      <c r="M13">
        <v>10.3439</v>
      </c>
      <c r="N13">
        <v>7.75</v>
      </c>
    </row>
    <row r="14" spans="1:14" x14ac:dyDescent="0.2">
      <c r="A14">
        <v>5</v>
      </c>
      <c r="B14">
        <v>13</v>
      </c>
      <c r="C14">
        <v>188152.57800000001</v>
      </c>
      <c r="D14">
        <v>418998.86900000001</v>
      </c>
      <c r="E14" t="s">
        <v>23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27</v>
      </c>
      <c r="L14">
        <v>13.292999999999999</v>
      </c>
      <c r="M14">
        <v>12.850300000000001</v>
      </c>
      <c r="N14">
        <v>7.75</v>
      </c>
    </row>
    <row r="15" spans="1:14" x14ac:dyDescent="0.2">
      <c r="A15">
        <v>5</v>
      </c>
      <c r="B15">
        <v>14</v>
      </c>
      <c r="C15">
        <v>188093.584</v>
      </c>
      <c r="D15">
        <v>419025.68400000001</v>
      </c>
      <c r="E15" t="s">
        <v>23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27</v>
      </c>
      <c r="L15">
        <v>13.292999999999999</v>
      </c>
      <c r="M15">
        <v>12.824999999999999</v>
      </c>
      <c r="N15">
        <v>7.75</v>
      </c>
    </row>
    <row r="16" spans="1:14" x14ac:dyDescent="0.2">
      <c r="A16">
        <v>5</v>
      </c>
      <c r="B16">
        <v>15</v>
      </c>
      <c r="C16">
        <v>188092.655</v>
      </c>
      <c r="D16">
        <v>419053.89199999999</v>
      </c>
      <c r="E16" t="s">
        <v>21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27</v>
      </c>
      <c r="L16">
        <v>13.292999999999999</v>
      </c>
      <c r="M16">
        <v>9.9861000000000004</v>
      </c>
      <c r="N16">
        <v>7.75</v>
      </c>
    </row>
    <row r="17" spans="1:14" x14ac:dyDescent="0.2">
      <c r="A17">
        <v>6</v>
      </c>
      <c r="B17">
        <v>16</v>
      </c>
      <c r="C17">
        <v>188069.57399999999</v>
      </c>
      <c r="D17">
        <v>419047.56599999999</v>
      </c>
      <c r="E17" t="s">
        <v>23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27</v>
      </c>
      <c r="L17">
        <v>13.292999999999999</v>
      </c>
      <c r="M17">
        <v>10.509600000000001</v>
      </c>
      <c r="N17">
        <v>7.75</v>
      </c>
    </row>
    <row r="18" spans="1:14" x14ac:dyDescent="0.2">
      <c r="A18">
        <v>6</v>
      </c>
      <c r="B18">
        <v>17</v>
      </c>
      <c r="C18">
        <v>188060.905</v>
      </c>
      <c r="D18">
        <v>419046.98</v>
      </c>
      <c r="E18" t="s">
        <v>23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28</v>
      </c>
      <c r="L18">
        <v>13.287000000000001</v>
      </c>
      <c r="M18">
        <v>10.592499999999999</v>
      </c>
      <c r="N18">
        <v>7.75</v>
      </c>
    </row>
    <row r="19" spans="1:14" x14ac:dyDescent="0.2">
      <c r="A19">
        <v>6</v>
      </c>
      <c r="B19">
        <v>18</v>
      </c>
      <c r="C19">
        <v>188054.845</v>
      </c>
      <c r="D19">
        <v>419049.81800000003</v>
      </c>
      <c r="E19" t="s">
        <v>23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28</v>
      </c>
      <c r="L19">
        <v>13.287000000000001</v>
      </c>
      <c r="M19">
        <v>10.4916</v>
      </c>
      <c r="N19">
        <v>7.75</v>
      </c>
    </row>
    <row r="20" spans="1:14" x14ac:dyDescent="0.2">
      <c r="A20">
        <v>6</v>
      </c>
      <c r="B20">
        <v>19</v>
      </c>
      <c r="C20">
        <v>188026.242</v>
      </c>
      <c r="D20">
        <v>419060.68699999998</v>
      </c>
      <c r="E20" t="s">
        <v>23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28</v>
      </c>
      <c r="L20">
        <v>13.287000000000001</v>
      </c>
      <c r="M20">
        <v>10.553800000000001</v>
      </c>
      <c r="N20">
        <v>7.75</v>
      </c>
    </row>
    <row r="21" spans="1:14" x14ac:dyDescent="0.2">
      <c r="A21">
        <v>6</v>
      </c>
      <c r="B21">
        <v>20</v>
      </c>
      <c r="C21">
        <v>188013.084</v>
      </c>
      <c r="D21">
        <v>419069.84</v>
      </c>
      <c r="E21" t="s">
        <v>23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28</v>
      </c>
      <c r="L21">
        <v>13.287000000000001</v>
      </c>
      <c r="M21">
        <v>10.2805</v>
      </c>
      <c r="N21">
        <v>7.75</v>
      </c>
    </row>
    <row r="22" spans="1:14" x14ac:dyDescent="0.2">
      <c r="A22">
        <v>6</v>
      </c>
      <c r="B22">
        <v>21</v>
      </c>
      <c r="C22">
        <v>188011.78200000001</v>
      </c>
      <c r="D22">
        <v>419075.22</v>
      </c>
      <c r="E22" t="s">
        <v>21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28</v>
      </c>
      <c r="L22">
        <v>13.287000000000001</v>
      </c>
      <c r="M22">
        <v>10.1736</v>
      </c>
      <c r="N22">
        <v>7.75</v>
      </c>
    </row>
    <row r="23" spans="1:14" x14ac:dyDescent="0.2">
      <c r="A23">
        <v>6</v>
      </c>
      <c r="B23">
        <v>22</v>
      </c>
      <c r="C23">
        <v>188019.50599999999</v>
      </c>
      <c r="D23">
        <v>419090.66600000003</v>
      </c>
      <c r="E23" t="s">
        <v>21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28</v>
      </c>
      <c r="L23">
        <v>13.287000000000001</v>
      </c>
      <c r="M23">
        <v>10.081200000000001</v>
      </c>
      <c r="N23">
        <v>7.75</v>
      </c>
    </row>
    <row r="24" spans="1:14" x14ac:dyDescent="0.2">
      <c r="A24">
        <v>6</v>
      </c>
      <c r="B24">
        <v>23</v>
      </c>
      <c r="C24">
        <v>187979.166</v>
      </c>
      <c r="D24">
        <v>419100.18800000002</v>
      </c>
      <c r="E24" t="s">
        <v>21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29</v>
      </c>
      <c r="L24">
        <v>13.29</v>
      </c>
      <c r="M24">
        <v>9.9170999999999996</v>
      </c>
      <c r="N24">
        <v>7.75</v>
      </c>
    </row>
    <row r="25" spans="1:14" x14ac:dyDescent="0.2">
      <c r="A25">
        <v>6</v>
      </c>
      <c r="B25">
        <v>24</v>
      </c>
      <c r="C25">
        <v>187970.318</v>
      </c>
      <c r="D25">
        <v>419087.66700000002</v>
      </c>
      <c r="E25" t="s">
        <v>23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29</v>
      </c>
      <c r="L25">
        <v>13.29</v>
      </c>
      <c r="M25">
        <v>10.31</v>
      </c>
      <c r="N25">
        <v>7.75</v>
      </c>
    </row>
    <row r="26" spans="1:14" x14ac:dyDescent="0.2">
      <c r="A26">
        <v>7</v>
      </c>
      <c r="B26">
        <v>25</v>
      </c>
      <c r="C26">
        <v>187970.318</v>
      </c>
      <c r="D26">
        <v>419101.538</v>
      </c>
      <c r="E26" t="s">
        <v>30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29</v>
      </c>
      <c r="L26">
        <v>13.29</v>
      </c>
      <c r="M26">
        <v>9.5640999999999998</v>
      </c>
      <c r="N26">
        <v>7.75</v>
      </c>
    </row>
    <row r="27" spans="1:14" x14ac:dyDescent="0.2">
      <c r="A27">
        <v>7</v>
      </c>
      <c r="B27">
        <v>26</v>
      </c>
      <c r="C27">
        <v>187965.96900000001</v>
      </c>
      <c r="D27">
        <v>419104.837</v>
      </c>
      <c r="E27" t="s">
        <v>30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29</v>
      </c>
      <c r="L27">
        <v>13.29</v>
      </c>
      <c r="M27">
        <v>9.5790000000000006</v>
      </c>
      <c r="N27">
        <v>7.75</v>
      </c>
    </row>
    <row r="28" spans="1:14" x14ac:dyDescent="0.2">
      <c r="A28">
        <v>7</v>
      </c>
      <c r="B28">
        <v>27</v>
      </c>
      <c r="C28">
        <v>187943.85</v>
      </c>
      <c r="D28">
        <v>419121.408</v>
      </c>
      <c r="E28" t="s">
        <v>30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29</v>
      </c>
      <c r="L28">
        <v>13.29</v>
      </c>
      <c r="M28">
        <v>9.4616000000000007</v>
      </c>
      <c r="N28">
        <v>7.75</v>
      </c>
    </row>
    <row r="29" spans="1:14" x14ac:dyDescent="0.2">
      <c r="A29">
        <v>7</v>
      </c>
      <c r="B29">
        <v>28</v>
      </c>
      <c r="C29">
        <v>187930.42800000001</v>
      </c>
      <c r="D29">
        <v>419119.15899999999</v>
      </c>
      <c r="E29" t="s">
        <v>23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29</v>
      </c>
      <c r="L29">
        <v>13.29</v>
      </c>
      <c r="M29">
        <v>11.1126</v>
      </c>
      <c r="N29">
        <v>7.75</v>
      </c>
    </row>
    <row r="30" spans="1:14" x14ac:dyDescent="0.2">
      <c r="A30">
        <v>7</v>
      </c>
      <c r="B30">
        <v>29</v>
      </c>
      <c r="C30">
        <v>187962.89499999999</v>
      </c>
      <c r="D30">
        <v>419096.88900000002</v>
      </c>
      <c r="E30" t="s">
        <v>23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29</v>
      </c>
      <c r="L30">
        <v>13.29</v>
      </c>
      <c r="M30">
        <v>10.895899999999999</v>
      </c>
      <c r="N30">
        <v>7.75</v>
      </c>
    </row>
    <row r="31" spans="1:14" x14ac:dyDescent="0.2">
      <c r="A31">
        <v>7</v>
      </c>
      <c r="B31">
        <v>30</v>
      </c>
      <c r="C31">
        <v>187947.299</v>
      </c>
      <c r="D31">
        <v>419109.03600000002</v>
      </c>
      <c r="E31" t="s">
        <v>23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29</v>
      </c>
      <c r="L31">
        <v>13.29</v>
      </c>
      <c r="M31">
        <v>10.970700000000001</v>
      </c>
      <c r="N31">
        <v>7.75</v>
      </c>
    </row>
    <row r="32" spans="1:14" x14ac:dyDescent="0.2">
      <c r="A32">
        <v>7</v>
      </c>
      <c r="B32">
        <v>31</v>
      </c>
      <c r="C32">
        <v>187929.45300000001</v>
      </c>
      <c r="D32">
        <v>419132.505</v>
      </c>
      <c r="E32" t="s">
        <v>30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29</v>
      </c>
      <c r="L32">
        <v>13.29</v>
      </c>
      <c r="M32">
        <v>9.3927999999999994</v>
      </c>
      <c r="N32">
        <v>7.75</v>
      </c>
    </row>
    <row r="33" spans="1:14" x14ac:dyDescent="0.2">
      <c r="A33">
        <v>7</v>
      </c>
      <c r="B33">
        <v>32</v>
      </c>
      <c r="C33">
        <v>187903.32800000001</v>
      </c>
      <c r="D33">
        <v>419151.09899999999</v>
      </c>
      <c r="E33" t="s">
        <v>30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31</v>
      </c>
      <c r="L33">
        <v>13.281000000000001</v>
      </c>
      <c r="M33">
        <v>9.4320000000000004</v>
      </c>
      <c r="N33">
        <v>7.75</v>
      </c>
    </row>
    <row r="34" spans="1:14" x14ac:dyDescent="0.2">
      <c r="A34">
        <v>7</v>
      </c>
      <c r="B34">
        <v>33</v>
      </c>
      <c r="C34">
        <v>187892.783</v>
      </c>
      <c r="D34">
        <v>419159.00699999998</v>
      </c>
      <c r="E34" t="s">
        <v>30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31</v>
      </c>
      <c r="L34">
        <v>13.281000000000001</v>
      </c>
      <c r="M34">
        <v>9.3580000000000005</v>
      </c>
      <c r="N34">
        <v>7.75</v>
      </c>
    </row>
    <row r="35" spans="1:14" x14ac:dyDescent="0.2">
      <c r="A35">
        <v>7</v>
      </c>
      <c r="B35">
        <v>34</v>
      </c>
      <c r="C35">
        <v>187910.39799999999</v>
      </c>
      <c r="D35">
        <v>419145.946</v>
      </c>
      <c r="E35" t="s">
        <v>30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31</v>
      </c>
      <c r="L35">
        <v>13.281000000000001</v>
      </c>
      <c r="M35">
        <v>10.359500000000001</v>
      </c>
      <c r="N35">
        <v>7.75</v>
      </c>
    </row>
    <row r="36" spans="1:14" x14ac:dyDescent="0.2">
      <c r="A36">
        <v>7</v>
      </c>
      <c r="B36">
        <v>35</v>
      </c>
      <c r="C36">
        <v>187875.76699999999</v>
      </c>
      <c r="D36">
        <v>419171.94900000002</v>
      </c>
      <c r="E36" t="s">
        <v>30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31</v>
      </c>
      <c r="L36">
        <v>13.281000000000001</v>
      </c>
      <c r="M36">
        <v>9.4057999999999993</v>
      </c>
      <c r="N36">
        <v>7.75</v>
      </c>
    </row>
    <row r="37" spans="1:14" x14ac:dyDescent="0.2">
      <c r="A37">
        <v>7</v>
      </c>
      <c r="B37">
        <v>36</v>
      </c>
      <c r="C37">
        <v>187856.35500000001</v>
      </c>
      <c r="D37">
        <v>419186.44799999997</v>
      </c>
      <c r="E37" t="s">
        <v>30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31</v>
      </c>
      <c r="L37">
        <v>13.281000000000001</v>
      </c>
      <c r="M37">
        <v>9.3960000000000008</v>
      </c>
      <c r="N37">
        <v>7.75</v>
      </c>
    </row>
    <row r="38" spans="1:14" x14ac:dyDescent="0.2">
      <c r="A38">
        <v>7</v>
      </c>
      <c r="B38">
        <v>37</v>
      </c>
      <c r="C38">
        <v>187839.81899999999</v>
      </c>
      <c r="D38">
        <v>419199.03</v>
      </c>
      <c r="E38" t="s">
        <v>30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31</v>
      </c>
      <c r="L38">
        <v>13.281000000000001</v>
      </c>
      <c r="M38">
        <v>9.2929999999999993</v>
      </c>
      <c r="N38">
        <v>7.75</v>
      </c>
    </row>
    <row r="39" spans="1:14" x14ac:dyDescent="0.2">
      <c r="A39">
        <v>7</v>
      </c>
      <c r="B39">
        <v>38</v>
      </c>
      <c r="C39">
        <v>187824.12100000001</v>
      </c>
      <c r="D39">
        <v>419211.13299999997</v>
      </c>
      <c r="E39" t="s">
        <v>30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32</v>
      </c>
      <c r="L39">
        <v>13.28</v>
      </c>
      <c r="M39">
        <v>9.2729999999999997</v>
      </c>
      <c r="N39">
        <v>7.75</v>
      </c>
    </row>
    <row r="40" spans="1:14" x14ac:dyDescent="0.2">
      <c r="A40">
        <v>7</v>
      </c>
      <c r="B40">
        <v>39</v>
      </c>
      <c r="C40">
        <v>187808.06400000001</v>
      </c>
      <c r="D40">
        <v>419222.51699999999</v>
      </c>
      <c r="E40" t="s">
        <v>30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32</v>
      </c>
      <c r="L40">
        <v>13.28</v>
      </c>
      <c r="M40">
        <v>9.2373999999999992</v>
      </c>
      <c r="N40">
        <v>7.75</v>
      </c>
    </row>
    <row r="41" spans="1:14" x14ac:dyDescent="0.2">
      <c r="A41">
        <v>8</v>
      </c>
      <c r="B41">
        <v>40</v>
      </c>
      <c r="C41">
        <v>187750.77100000001</v>
      </c>
      <c r="D41">
        <v>419287.82400000002</v>
      </c>
      <c r="E41" t="s">
        <v>30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33</v>
      </c>
      <c r="L41">
        <v>13.284000000000001</v>
      </c>
      <c r="M41">
        <v>9.0991</v>
      </c>
      <c r="N41">
        <v>7.75</v>
      </c>
    </row>
    <row r="42" spans="1:14" x14ac:dyDescent="0.2">
      <c r="A42">
        <v>8</v>
      </c>
      <c r="B42">
        <v>41</v>
      </c>
      <c r="C42">
        <v>187736.166</v>
      </c>
      <c r="D42">
        <v>419301.304</v>
      </c>
      <c r="E42" t="s">
        <v>30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33</v>
      </c>
      <c r="L42">
        <v>13.284000000000001</v>
      </c>
      <c r="M42">
        <v>9.1163000000000007</v>
      </c>
      <c r="N42">
        <v>7.75</v>
      </c>
    </row>
    <row r="43" spans="1:14" x14ac:dyDescent="0.2">
      <c r="A43">
        <v>8</v>
      </c>
      <c r="B43">
        <v>42</v>
      </c>
      <c r="C43">
        <v>187723.80900000001</v>
      </c>
      <c r="D43">
        <v>419313.1</v>
      </c>
      <c r="E43" t="s">
        <v>30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33</v>
      </c>
      <c r="L43">
        <v>13.284000000000001</v>
      </c>
      <c r="M43">
        <v>9.0764999999999993</v>
      </c>
      <c r="N43">
        <v>7.75</v>
      </c>
    </row>
    <row r="44" spans="1:14" x14ac:dyDescent="0.2">
      <c r="A44">
        <v>8</v>
      </c>
      <c r="B44">
        <v>43</v>
      </c>
      <c r="C44">
        <v>187713.13699999999</v>
      </c>
      <c r="D44">
        <v>419322.83600000001</v>
      </c>
      <c r="E44" t="s">
        <v>30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33</v>
      </c>
      <c r="L44">
        <v>13.284000000000001</v>
      </c>
      <c r="M44">
        <v>9.0787999999999993</v>
      </c>
      <c r="N44">
        <v>7.75</v>
      </c>
    </row>
    <row r="45" spans="1:14" x14ac:dyDescent="0.2">
      <c r="A45">
        <v>8</v>
      </c>
      <c r="B45">
        <v>44</v>
      </c>
      <c r="C45">
        <v>187704.89799999999</v>
      </c>
      <c r="D45">
        <v>419331.07400000002</v>
      </c>
      <c r="E45" t="s">
        <v>30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33</v>
      </c>
      <c r="L45">
        <v>13.284000000000001</v>
      </c>
      <c r="M45">
        <v>9.0907</v>
      </c>
      <c r="N45">
        <v>7.75</v>
      </c>
    </row>
    <row r="46" spans="1:14" x14ac:dyDescent="0.2">
      <c r="A46">
        <v>8</v>
      </c>
      <c r="B46">
        <v>45</v>
      </c>
      <c r="C46">
        <v>187697.035</v>
      </c>
      <c r="D46">
        <v>419338.00199999998</v>
      </c>
      <c r="E46" t="s">
        <v>30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34</v>
      </c>
      <c r="L46">
        <v>13.287000000000001</v>
      </c>
      <c r="M46">
        <v>9.0299999999999994</v>
      </c>
      <c r="N46">
        <v>7.75</v>
      </c>
    </row>
    <row r="47" spans="1:14" x14ac:dyDescent="0.2">
      <c r="A47">
        <v>8</v>
      </c>
      <c r="B47">
        <v>46</v>
      </c>
      <c r="C47">
        <v>187786.01500000001</v>
      </c>
      <c r="D47">
        <v>419239.05300000001</v>
      </c>
      <c r="E47" t="s">
        <v>23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32</v>
      </c>
      <c r="L47">
        <v>13.28</v>
      </c>
      <c r="M47">
        <v>10.5002</v>
      </c>
      <c r="N47">
        <v>7.75</v>
      </c>
    </row>
    <row r="48" spans="1:14" x14ac:dyDescent="0.2">
      <c r="A48">
        <v>8</v>
      </c>
      <c r="B48">
        <v>47</v>
      </c>
      <c r="C48">
        <v>187769.59899999999</v>
      </c>
      <c r="D48">
        <v>419252.11499999999</v>
      </c>
      <c r="E48" t="s">
        <v>23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33</v>
      </c>
      <c r="L48">
        <v>13.284000000000001</v>
      </c>
      <c r="M48">
        <v>10.527699999999999</v>
      </c>
      <c r="N48">
        <v>7.75</v>
      </c>
    </row>
    <row r="49" spans="1:14" x14ac:dyDescent="0.2">
      <c r="A49">
        <v>8</v>
      </c>
      <c r="B49">
        <v>48</v>
      </c>
      <c r="C49">
        <v>187751.864</v>
      </c>
      <c r="D49">
        <v>419266.85399999999</v>
      </c>
      <c r="E49" t="s">
        <v>23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33</v>
      </c>
      <c r="L49">
        <v>13.284000000000001</v>
      </c>
      <c r="M49">
        <v>10.632</v>
      </c>
      <c r="N49">
        <v>7.75</v>
      </c>
    </row>
    <row r="50" spans="1:14" x14ac:dyDescent="0.2">
      <c r="A50">
        <v>8</v>
      </c>
      <c r="B50">
        <v>49</v>
      </c>
      <c r="C50">
        <v>187736.109</v>
      </c>
      <c r="D50">
        <v>419286.549</v>
      </c>
      <c r="E50" t="s">
        <v>21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33</v>
      </c>
      <c r="L50">
        <v>13.284000000000001</v>
      </c>
      <c r="M50">
        <v>10.427</v>
      </c>
      <c r="N50">
        <v>7.75</v>
      </c>
    </row>
    <row r="51" spans="1:14" x14ac:dyDescent="0.2">
      <c r="A51">
        <v>8</v>
      </c>
      <c r="B51">
        <v>50</v>
      </c>
      <c r="C51">
        <v>187715.633</v>
      </c>
      <c r="D51">
        <v>419303.49699999997</v>
      </c>
      <c r="E51" t="s">
        <v>21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33</v>
      </c>
      <c r="L51">
        <v>13.284000000000001</v>
      </c>
      <c r="M51">
        <v>10.532999999999999</v>
      </c>
      <c r="N51">
        <v>7.75</v>
      </c>
    </row>
    <row r="52" spans="1:14" x14ac:dyDescent="0.2">
      <c r="A52">
        <v>8</v>
      </c>
      <c r="B52">
        <v>51</v>
      </c>
      <c r="C52">
        <v>187695.693</v>
      </c>
      <c r="D52">
        <v>419321.36599999998</v>
      </c>
      <c r="E52" t="s">
        <v>21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33</v>
      </c>
      <c r="L52">
        <v>13.284000000000001</v>
      </c>
      <c r="M52">
        <v>10.5641</v>
      </c>
      <c r="N52">
        <v>7.75</v>
      </c>
    </row>
    <row r="53" spans="1:14" x14ac:dyDescent="0.2">
      <c r="A53">
        <v>8</v>
      </c>
      <c r="B53">
        <v>52</v>
      </c>
      <c r="C53">
        <v>187693.02799999999</v>
      </c>
      <c r="D53">
        <v>419341.74699999997</v>
      </c>
      <c r="E53" t="s">
        <v>30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34</v>
      </c>
      <c r="L53">
        <v>13.287000000000001</v>
      </c>
      <c r="M53">
        <v>9.8963999999999999</v>
      </c>
      <c r="N53">
        <v>7.75</v>
      </c>
    </row>
    <row r="54" spans="1:14" x14ac:dyDescent="0.2">
      <c r="A54">
        <v>8</v>
      </c>
      <c r="B54">
        <v>53</v>
      </c>
      <c r="C54">
        <v>187731.97200000001</v>
      </c>
      <c r="D54">
        <v>419322.09499999997</v>
      </c>
      <c r="E54" t="s">
        <v>21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33</v>
      </c>
      <c r="L54">
        <v>13.284000000000001</v>
      </c>
      <c r="M54">
        <v>9.5132999999999992</v>
      </c>
      <c r="N54">
        <v>7.75</v>
      </c>
    </row>
    <row r="55" spans="1:14" x14ac:dyDescent="0.2">
      <c r="A55">
        <v>8</v>
      </c>
      <c r="B55">
        <v>54</v>
      </c>
      <c r="C55">
        <v>187712.56</v>
      </c>
      <c r="D55">
        <v>419339.94900000002</v>
      </c>
      <c r="E55" t="s">
        <v>21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33</v>
      </c>
      <c r="L55">
        <v>13.284000000000001</v>
      </c>
      <c r="M55">
        <v>9.5338999999999992</v>
      </c>
      <c r="N55">
        <v>7.75</v>
      </c>
    </row>
    <row r="56" spans="1:14" x14ac:dyDescent="0.2">
      <c r="A56">
        <v>8</v>
      </c>
      <c r="B56">
        <v>55</v>
      </c>
      <c r="C56">
        <v>187746.11199999999</v>
      </c>
      <c r="D56">
        <v>419311.31</v>
      </c>
      <c r="E56" t="s">
        <v>21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33</v>
      </c>
      <c r="L56">
        <v>13.284000000000001</v>
      </c>
      <c r="M56">
        <v>9.5863999999999994</v>
      </c>
      <c r="N56">
        <v>7.75</v>
      </c>
    </row>
    <row r="57" spans="1:14" x14ac:dyDescent="0.2">
      <c r="A57">
        <v>8</v>
      </c>
      <c r="B57">
        <v>56</v>
      </c>
      <c r="C57">
        <v>187688.71400000001</v>
      </c>
      <c r="D57">
        <v>419346.54</v>
      </c>
      <c r="E57" t="s">
        <v>30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34</v>
      </c>
      <c r="L57">
        <v>13.287000000000001</v>
      </c>
      <c r="M57">
        <v>9.109</v>
      </c>
      <c r="N57">
        <v>7.75</v>
      </c>
    </row>
    <row r="58" spans="1:14" x14ac:dyDescent="0.2">
      <c r="A58">
        <v>8</v>
      </c>
      <c r="B58">
        <v>57</v>
      </c>
      <c r="C58">
        <v>187675.054</v>
      </c>
      <c r="D58">
        <v>419359.96100000001</v>
      </c>
      <c r="E58" t="s">
        <v>30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34</v>
      </c>
      <c r="L58">
        <v>13.287000000000001</v>
      </c>
      <c r="M58">
        <v>9.0741999999999994</v>
      </c>
      <c r="N58">
        <v>7.75</v>
      </c>
    </row>
    <row r="59" spans="1:14" x14ac:dyDescent="0.2">
      <c r="A59">
        <v>8</v>
      </c>
      <c r="B59">
        <v>58</v>
      </c>
      <c r="C59">
        <v>187662.11199999999</v>
      </c>
      <c r="D59">
        <v>419373.50099999999</v>
      </c>
      <c r="E59" t="s">
        <v>30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34</v>
      </c>
      <c r="L59">
        <v>13.287000000000001</v>
      </c>
      <c r="M59">
        <v>9.1675000000000004</v>
      </c>
      <c r="N59">
        <v>7.75</v>
      </c>
    </row>
    <row r="60" spans="1:14" x14ac:dyDescent="0.2">
      <c r="A60">
        <v>8</v>
      </c>
      <c r="B60">
        <v>59</v>
      </c>
      <c r="C60">
        <v>187649.171</v>
      </c>
      <c r="D60">
        <v>419387.641</v>
      </c>
      <c r="E60" t="s">
        <v>30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34</v>
      </c>
      <c r="L60">
        <v>13.287000000000001</v>
      </c>
      <c r="M60">
        <v>9.1737000000000002</v>
      </c>
      <c r="N60">
        <v>7.75</v>
      </c>
    </row>
    <row r="61" spans="1:14" x14ac:dyDescent="0.2">
      <c r="A61">
        <v>8</v>
      </c>
      <c r="B61">
        <v>60</v>
      </c>
      <c r="C61">
        <v>187667.74400000001</v>
      </c>
      <c r="D61">
        <v>419352.29200000002</v>
      </c>
      <c r="E61" t="s">
        <v>21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34</v>
      </c>
      <c r="L61">
        <v>13.287000000000001</v>
      </c>
      <c r="M61">
        <v>10.505100000000001</v>
      </c>
      <c r="N61">
        <v>7.75</v>
      </c>
    </row>
    <row r="62" spans="1:14" x14ac:dyDescent="0.2">
      <c r="A62">
        <v>8</v>
      </c>
      <c r="B62">
        <v>61</v>
      </c>
      <c r="C62">
        <v>187640.78200000001</v>
      </c>
      <c r="D62">
        <v>419381.53</v>
      </c>
      <c r="E62" t="s">
        <v>21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34</v>
      </c>
      <c r="L62">
        <v>13.287000000000001</v>
      </c>
      <c r="M62">
        <v>10.4526</v>
      </c>
      <c r="N62">
        <v>7.75</v>
      </c>
    </row>
    <row r="63" spans="1:14" x14ac:dyDescent="0.2">
      <c r="A63">
        <v>8</v>
      </c>
      <c r="B63">
        <v>62</v>
      </c>
      <c r="C63">
        <v>187683.32199999999</v>
      </c>
      <c r="D63">
        <v>419368.70799999998</v>
      </c>
      <c r="E63" t="s">
        <v>21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34</v>
      </c>
      <c r="L63">
        <v>13.287000000000001</v>
      </c>
      <c r="M63">
        <v>9.7959999999999994</v>
      </c>
      <c r="N63">
        <v>7.75</v>
      </c>
    </row>
    <row r="64" spans="1:14" x14ac:dyDescent="0.2">
      <c r="A64">
        <v>8</v>
      </c>
      <c r="B64">
        <v>63</v>
      </c>
      <c r="C64">
        <v>187657.91800000001</v>
      </c>
      <c r="D64">
        <v>419395.071</v>
      </c>
      <c r="E64" t="s">
        <v>21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34</v>
      </c>
      <c r="L64">
        <v>13.287000000000001</v>
      </c>
      <c r="M64">
        <v>9.6658000000000008</v>
      </c>
      <c r="N64">
        <v>7.75</v>
      </c>
    </row>
    <row r="65" spans="1:14" x14ac:dyDescent="0.2">
      <c r="A65">
        <v>8</v>
      </c>
      <c r="B65">
        <v>64</v>
      </c>
      <c r="C65">
        <v>187633.71299999999</v>
      </c>
      <c r="D65">
        <v>419404.41700000002</v>
      </c>
      <c r="E65" t="s">
        <v>30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35</v>
      </c>
      <c r="L65">
        <v>13.29</v>
      </c>
      <c r="M65">
        <v>9.1157000000000004</v>
      </c>
      <c r="N65">
        <v>7.75</v>
      </c>
    </row>
    <row r="66" spans="1:14" x14ac:dyDescent="0.2">
      <c r="A66">
        <v>8</v>
      </c>
      <c r="B66">
        <v>65</v>
      </c>
      <c r="C66">
        <v>187617.89499999999</v>
      </c>
      <c r="D66">
        <v>419422.75099999999</v>
      </c>
      <c r="E66" t="s">
        <v>30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35</v>
      </c>
      <c r="L66">
        <v>13.29</v>
      </c>
      <c r="M66">
        <v>9.1294000000000004</v>
      </c>
      <c r="N66">
        <v>7.75</v>
      </c>
    </row>
    <row r="67" spans="1:14" x14ac:dyDescent="0.2">
      <c r="A67">
        <v>8</v>
      </c>
      <c r="B67">
        <v>66</v>
      </c>
      <c r="C67">
        <v>187608.429</v>
      </c>
      <c r="D67">
        <v>419416.4</v>
      </c>
      <c r="E67" t="s">
        <v>21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35</v>
      </c>
      <c r="L67">
        <v>13.29</v>
      </c>
      <c r="M67">
        <v>10.5085</v>
      </c>
      <c r="N67">
        <v>7.75</v>
      </c>
    </row>
    <row r="68" spans="1:14" x14ac:dyDescent="0.2">
      <c r="A68">
        <v>8</v>
      </c>
      <c r="B68">
        <v>67</v>
      </c>
      <c r="C68">
        <v>187603.39600000001</v>
      </c>
      <c r="D68">
        <v>419439.76699999999</v>
      </c>
      <c r="E68" t="s">
        <v>30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35</v>
      </c>
      <c r="L68">
        <v>13.29</v>
      </c>
      <c r="M68">
        <v>9.1258999999999997</v>
      </c>
      <c r="N68">
        <v>7.75</v>
      </c>
    </row>
    <row r="69" spans="1:14" x14ac:dyDescent="0.2">
      <c r="A69">
        <v>8</v>
      </c>
      <c r="B69">
        <v>68</v>
      </c>
      <c r="C69">
        <v>187590.125</v>
      </c>
      <c r="D69">
        <v>419456.14600000001</v>
      </c>
      <c r="E69" t="s">
        <v>30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35</v>
      </c>
      <c r="L69">
        <v>13.29</v>
      </c>
      <c r="M69">
        <v>9.1498000000000008</v>
      </c>
      <c r="N69">
        <v>7.75</v>
      </c>
    </row>
    <row r="70" spans="1:14" x14ac:dyDescent="0.2">
      <c r="A70">
        <v>8</v>
      </c>
      <c r="B70">
        <v>69</v>
      </c>
      <c r="C70">
        <v>187578.704</v>
      </c>
      <c r="D70">
        <v>419472.06099999999</v>
      </c>
      <c r="E70" t="s">
        <v>30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35</v>
      </c>
      <c r="L70">
        <v>13.29</v>
      </c>
      <c r="M70">
        <v>9.2566000000000006</v>
      </c>
      <c r="N70">
        <v>7.75</v>
      </c>
    </row>
    <row r="71" spans="1:14" x14ac:dyDescent="0.2">
      <c r="A71">
        <v>8</v>
      </c>
      <c r="B71">
        <v>70</v>
      </c>
      <c r="C71">
        <v>187568.59299999999</v>
      </c>
      <c r="D71">
        <v>419487.03899999999</v>
      </c>
      <c r="E71" t="s">
        <v>30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35</v>
      </c>
      <c r="L71">
        <v>13.29</v>
      </c>
      <c r="M71">
        <v>9.2270000000000003</v>
      </c>
      <c r="N71">
        <v>7.75</v>
      </c>
    </row>
    <row r="72" spans="1:14" x14ac:dyDescent="0.2">
      <c r="A72">
        <v>8</v>
      </c>
      <c r="B72">
        <v>71</v>
      </c>
      <c r="C72">
        <v>187572.899</v>
      </c>
      <c r="D72">
        <v>419497.712</v>
      </c>
      <c r="E72" t="s">
        <v>30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35</v>
      </c>
      <c r="L72">
        <v>13.29</v>
      </c>
      <c r="M72">
        <v>9.0945999999999998</v>
      </c>
      <c r="N72">
        <v>7.75</v>
      </c>
    </row>
    <row r="73" spans="1:14" x14ac:dyDescent="0.2">
      <c r="A73">
        <v>8</v>
      </c>
      <c r="B73">
        <v>72</v>
      </c>
      <c r="C73">
        <v>187587.69099999999</v>
      </c>
      <c r="D73">
        <v>419503.516</v>
      </c>
      <c r="E73" t="s">
        <v>30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35</v>
      </c>
      <c r="L73">
        <v>13.29</v>
      </c>
      <c r="M73">
        <v>9.1628000000000007</v>
      </c>
      <c r="N73">
        <v>7.75</v>
      </c>
    </row>
    <row r="74" spans="1:14" x14ac:dyDescent="0.2">
      <c r="A74">
        <v>8</v>
      </c>
      <c r="B74">
        <v>73</v>
      </c>
      <c r="C74">
        <v>187568.78</v>
      </c>
      <c r="D74">
        <v>419465.50799999997</v>
      </c>
      <c r="E74" t="s">
        <v>21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35</v>
      </c>
      <c r="L74">
        <v>13.29</v>
      </c>
      <c r="M74">
        <v>10.579599999999999</v>
      </c>
      <c r="N74">
        <v>7.75</v>
      </c>
    </row>
    <row r="75" spans="1:14" x14ac:dyDescent="0.2">
      <c r="A75">
        <v>8</v>
      </c>
      <c r="B75">
        <v>74</v>
      </c>
      <c r="C75">
        <v>187607.53700000001</v>
      </c>
      <c r="D75">
        <v>419467.56699999998</v>
      </c>
      <c r="E75" t="s">
        <v>21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35</v>
      </c>
      <c r="L75">
        <v>13.29</v>
      </c>
      <c r="M75">
        <v>9.9273000000000007</v>
      </c>
      <c r="N75">
        <v>7.75</v>
      </c>
    </row>
    <row r="76" spans="1:14" x14ac:dyDescent="0.2">
      <c r="A76">
        <v>8</v>
      </c>
      <c r="B76">
        <v>75</v>
      </c>
      <c r="C76">
        <v>187643.91899999999</v>
      </c>
      <c r="D76">
        <v>419413.65600000002</v>
      </c>
      <c r="E76" t="s">
        <v>21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35</v>
      </c>
      <c r="L76">
        <v>13.29</v>
      </c>
      <c r="M76">
        <v>9.1294002532958896</v>
      </c>
      <c r="N76">
        <v>7.75</v>
      </c>
    </row>
    <row r="77" spans="1:14" x14ac:dyDescent="0.2">
      <c r="A77">
        <v>8</v>
      </c>
      <c r="B77">
        <v>76</v>
      </c>
      <c r="C77">
        <v>187630.16899999999</v>
      </c>
      <c r="D77">
        <v>419432.37900000002</v>
      </c>
      <c r="E77" t="s">
        <v>21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35</v>
      </c>
      <c r="L77">
        <v>13.29</v>
      </c>
      <c r="M77">
        <v>9.1294002532958896</v>
      </c>
      <c r="N77">
        <v>7.75</v>
      </c>
    </row>
    <row r="78" spans="1:14" x14ac:dyDescent="0.2">
      <c r="A78">
        <v>8</v>
      </c>
      <c r="B78">
        <v>77</v>
      </c>
      <c r="C78">
        <v>187631.924</v>
      </c>
      <c r="D78">
        <v>419519.26699999999</v>
      </c>
      <c r="E78" t="s">
        <v>30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35</v>
      </c>
      <c r="L78">
        <v>13.29</v>
      </c>
      <c r="M78">
        <v>9.0883000000000003</v>
      </c>
      <c r="N78">
        <v>7.75</v>
      </c>
    </row>
    <row r="79" spans="1:14" x14ac:dyDescent="0.2">
      <c r="A79">
        <v>8</v>
      </c>
      <c r="B79">
        <v>78</v>
      </c>
      <c r="C79">
        <v>187620.51500000001</v>
      </c>
      <c r="D79">
        <v>419537.11200000002</v>
      </c>
      <c r="E79" t="s">
        <v>30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35</v>
      </c>
      <c r="L79">
        <v>13.29</v>
      </c>
      <c r="M79">
        <v>9.3460999999999999</v>
      </c>
      <c r="N79">
        <v>7.75</v>
      </c>
    </row>
    <row r="80" spans="1:14" x14ac:dyDescent="0.2">
      <c r="A80">
        <v>8</v>
      </c>
      <c r="B80">
        <v>79</v>
      </c>
      <c r="C80">
        <v>187581.89799999999</v>
      </c>
      <c r="D80">
        <v>419526.58100000001</v>
      </c>
      <c r="E80" t="s">
        <v>30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35</v>
      </c>
      <c r="L80">
        <v>13.29</v>
      </c>
      <c r="M80">
        <v>9.4944000000000006</v>
      </c>
      <c r="N80">
        <v>7.75</v>
      </c>
    </row>
    <row r="81" spans="1:14" x14ac:dyDescent="0.2">
      <c r="A81">
        <v>9</v>
      </c>
      <c r="B81">
        <v>80</v>
      </c>
      <c r="C81">
        <v>187548.54699999999</v>
      </c>
      <c r="D81">
        <v>419522.19199999998</v>
      </c>
      <c r="E81" t="s">
        <v>30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36</v>
      </c>
      <c r="L81">
        <v>13.29</v>
      </c>
      <c r="M81">
        <v>9.1057000000000006</v>
      </c>
      <c r="N81">
        <v>7.75</v>
      </c>
    </row>
    <row r="82" spans="1:14" x14ac:dyDescent="0.2">
      <c r="A82">
        <v>9</v>
      </c>
      <c r="B82">
        <v>81</v>
      </c>
      <c r="C82">
        <v>187525.728</v>
      </c>
      <c r="D82">
        <v>419529.21399999998</v>
      </c>
      <c r="E82" t="s">
        <v>30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36</v>
      </c>
      <c r="L82">
        <v>13.29</v>
      </c>
      <c r="M82">
        <v>9.0036000000000005</v>
      </c>
      <c r="N82">
        <v>7.75</v>
      </c>
    </row>
    <row r="83" spans="1:14" x14ac:dyDescent="0.2">
      <c r="A83">
        <v>9</v>
      </c>
      <c r="B83">
        <v>82</v>
      </c>
      <c r="C83">
        <v>187506.432</v>
      </c>
      <c r="D83">
        <v>419553.50699999998</v>
      </c>
      <c r="E83" t="s">
        <v>30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37</v>
      </c>
      <c r="L83">
        <v>13.29</v>
      </c>
      <c r="M83">
        <v>8.82</v>
      </c>
      <c r="N83">
        <v>7.75</v>
      </c>
    </row>
    <row r="84" spans="1:14" x14ac:dyDescent="0.2">
      <c r="A84">
        <v>9</v>
      </c>
      <c r="B84">
        <v>83</v>
      </c>
      <c r="C84">
        <v>187495.01</v>
      </c>
      <c r="D84">
        <v>419573.54100000003</v>
      </c>
      <c r="E84" t="s">
        <v>30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37</v>
      </c>
      <c r="L84">
        <v>13.29</v>
      </c>
      <c r="M84">
        <v>8.8564000000000007</v>
      </c>
      <c r="N84">
        <v>7.75</v>
      </c>
    </row>
    <row r="85" spans="1:14" x14ac:dyDescent="0.2">
      <c r="A85">
        <v>9</v>
      </c>
      <c r="B85">
        <v>84</v>
      </c>
      <c r="C85">
        <v>187483.02799999999</v>
      </c>
      <c r="D85">
        <v>419593.38799999998</v>
      </c>
      <c r="E85" t="s">
        <v>30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37</v>
      </c>
      <c r="L85">
        <v>13.29</v>
      </c>
      <c r="M85">
        <v>8.7265999999999995</v>
      </c>
      <c r="N85">
        <v>7.75</v>
      </c>
    </row>
    <row r="86" spans="1:14" x14ac:dyDescent="0.2">
      <c r="A86">
        <v>9</v>
      </c>
      <c r="B86">
        <v>85</v>
      </c>
      <c r="C86">
        <v>187469.734</v>
      </c>
      <c r="D86">
        <v>419617.353</v>
      </c>
      <c r="E86" t="s">
        <v>30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37</v>
      </c>
      <c r="L86">
        <v>13.29</v>
      </c>
      <c r="M86">
        <v>8.6908999999999992</v>
      </c>
      <c r="N86">
        <v>7.75</v>
      </c>
    </row>
    <row r="87" spans="1:14" x14ac:dyDescent="0.2">
      <c r="A87">
        <v>9</v>
      </c>
      <c r="B87">
        <v>86</v>
      </c>
      <c r="C87">
        <v>187507.18100000001</v>
      </c>
      <c r="D87">
        <v>419604.24699999997</v>
      </c>
      <c r="E87" t="s">
        <v>21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37</v>
      </c>
      <c r="L87">
        <v>13.29</v>
      </c>
      <c r="M87">
        <v>9.3066999999999993</v>
      </c>
      <c r="N87">
        <v>7.75</v>
      </c>
    </row>
    <row r="88" spans="1:14" x14ac:dyDescent="0.2">
      <c r="A88">
        <v>9</v>
      </c>
      <c r="B88">
        <v>87</v>
      </c>
      <c r="C88">
        <v>187522.72099999999</v>
      </c>
      <c r="D88">
        <v>419584.21299999999</v>
      </c>
      <c r="E88" t="s">
        <v>21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37</v>
      </c>
      <c r="L88">
        <v>13.29</v>
      </c>
      <c r="M88">
        <v>9.4048999999999996</v>
      </c>
      <c r="N88">
        <v>7.75</v>
      </c>
    </row>
    <row r="89" spans="1:14" x14ac:dyDescent="0.2">
      <c r="A89">
        <v>9</v>
      </c>
      <c r="B89">
        <v>88</v>
      </c>
      <c r="C89">
        <v>187533.76800000001</v>
      </c>
      <c r="D89">
        <v>419562.12</v>
      </c>
      <c r="E89" t="s">
        <v>21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37</v>
      </c>
      <c r="L89">
        <v>13.29</v>
      </c>
      <c r="M89">
        <v>9.4594000000000005</v>
      </c>
      <c r="N89">
        <v>7.75</v>
      </c>
    </row>
    <row r="90" spans="1:14" x14ac:dyDescent="0.2">
      <c r="A90">
        <v>9</v>
      </c>
      <c r="B90">
        <v>89</v>
      </c>
      <c r="C90">
        <v>187546.87400000001</v>
      </c>
      <c r="D90">
        <v>419539.09</v>
      </c>
      <c r="E90" t="s">
        <v>21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36</v>
      </c>
      <c r="L90">
        <v>13.29</v>
      </c>
      <c r="M90">
        <v>9.5521999999999991</v>
      </c>
      <c r="N90">
        <v>7.75</v>
      </c>
    </row>
    <row r="91" spans="1:14" x14ac:dyDescent="0.2">
      <c r="A91">
        <v>9</v>
      </c>
      <c r="B91">
        <v>90</v>
      </c>
      <c r="C91">
        <v>187501.182</v>
      </c>
      <c r="D91">
        <v>419626.10100000002</v>
      </c>
      <c r="E91" t="s">
        <v>21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37</v>
      </c>
      <c r="L91">
        <v>13.29</v>
      </c>
      <c r="M91">
        <v>8.8773999999999997</v>
      </c>
      <c r="N91">
        <v>7.75</v>
      </c>
    </row>
    <row r="92" spans="1:14" x14ac:dyDescent="0.2">
      <c r="A92">
        <v>9</v>
      </c>
      <c r="B92">
        <v>91</v>
      </c>
      <c r="C92">
        <v>187459.96</v>
      </c>
      <c r="D92">
        <v>419634.609</v>
      </c>
      <c r="E92" t="s">
        <v>30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37</v>
      </c>
      <c r="L92">
        <v>13.29</v>
      </c>
      <c r="M92">
        <v>8.7820999999999998</v>
      </c>
      <c r="N92">
        <v>7.75</v>
      </c>
    </row>
    <row r="93" spans="1:14" x14ac:dyDescent="0.2">
      <c r="A93">
        <v>9</v>
      </c>
      <c r="B93">
        <v>92</v>
      </c>
      <c r="C93">
        <v>187451.33300000001</v>
      </c>
      <c r="D93">
        <v>419652.34299999999</v>
      </c>
      <c r="E93" t="s">
        <v>30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38</v>
      </c>
      <c r="L93">
        <v>13.29</v>
      </c>
      <c r="M93">
        <v>8.6329999999999991</v>
      </c>
      <c r="N93">
        <v>7.75</v>
      </c>
    </row>
    <row r="94" spans="1:14" x14ac:dyDescent="0.2">
      <c r="A94">
        <v>9</v>
      </c>
      <c r="B94">
        <v>93</v>
      </c>
      <c r="C94">
        <v>187443.90299999999</v>
      </c>
      <c r="D94">
        <v>419666.84299999999</v>
      </c>
      <c r="E94" t="s">
        <v>30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38</v>
      </c>
      <c r="L94">
        <v>13.29</v>
      </c>
      <c r="M94">
        <v>8.5892999999999997</v>
      </c>
      <c r="N94">
        <v>7.75</v>
      </c>
    </row>
    <row r="95" spans="1:14" x14ac:dyDescent="0.2">
      <c r="A95">
        <v>9</v>
      </c>
      <c r="B95">
        <v>94</v>
      </c>
      <c r="C95">
        <v>187436.47399999999</v>
      </c>
      <c r="D95">
        <v>419680.50300000003</v>
      </c>
      <c r="E95" t="s">
        <v>30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38</v>
      </c>
      <c r="L95">
        <v>13.29</v>
      </c>
      <c r="M95">
        <v>8.6798000000000002</v>
      </c>
      <c r="N95">
        <v>7.75</v>
      </c>
    </row>
    <row r="96" spans="1:14" x14ac:dyDescent="0.2">
      <c r="A96">
        <v>9</v>
      </c>
      <c r="B96">
        <v>95</v>
      </c>
      <c r="C96">
        <v>187479.97200000001</v>
      </c>
      <c r="D96">
        <v>419681.58199999999</v>
      </c>
      <c r="E96" t="s">
        <v>21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38</v>
      </c>
      <c r="L96">
        <v>13.29</v>
      </c>
      <c r="M96">
        <v>8.9077999999999999</v>
      </c>
      <c r="N96">
        <v>7.75</v>
      </c>
    </row>
    <row r="97" spans="1:14" x14ac:dyDescent="0.2">
      <c r="A97">
        <v>9</v>
      </c>
      <c r="B97">
        <v>96</v>
      </c>
      <c r="C97">
        <v>187502.14</v>
      </c>
      <c r="D97">
        <v>419689.25099999999</v>
      </c>
      <c r="E97" t="s">
        <v>21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38</v>
      </c>
      <c r="L97">
        <v>13.29</v>
      </c>
      <c r="M97">
        <v>8.5473999999999997</v>
      </c>
      <c r="N97">
        <v>7.75</v>
      </c>
    </row>
    <row r="98" spans="1:14" x14ac:dyDescent="0.2">
      <c r="A98">
        <v>9</v>
      </c>
      <c r="B98">
        <v>97</v>
      </c>
      <c r="C98">
        <v>187524.788</v>
      </c>
      <c r="D98">
        <v>419634.489</v>
      </c>
      <c r="E98" t="s">
        <v>21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37</v>
      </c>
      <c r="L98">
        <v>13.29</v>
      </c>
      <c r="M98">
        <v>8.7873999999999999</v>
      </c>
      <c r="N98">
        <v>7.75</v>
      </c>
    </row>
    <row r="99" spans="1:14" x14ac:dyDescent="0.2">
      <c r="A99">
        <v>9</v>
      </c>
      <c r="B99">
        <v>98</v>
      </c>
      <c r="C99">
        <v>187432.52</v>
      </c>
      <c r="D99">
        <v>419689.73</v>
      </c>
      <c r="E99" t="s">
        <v>30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38</v>
      </c>
      <c r="L99">
        <v>13.29</v>
      </c>
      <c r="M99">
        <v>8.7263000000000002</v>
      </c>
      <c r="N99">
        <v>7.75</v>
      </c>
    </row>
    <row r="100" spans="1:14" x14ac:dyDescent="0.2">
      <c r="A100">
        <v>9</v>
      </c>
      <c r="B100">
        <v>100</v>
      </c>
      <c r="C100">
        <v>187474.58</v>
      </c>
      <c r="D100">
        <v>419641.679</v>
      </c>
      <c r="E100" t="s">
        <v>21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37</v>
      </c>
      <c r="L100">
        <v>13.29</v>
      </c>
      <c r="M100">
        <v>9.1720000000000006</v>
      </c>
      <c r="N100">
        <v>7.75</v>
      </c>
    </row>
    <row r="101" spans="1:14" x14ac:dyDescent="0.2">
      <c r="A101">
        <v>9</v>
      </c>
      <c r="B101">
        <v>101</v>
      </c>
      <c r="C101">
        <v>187452.41099999999</v>
      </c>
      <c r="D101">
        <v>419687.45299999998</v>
      </c>
      <c r="E101" t="s">
        <v>21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38</v>
      </c>
      <c r="L101">
        <v>13.29</v>
      </c>
      <c r="M101">
        <v>9.0852000000000004</v>
      </c>
      <c r="N101">
        <v>7.75</v>
      </c>
    </row>
    <row r="102" spans="1:14" x14ac:dyDescent="0.2">
      <c r="A102">
        <v>9</v>
      </c>
      <c r="B102">
        <v>102</v>
      </c>
      <c r="C102">
        <v>187467.39</v>
      </c>
      <c r="D102">
        <v>419658.81400000001</v>
      </c>
      <c r="E102" t="s">
        <v>21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38</v>
      </c>
      <c r="L102">
        <v>13.29</v>
      </c>
      <c r="M102">
        <v>9.1880000000000006</v>
      </c>
      <c r="N102">
        <v>7.75</v>
      </c>
    </row>
    <row r="103" spans="1:14" x14ac:dyDescent="0.2">
      <c r="A103">
        <v>9</v>
      </c>
      <c r="B103">
        <v>103</v>
      </c>
      <c r="C103">
        <v>187447.019</v>
      </c>
      <c r="D103">
        <v>419699.67599999998</v>
      </c>
      <c r="E103" t="s">
        <v>21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38</v>
      </c>
      <c r="L103">
        <v>13.29</v>
      </c>
      <c r="M103">
        <v>9.2014999999999993</v>
      </c>
      <c r="N103">
        <v>7.75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N55"/>
  <sheetViews>
    <sheetView workbookViewId="0">
      <selection activeCell="H1" sqref="H1"/>
    </sheetView>
  </sheetViews>
  <sheetFormatPr defaultRowHeight="11.4" x14ac:dyDescent="0.2"/>
  <cols>
    <col min="1" max="1" width="8.19921875" customWidth="1"/>
    <col min="2" max="2" width="19" bestFit="1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11.3984375" customWidth="1"/>
    <col min="13" max="13" width="9.19921875" bestFit="1" customWidth="1"/>
    <col min="14" max="14" width="9.19921875" customWidth="1"/>
  </cols>
  <sheetData>
    <row r="1" spans="1:14" s="5" customFormat="1" x14ac:dyDescent="0.2">
      <c r="A1" s="4" t="s">
        <v>161</v>
      </c>
      <c r="B1" s="4" t="s">
        <v>170</v>
      </c>
      <c r="C1" s="4" t="s">
        <v>171</v>
      </c>
      <c r="D1" s="4" t="s">
        <v>172</v>
      </c>
      <c r="E1" s="4" t="s">
        <v>39</v>
      </c>
      <c r="F1" s="4" t="str">
        <f>LEFT(E1,LEN(E1)-5)&amp;VLOOKUP(LEFT(E1,LEN(E1)-5),Overzicht_variabelen!$A$2:$F$69,6,(FALSE))</f>
        <v>top_zand_stdev</v>
      </c>
      <c r="G1" s="4" t="s">
        <v>40</v>
      </c>
      <c r="H1" s="4" t="str">
        <f>LEFT(G1,LEN(G1)-5)&amp;VLOOKUP(LEFT(G1,LEN(G1)-5),Overzicht_variabelen!$A$2:$F$69,6,(FALSE))</f>
        <v>gamma_sat_deklaag_stdev</v>
      </c>
      <c r="I1" s="4" t="s">
        <v>41</v>
      </c>
      <c r="J1" s="4" t="str">
        <f>LEFT(I1,LEN(I1)-5)&amp;VLOOKUP(LEFT(I1,LEN(I1)-5),Overzicht_variabelen!$A$2:$F$69,6,(FALSE))</f>
        <v>D_wvp_stdev</v>
      </c>
      <c r="K1" s="4" t="s">
        <v>42</v>
      </c>
      <c r="L1" s="4" t="str">
        <f>LEFT(K1,LEN(K1)-5)&amp;VLOOKUP(LEFT(K1,LEN(K1)-5),Overzicht_variabelen!$A$2:$F$69,6,(FALSE))</f>
        <v>kD_wvp_vc</v>
      </c>
      <c r="M1" s="4" t="s">
        <v>43</v>
      </c>
      <c r="N1" s="4" t="str">
        <f>LEFT(M1,LEN(M1)-5)&amp;VLOOKUP(LEFT(M1,LEN(M1)-5),Overzicht_variabelen!$A$2:$F$69,6,(FALSE))</f>
        <v>d70_vc</v>
      </c>
    </row>
    <row r="2" spans="1:14" x14ac:dyDescent="0.2">
      <c r="A2">
        <v>1</v>
      </c>
      <c r="B2">
        <v>1</v>
      </c>
      <c r="C2" t="s">
        <v>44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</row>
    <row r="3" spans="1:14" x14ac:dyDescent="0.2">
      <c r="A3">
        <v>1</v>
      </c>
      <c r="B3">
        <v>2</v>
      </c>
      <c r="C3" t="s">
        <v>45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</row>
    <row r="4" spans="1:14" x14ac:dyDescent="0.2">
      <c r="A4">
        <v>1</v>
      </c>
      <c r="B4">
        <v>3</v>
      </c>
      <c r="C4" t="s">
        <v>46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M4" s="1">
        <v>4.4999999999999999E-4</v>
      </c>
      <c r="N4">
        <v>0.12</v>
      </c>
    </row>
    <row r="5" spans="1:14" x14ac:dyDescent="0.2">
      <c r="A5">
        <v>1</v>
      </c>
      <c r="B5">
        <v>4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M5" s="1"/>
      <c r="N5">
        <v>0.12</v>
      </c>
    </row>
    <row r="6" spans="1:14" x14ac:dyDescent="0.2">
      <c r="A6">
        <v>1</v>
      </c>
      <c r="B6">
        <v>5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M6" s="1"/>
      <c r="N6">
        <v>0.12</v>
      </c>
    </row>
    <row r="7" spans="1:14" x14ac:dyDescent="0.2">
      <c r="A7">
        <v>1</v>
      </c>
      <c r="B7">
        <v>6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M7" s="1"/>
      <c r="N7">
        <v>0.12</v>
      </c>
    </row>
    <row r="8" spans="1:14" x14ac:dyDescent="0.2">
      <c r="A8">
        <v>2</v>
      </c>
      <c r="B8">
        <v>1</v>
      </c>
      <c r="C8" t="s">
        <v>44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1">
        <v>4.4999999999999999E-4</v>
      </c>
      <c r="N8">
        <v>0.12</v>
      </c>
    </row>
    <row r="9" spans="1:14" x14ac:dyDescent="0.2">
      <c r="A9">
        <v>2</v>
      </c>
      <c r="B9">
        <v>2</v>
      </c>
      <c r="C9" t="s">
        <v>45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1">
        <v>4.4999999999999999E-4</v>
      </c>
      <c r="N9">
        <v>0.12</v>
      </c>
    </row>
    <row r="10" spans="1:14" x14ac:dyDescent="0.2">
      <c r="A10">
        <v>2</v>
      </c>
      <c r="B10">
        <v>3</v>
      </c>
      <c r="C10" t="s">
        <v>46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M10" s="1">
        <v>4.4999999999999999E-4</v>
      </c>
      <c r="N10">
        <v>0.12</v>
      </c>
    </row>
    <row r="11" spans="1:14" x14ac:dyDescent="0.2">
      <c r="A11">
        <v>2</v>
      </c>
      <c r="B11">
        <v>4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M11" s="1"/>
      <c r="N11">
        <v>0.12</v>
      </c>
    </row>
    <row r="12" spans="1:14" x14ac:dyDescent="0.2">
      <c r="A12">
        <v>2</v>
      </c>
      <c r="B12">
        <v>5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M12" s="1"/>
      <c r="N12">
        <v>0.12</v>
      </c>
    </row>
    <row r="13" spans="1:14" x14ac:dyDescent="0.2">
      <c r="A13">
        <v>2</v>
      </c>
      <c r="B13">
        <v>6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M13" s="1"/>
      <c r="N13">
        <v>0.12</v>
      </c>
    </row>
    <row r="14" spans="1:14" x14ac:dyDescent="0.2">
      <c r="A14">
        <v>3</v>
      </c>
      <c r="B14">
        <v>1</v>
      </c>
      <c r="C14" t="s">
        <v>44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1">
        <v>4.4999999999999999E-4</v>
      </c>
      <c r="N14">
        <v>0.12</v>
      </c>
    </row>
    <row r="15" spans="1:14" x14ac:dyDescent="0.2">
      <c r="A15">
        <v>3</v>
      </c>
      <c r="B15">
        <v>2</v>
      </c>
      <c r="C15" t="s">
        <v>45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1">
        <v>4.4999999999999999E-4</v>
      </c>
      <c r="N15">
        <v>0.12</v>
      </c>
    </row>
    <row r="16" spans="1:14" x14ac:dyDescent="0.2">
      <c r="A16">
        <v>3</v>
      </c>
      <c r="B16">
        <v>3</v>
      </c>
      <c r="C16" t="s">
        <v>46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M16" s="1">
        <v>4.4999999999999999E-4</v>
      </c>
      <c r="N16">
        <v>0.12</v>
      </c>
    </row>
    <row r="17" spans="1:14" x14ac:dyDescent="0.2">
      <c r="A17">
        <v>3</v>
      </c>
      <c r="B17">
        <v>4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M17" s="1"/>
      <c r="N17">
        <v>0.12</v>
      </c>
    </row>
    <row r="18" spans="1:14" x14ac:dyDescent="0.2">
      <c r="A18">
        <v>3</v>
      </c>
      <c r="B18">
        <v>5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M18" s="1"/>
      <c r="N18">
        <v>0.12</v>
      </c>
    </row>
    <row r="19" spans="1:14" x14ac:dyDescent="0.2">
      <c r="A19">
        <v>3</v>
      </c>
      <c r="B19">
        <v>6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M19" s="1"/>
      <c r="N19">
        <v>0.12</v>
      </c>
    </row>
    <row r="20" spans="1:14" x14ac:dyDescent="0.2">
      <c r="A20">
        <v>4</v>
      </c>
      <c r="B20">
        <v>1</v>
      </c>
      <c r="C20" t="s">
        <v>44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1">
        <v>4.4999999999999999E-4</v>
      </c>
      <c r="N20">
        <v>0.12</v>
      </c>
    </row>
    <row r="21" spans="1:14" x14ac:dyDescent="0.2">
      <c r="A21">
        <v>4</v>
      </c>
      <c r="B21">
        <v>2</v>
      </c>
      <c r="C21" t="s">
        <v>45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1">
        <v>4.4999999999999999E-4</v>
      </c>
      <c r="N21">
        <v>0.12</v>
      </c>
    </row>
    <row r="22" spans="1:14" x14ac:dyDescent="0.2">
      <c r="A22">
        <v>4</v>
      </c>
      <c r="B22">
        <v>3</v>
      </c>
      <c r="C22" t="s">
        <v>46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M22" s="1">
        <v>4.4999999999999999E-4</v>
      </c>
      <c r="N22">
        <v>0.12</v>
      </c>
    </row>
    <row r="23" spans="1:14" x14ac:dyDescent="0.2">
      <c r="A23">
        <v>4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M23" s="1"/>
      <c r="N23">
        <v>0.12</v>
      </c>
    </row>
    <row r="24" spans="1:14" x14ac:dyDescent="0.2">
      <c r="A24">
        <v>4</v>
      </c>
      <c r="B24">
        <v>5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M24" s="1"/>
      <c r="N24">
        <v>0.12</v>
      </c>
    </row>
    <row r="25" spans="1:14" x14ac:dyDescent="0.2">
      <c r="A25">
        <v>4</v>
      </c>
      <c r="B25">
        <v>6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M25" s="1"/>
      <c r="N25">
        <v>0.12</v>
      </c>
    </row>
    <row r="26" spans="1:14" x14ac:dyDescent="0.2">
      <c r="A26">
        <v>5</v>
      </c>
      <c r="B26">
        <v>1</v>
      </c>
      <c r="C26" t="s">
        <v>44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1">
        <v>4.4999999999999999E-4</v>
      </c>
      <c r="N26">
        <v>0.12</v>
      </c>
    </row>
    <row r="27" spans="1:14" x14ac:dyDescent="0.2">
      <c r="A27">
        <v>5</v>
      </c>
      <c r="B27">
        <v>2</v>
      </c>
      <c r="C27" t="s">
        <v>45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1">
        <v>4.4999999999999999E-4</v>
      </c>
      <c r="N27">
        <v>0.12</v>
      </c>
    </row>
    <row r="28" spans="1:14" x14ac:dyDescent="0.2">
      <c r="A28">
        <v>5</v>
      </c>
      <c r="B28">
        <v>3</v>
      </c>
      <c r="C28" t="s">
        <v>46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M28" s="1">
        <v>4.4999999999999999E-4</v>
      </c>
      <c r="N28">
        <v>0.12</v>
      </c>
    </row>
    <row r="29" spans="1:14" x14ac:dyDescent="0.2">
      <c r="A29">
        <v>5</v>
      </c>
      <c r="B29">
        <v>4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M29" s="1"/>
      <c r="N29">
        <v>0.12</v>
      </c>
    </row>
    <row r="30" spans="1:14" x14ac:dyDescent="0.2">
      <c r="A30">
        <v>5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M30" s="1"/>
      <c r="N30">
        <v>0.12</v>
      </c>
    </row>
    <row r="31" spans="1:14" x14ac:dyDescent="0.2">
      <c r="A31">
        <v>5</v>
      </c>
      <c r="B31">
        <v>6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M31" s="1"/>
      <c r="N31">
        <v>0.12</v>
      </c>
    </row>
    <row r="32" spans="1:14" x14ac:dyDescent="0.2">
      <c r="A32">
        <v>6</v>
      </c>
      <c r="B32">
        <v>1</v>
      </c>
      <c r="C32" t="s">
        <v>44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1">
        <v>4.4999999999999999E-4</v>
      </c>
      <c r="N32">
        <v>0.12</v>
      </c>
    </row>
    <row r="33" spans="1:14" x14ac:dyDescent="0.2">
      <c r="A33">
        <v>6</v>
      </c>
      <c r="B33">
        <v>2</v>
      </c>
      <c r="C33" t="s">
        <v>45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1">
        <v>4.4999999999999999E-4</v>
      </c>
      <c r="N33">
        <v>0.12</v>
      </c>
    </row>
    <row r="34" spans="1:14" x14ac:dyDescent="0.2">
      <c r="A34">
        <v>6</v>
      </c>
      <c r="B34">
        <v>3</v>
      </c>
      <c r="C34" t="s">
        <v>46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M34" s="1">
        <v>4.4999999999999999E-4</v>
      </c>
      <c r="N34">
        <v>0.12</v>
      </c>
    </row>
    <row r="35" spans="1:14" x14ac:dyDescent="0.2">
      <c r="A35">
        <v>6</v>
      </c>
      <c r="B35">
        <v>4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M35" s="1"/>
      <c r="N35">
        <v>0.12</v>
      </c>
    </row>
    <row r="36" spans="1:14" x14ac:dyDescent="0.2">
      <c r="A36">
        <v>6</v>
      </c>
      <c r="B36">
        <v>5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M36" s="1"/>
      <c r="N36">
        <v>0.12</v>
      </c>
    </row>
    <row r="37" spans="1:14" x14ac:dyDescent="0.2">
      <c r="A37">
        <v>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M37" s="1"/>
      <c r="N37">
        <v>0.12</v>
      </c>
    </row>
    <row r="38" spans="1:14" x14ac:dyDescent="0.2">
      <c r="A38">
        <v>7</v>
      </c>
      <c r="B38">
        <v>1</v>
      </c>
      <c r="C38" t="s">
        <v>44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1">
        <v>4.4999999999999999E-4</v>
      </c>
      <c r="N38">
        <v>0.12</v>
      </c>
    </row>
    <row r="39" spans="1:14" x14ac:dyDescent="0.2">
      <c r="A39">
        <v>7</v>
      </c>
      <c r="B39">
        <v>2</v>
      </c>
      <c r="C39" t="s">
        <v>45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1">
        <v>4.4999999999999999E-4</v>
      </c>
      <c r="N39">
        <v>0.12</v>
      </c>
    </row>
    <row r="40" spans="1:14" x14ac:dyDescent="0.2">
      <c r="A40">
        <v>7</v>
      </c>
      <c r="B40">
        <v>3</v>
      </c>
      <c r="C40" t="s">
        <v>46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M40" s="1">
        <v>4.4999999999999999E-4</v>
      </c>
      <c r="N40">
        <v>0.12</v>
      </c>
    </row>
    <row r="41" spans="1:14" x14ac:dyDescent="0.2">
      <c r="A41">
        <v>7</v>
      </c>
      <c r="B41">
        <v>4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M41" s="1"/>
      <c r="N41">
        <v>0.12</v>
      </c>
    </row>
    <row r="42" spans="1:14" x14ac:dyDescent="0.2">
      <c r="A42">
        <v>7</v>
      </c>
      <c r="B42">
        <v>5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M42" s="1"/>
      <c r="N42">
        <v>0.12</v>
      </c>
    </row>
    <row r="43" spans="1:14" x14ac:dyDescent="0.2">
      <c r="A43">
        <v>7</v>
      </c>
      <c r="B43">
        <v>6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M43" s="1"/>
      <c r="N43">
        <v>0.12</v>
      </c>
    </row>
    <row r="44" spans="1:14" x14ac:dyDescent="0.2">
      <c r="A44">
        <v>8</v>
      </c>
      <c r="B44">
        <v>1</v>
      </c>
      <c r="C44" t="s">
        <v>44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1">
        <v>4.4999999999999999E-4</v>
      </c>
      <c r="N44">
        <v>0.12</v>
      </c>
    </row>
    <row r="45" spans="1:14" x14ac:dyDescent="0.2">
      <c r="A45">
        <v>8</v>
      </c>
      <c r="B45">
        <v>2</v>
      </c>
      <c r="C45" t="s">
        <v>45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1">
        <v>4.4999999999999999E-4</v>
      </c>
      <c r="N45">
        <v>0.12</v>
      </c>
    </row>
    <row r="46" spans="1:14" x14ac:dyDescent="0.2">
      <c r="A46">
        <v>8</v>
      </c>
      <c r="B46">
        <v>3</v>
      </c>
      <c r="C46" t="s">
        <v>46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M46" s="1">
        <v>4.4999999999999999E-4</v>
      </c>
      <c r="N46">
        <v>0.12</v>
      </c>
    </row>
    <row r="47" spans="1:14" x14ac:dyDescent="0.2">
      <c r="A47">
        <v>8</v>
      </c>
      <c r="B47">
        <v>4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M47" s="1"/>
      <c r="N47">
        <v>0.12</v>
      </c>
    </row>
    <row r="48" spans="1:14" x14ac:dyDescent="0.2">
      <c r="A48">
        <v>8</v>
      </c>
      <c r="B48">
        <v>5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M48" s="1"/>
      <c r="N48">
        <v>0.12</v>
      </c>
    </row>
    <row r="49" spans="1:14" x14ac:dyDescent="0.2">
      <c r="A49">
        <v>8</v>
      </c>
      <c r="B49">
        <v>6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M49" s="1"/>
      <c r="N49">
        <v>0.12</v>
      </c>
    </row>
    <row r="50" spans="1:14" x14ac:dyDescent="0.2">
      <c r="A50">
        <v>9</v>
      </c>
      <c r="B50">
        <v>1</v>
      </c>
      <c r="C50" t="s">
        <v>44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1">
        <v>4.4999999999999999E-4</v>
      </c>
      <c r="N50">
        <v>0.12</v>
      </c>
    </row>
    <row r="51" spans="1:14" x14ac:dyDescent="0.2">
      <c r="A51">
        <v>9</v>
      </c>
      <c r="B51">
        <v>2</v>
      </c>
      <c r="C51" t="s">
        <v>45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1">
        <v>4.4999999999999999E-4</v>
      </c>
      <c r="N51">
        <v>0.12</v>
      </c>
    </row>
    <row r="52" spans="1:14" x14ac:dyDescent="0.2">
      <c r="A52">
        <v>9</v>
      </c>
      <c r="B52">
        <v>3</v>
      </c>
      <c r="C52" t="s">
        <v>46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M52" s="1">
        <v>4.4999999999999999E-4</v>
      </c>
      <c r="N52">
        <v>0.12</v>
      </c>
    </row>
    <row r="53" spans="1:14" x14ac:dyDescent="0.2">
      <c r="A53">
        <v>9</v>
      </c>
      <c r="B53">
        <v>4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M53" s="1"/>
      <c r="N53">
        <v>0.12</v>
      </c>
    </row>
    <row r="54" spans="1:14" x14ac:dyDescent="0.2">
      <c r="A54">
        <v>9</v>
      </c>
      <c r="B54">
        <v>5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M54" s="1"/>
      <c r="N54">
        <v>0.12</v>
      </c>
    </row>
    <row r="55" spans="1:14" x14ac:dyDescent="0.2">
      <c r="A55">
        <v>9</v>
      </c>
      <c r="B55">
        <v>6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M55" s="1"/>
      <c r="N55">
        <v>0.12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R69"/>
  <sheetViews>
    <sheetView tabSelected="1" zoomScale="95" zoomScaleNormal="130" workbookViewId="0">
      <selection activeCell="E29" sqref="E29"/>
    </sheetView>
  </sheetViews>
  <sheetFormatPr defaultRowHeight="11.4" x14ac:dyDescent="0.2"/>
  <cols>
    <col min="1" max="1" width="22.5" bestFit="1" customWidth="1"/>
    <col min="2" max="2" width="71.09765625" bestFit="1" customWidth="1"/>
    <col min="3" max="3" width="22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47.59765625" bestFit="1" customWidth="1"/>
  </cols>
  <sheetData>
    <row r="1" spans="1:16" s="5" customFormat="1" x14ac:dyDescent="0.2">
      <c r="A1" s="4" t="s">
        <v>215</v>
      </c>
      <c r="B1" s="4" t="s">
        <v>173</v>
      </c>
      <c r="C1" s="4" t="s">
        <v>174</v>
      </c>
      <c r="D1" s="4" t="s">
        <v>175</v>
      </c>
      <c r="E1" s="4" t="s">
        <v>176</v>
      </c>
      <c r="F1" s="4" t="s">
        <v>216</v>
      </c>
      <c r="G1" s="4" t="s">
        <v>177</v>
      </c>
      <c r="H1" s="4" t="s">
        <v>178</v>
      </c>
      <c r="I1" s="4" t="s">
        <v>179</v>
      </c>
      <c r="J1" s="4" t="s">
        <v>180</v>
      </c>
      <c r="K1" s="4" t="s">
        <v>181</v>
      </c>
      <c r="L1" s="4" t="s">
        <v>182</v>
      </c>
      <c r="M1" s="4" t="s">
        <v>184</v>
      </c>
      <c r="N1" s="4" t="s">
        <v>185</v>
      </c>
      <c r="O1" s="4" t="s">
        <v>186</v>
      </c>
      <c r="P1" s="4" t="s">
        <v>183</v>
      </c>
    </row>
    <row r="2" spans="1:16" x14ac:dyDescent="0.2">
      <c r="A2" t="s">
        <v>161</v>
      </c>
      <c r="B2" t="s">
        <v>207</v>
      </c>
      <c r="C2" t="s">
        <v>201</v>
      </c>
      <c r="D2" t="s">
        <v>48</v>
      </c>
      <c r="E2" t="s">
        <v>217</v>
      </c>
      <c r="I2" s="2"/>
      <c r="J2" s="2"/>
      <c r="K2" s="2"/>
    </row>
    <row r="3" spans="1:16" x14ac:dyDescent="0.2">
      <c r="A3" t="s">
        <v>162</v>
      </c>
      <c r="B3" t="s">
        <v>208</v>
      </c>
      <c r="C3" t="s">
        <v>200</v>
      </c>
      <c r="D3" t="s">
        <v>48</v>
      </c>
      <c r="E3" t="s">
        <v>217</v>
      </c>
      <c r="I3" s="2"/>
      <c r="J3" s="2"/>
      <c r="K3" s="2"/>
    </row>
    <row r="4" spans="1:16" x14ac:dyDescent="0.2">
      <c r="A4" t="s">
        <v>0</v>
      </c>
      <c r="B4" s="6"/>
      <c r="C4" s="6" t="s">
        <v>202</v>
      </c>
      <c r="D4" t="s">
        <v>48</v>
      </c>
      <c r="E4" t="s">
        <v>217</v>
      </c>
      <c r="I4" s="2"/>
      <c r="J4" s="2"/>
      <c r="K4" s="2"/>
    </row>
    <row r="5" spans="1:16" x14ac:dyDescent="0.2">
      <c r="A5" t="s">
        <v>1</v>
      </c>
      <c r="B5" s="6"/>
      <c r="C5" s="6" t="s">
        <v>202</v>
      </c>
      <c r="D5" t="s">
        <v>48</v>
      </c>
      <c r="E5" t="s">
        <v>217</v>
      </c>
      <c r="I5" s="2"/>
      <c r="J5" s="2"/>
      <c r="K5" s="2"/>
    </row>
    <row r="6" spans="1:16" x14ac:dyDescent="0.2">
      <c r="A6" t="s">
        <v>163</v>
      </c>
      <c r="B6" t="s">
        <v>210</v>
      </c>
      <c r="C6" s="6" t="s">
        <v>202</v>
      </c>
      <c r="D6" t="s">
        <v>48</v>
      </c>
      <c r="E6" t="s">
        <v>217</v>
      </c>
      <c r="I6" s="2"/>
      <c r="J6" s="2"/>
      <c r="K6" s="2"/>
    </row>
    <row r="7" spans="1:16" x14ac:dyDescent="0.2">
      <c r="A7" t="s">
        <v>167</v>
      </c>
      <c r="B7" t="s">
        <v>206</v>
      </c>
      <c r="C7" t="s">
        <v>201</v>
      </c>
      <c r="D7" t="s">
        <v>48</v>
      </c>
      <c r="E7" t="s">
        <v>217</v>
      </c>
      <c r="I7" s="2"/>
      <c r="J7" s="2"/>
      <c r="K7" s="2"/>
    </row>
    <row r="8" spans="1:16" x14ac:dyDescent="0.2">
      <c r="A8" t="s">
        <v>168</v>
      </c>
      <c r="B8" t="s">
        <v>211</v>
      </c>
      <c r="C8" t="s">
        <v>198</v>
      </c>
      <c r="D8" t="s">
        <v>48</v>
      </c>
      <c r="E8" t="s">
        <v>217</v>
      </c>
      <c r="I8" s="2"/>
      <c r="J8" s="2"/>
      <c r="K8" s="2"/>
    </row>
    <row r="9" spans="1:16" x14ac:dyDescent="0.2">
      <c r="A9" t="s">
        <v>169</v>
      </c>
      <c r="B9" t="s">
        <v>212</v>
      </c>
      <c r="C9" t="s">
        <v>199</v>
      </c>
      <c r="D9" t="s">
        <v>48</v>
      </c>
      <c r="E9" t="s">
        <v>217</v>
      </c>
      <c r="I9" s="2"/>
      <c r="J9" s="2"/>
      <c r="K9" s="2"/>
    </row>
    <row r="10" spans="1:16" x14ac:dyDescent="0.2">
      <c r="A10" t="s">
        <v>164</v>
      </c>
      <c r="B10" t="s">
        <v>213</v>
      </c>
      <c r="C10" t="s">
        <v>200</v>
      </c>
      <c r="D10" t="s">
        <v>48</v>
      </c>
      <c r="E10" t="s">
        <v>217</v>
      </c>
      <c r="I10" s="2"/>
      <c r="J10" s="2"/>
      <c r="K10" s="2"/>
    </row>
    <row r="11" spans="1:16" x14ac:dyDescent="0.2">
      <c r="A11" t="s">
        <v>165</v>
      </c>
      <c r="B11" s="6"/>
      <c r="C11" s="6" t="s">
        <v>202</v>
      </c>
      <c r="D11" t="s">
        <v>48</v>
      </c>
      <c r="E11" t="s">
        <v>217</v>
      </c>
      <c r="I11" s="2"/>
      <c r="J11" s="2"/>
      <c r="K11" s="2"/>
    </row>
    <row r="12" spans="1:16" x14ac:dyDescent="0.2">
      <c r="A12" t="s">
        <v>166</v>
      </c>
      <c r="B12" s="6"/>
      <c r="C12" s="6" t="s">
        <v>202</v>
      </c>
      <c r="D12" t="s">
        <v>48</v>
      </c>
      <c r="E12" t="s">
        <v>217</v>
      </c>
      <c r="I12" s="2"/>
      <c r="J12" s="2"/>
      <c r="K12" s="2"/>
    </row>
    <row r="13" spans="1:16" x14ac:dyDescent="0.2">
      <c r="A13" t="s">
        <v>170</v>
      </c>
      <c r="B13" t="s">
        <v>205</v>
      </c>
      <c r="C13" t="s">
        <v>201</v>
      </c>
      <c r="D13" t="s">
        <v>48</v>
      </c>
      <c r="E13" t="s">
        <v>217</v>
      </c>
      <c r="I13" s="2"/>
      <c r="J13" s="2"/>
      <c r="K13" s="2"/>
    </row>
    <row r="14" spans="1:16" x14ac:dyDescent="0.2">
      <c r="A14" t="s">
        <v>171</v>
      </c>
      <c r="B14" t="s">
        <v>209</v>
      </c>
      <c r="C14" t="s">
        <v>200</v>
      </c>
      <c r="D14" t="s">
        <v>48</v>
      </c>
      <c r="E14" t="s">
        <v>217</v>
      </c>
      <c r="I14" s="2"/>
      <c r="J14" s="2"/>
      <c r="K14" s="2"/>
    </row>
    <row r="15" spans="1:16" x14ac:dyDescent="0.2">
      <c r="A15" t="s">
        <v>172</v>
      </c>
      <c r="B15" t="s">
        <v>204</v>
      </c>
      <c r="C15" t="s">
        <v>203</v>
      </c>
      <c r="D15" t="s">
        <v>48</v>
      </c>
      <c r="E15" t="s">
        <v>217</v>
      </c>
      <c r="I15" s="2"/>
      <c r="J15" s="2"/>
      <c r="K15" s="2"/>
    </row>
    <row r="16" spans="1:16" x14ac:dyDescent="0.2">
      <c r="A16" t="s">
        <v>18</v>
      </c>
      <c r="B16" t="s">
        <v>96</v>
      </c>
      <c r="C16" t="s">
        <v>53</v>
      </c>
      <c r="D16" t="s">
        <v>48</v>
      </c>
      <c r="E16" t="s">
        <v>217</v>
      </c>
      <c r="I16" s="2"/>
      <c r="J16" s="2"/>
      <c r="K16" s="2" t="s">
        <v>188</v>
      </c>
      <c r="L16" t="s">
        <v>49</v>
      </c>
      <c r="M16" t="s">
        <v>49</v>
      </c>
      <c r="N16" t="s">
        <v>49</v>
      </c>
      <c r="O16" t="s">
        <v>49</v>
      </c>
      <c r="P16" t="s">
        <v>97</v>
      </c>
    </row>
    <row r="17" spans="1:16" x14ac:dyDescent="0.2">
      <c r="A17" t="s">
        <v>83</v>
      </c>
      <c r="B17" t="s">
        <v>84</v>
      </c>
      <c r="C17" t="s">
        <v>82</v>
      </c>
      <c r="D17" t="s">
        <v>48</v>
      </c>
      <c r="E17" t="s">
        <v>219</v>
      </c>
      <c r="F17" t="s">
        <v>51</v>
      </c>
      <c r="I17" s="2"/>
      <c r="J17" s="2"/>
      <c r="K17" s="2" t="s">
        <v>52</v>
      </c>
      <c r="L17" t="s">
        <v>49</v>
      </c>
    </row>
    <row r="18" spans="1:16" x14ac:dyDescent="0.2">
      <c r="A18" t="s">
        <v>80</v>
      </c>
      <c r="B18" t="s">
        <v>81</v>
      </c>
      <c r="C18" t="s">
        <v>82</v>
      </c>
      <c r="D18" t="s">
        <v>48</v>
      </c>
      <c r="E18" t="s">
        <v>219</v>
      </c>
      <c r="F18" t="s">
        <v>50</v>
      </c>
      <c r="I18" s="2"/>
      <c r="J18" s="2"/>
      <c r="K18" s="2" t="s">
        <v>190</v>
      </c>
      <c r="L18" t="s">
        <v>49</v>
      </c>
      <c r="O18" t="s">
        <v>49</v>
      </c>
    </row>
    <row r="19" spans="1:16" x14ac:dyDescent="0.2">
      <c r="A19" t="s">
        <v>72</v>
      </c>
      <c r="B19" t="s">
        <v>73</v>
      </c>
      <c r="C19" t="s">
        <v>47</v>
      </c>
      <c r="D19" t="s">
        <v>48</v>
      </c>
      <c r="E19" t="s">
        <v>219</v>
      </c>
      <c r="F19" t="s">
        <v>50</v>
      </c>
      <c r="I19" s="2">
        <v>1.5</v>
      </c>
      <c r="J19" s="2">
        <v>60</v>
      </c>
      <c r="K19" s="2" t="s">
        <v>190</v>
      </c>
      <c r="O19" t="s">
        <v>49</v>
      </c>
    </row>
    <row r="20" spans="1:16" x14ac:dyDescent="0.2">
      <c r="A20" t="s">
        <v>77</v>
      </c>
      <c r="B20" t="s">
        <v>78</v>
      </c>
      <c r="C20" t="s">
        <v>47</v>
      </c>
      <c r="D20" t="s">
        <v>48</v>
      </c>
      <c r="E20" t="s">
        <v>219</v>
      </c>
      <c r="F20" t="s">
        <v>51</v>
      </c>
      <c r="I20" s="1">
        <v>1.4999999999999999E-4</v>
      </c>
      <c r="J20" s="1">
        <v>5.0000000000000001E-4</v>
      </c>
      <c r="K20" s="1" t="s">
        <v>190</v>
      </c>
      <c r="O20" t="s">
        <v>49</v>
      </c>
      <c r="P20" t="s">
        <v>79</v>
      </c>
    </row>
    <row r="21" spans="1:16" x14ac:dyDescent="0.2">
      <c r="A21" t="s">
        <v>58</v>
      </c>
      <c r="B21" t="s">
        <v>59</v>
      </c>
      <c r="C21" t="s">
        <v>60</v>
      </c>
      <c r="D21" t="s">
        <v>48</v>
      </c>
      <c r="E21" t="s">
        <v>219</v>
      </c>
      <c r="F21" t="s">
        <v>50</v>
      </c>
      <c r="I21" s="2">
        <v>10</v>
      </c>
      <c r="J21" s="2">
        <v>22</v>
      </c>
      <c r="K21" s="2" t="s">
        <v>190</v>
      </c>
    </row>
    <row r="22" spans="1:16" x14ac:dyDescent="0.2">
      <c r="A22" t="s">
        <v>69</v>
      </c>
      <c r="B22" t="s">
        <v>70</v>
      </c>
      <c r="C22" t="s">
        <v>71</v>
      </c>
      <c r="D22" t="s">
        <v>48</v>
      </c>
      <c r="E22" t="s">
        <v>219</v>
      </c>
      <c r="F22" t="s">
        <v>51</v>
      </c>
      <c r="I22" s="2">
        <v>1.5</v>
      </c>
      <c r="J22" s="2">
        <v>4000</v>
      </c>
      <c r="K22" s="2" t="s">
        <v>190</v>
      </c>
      <c r="L22" t="s">
        <v>49</v>
      </c>
      <c r="M22" t="s">
        <v>49</v>
      </c>
      <c r="N22" t="s">
        <v>49</v>
      </c>
      <c r="O22" t="s">
        <v>49</v>
      </c>
    </row>
    <row r="23" spans="1:16" x14ac:dyDescent="0.2">
      <c r="A23" t="s">
        <v>3</v>
      </c>
      <c r="B23" t="s">
        <v>194</v>
      </c>
      <c r="C23" t="s">
        <v>47</v>
      </c>
      <c r="D23" t="s">
        <v>48</v>
      </c>
      <c r="E23" t="s">
        <v>217</v>
      </c>
      <c r="I23" s="2">
        <v>0</v>
      </c>
      <c r="J23" s="2">
        <v>5000</v>
      </c>
      <c r="K23" s="2" t="s">
        <v>52</v>
      </c>
      <c r="L23" t="s">
        <v>49</v>
      </c>
      <c r="M23" t="s">
        <v>49</v>
      </c>
      <c r="N23" t="s">
        <v>49</v>
      </c>
    </row>
    <row r="24" spans="1:16" x14ac:dyDescent="0.2">
      <c r="A24" t="s">
        <v>17</v>
      </c>
      <c r="B24" t="s">
        <v>195</v>
      </c>
      <c r="C24" t="s">
        <v>47</v>
      </c>
      <c r="D24" t="s">
        <v>48</v>
      </c>
      <c r="E24" t="s">
        <v>217</v>
      </c>
      <c r="I24" s="2">
        <v>0</v>
      </c>
      <c r="J24" s="2"/>
      <c r="K24" s="2" t="s">
        <v>188</v>
      </c>
      <c r="L24" t="s">
        <v>49</v>
      </c>
      <c r="M24" t="s">
        <v>49</v>
      </c>
      <c r="N24" t="s">
        <v>49</v>
      </c>
    </row>
    <row r="25" spans="1:16" x14ac:dyDescent="0.2">
      <c r="A25" t="s">
        <v>16</v>
      </c>
      <c r="B25" t="s">
        <v>196</v>
      </c>
      <c r="C25" t="s">
        <v>47</v>
      </c>
      <c r="D25" t="s">
        <v>48</v>
      </c>
      <c r="E25" t="s">
        <v>217</v>
      </c>
      <c r="I25" s="2">
        <v>0</v>
      </c>
      <c r="J25" s="2"/>
      <c r="K25" s="2" t="s">
        <v>188</v>
      </c>
      <c r="L25" t="s">
        <v>49</v>
      </c>
      <c r="M25" t="s">
        <v>49</v>
      </c>
      <c r="N25" t="s">
        <v>49</v>
      </c>
      <c r="O25" t="s">
        <v>49</v>
      </c>
    </row>
    <row r="26" spans="1:16" x14ac:dyDescent="0.2">
      <c r="A26" t="s">
        <v>15</v>
      </c>
      <c r="B26" t="s">
        <v>197</v>
      </c>
      <c r="C26" t="s">
        <v>47</v>
      </c>
      <c r="D26" t="s">
        <v>48</v>
      </c>
      <c r="E26" t="s">
        <v>217</v>
      </c>
      <c r="I26" s="2">
        <v>5</v>
      </c>
      <c r="J26" s="2">
        <v>2000</v>
      </c>
      <c r="K26" s="2" t="s">
        <v>188</v>
      </c>
      <c r="L26" t="s">
        <v>49</v>
      </c>
      <c r="M26" t="s">
        <v>49</v>
      </c>
      <c r="N26" t="s">
        <v>49</v>
      </c>
      <c r="O26" t="s">
        <v>49</v>
      </c>
    </row>
    <row r="27" spans="1:16" x14ac:dyDescent="0.2">
      <c r="A27" t="s">
        <v>2</v>
      </c>
      <c r="B27" t="s">
        <v>54</v>
      </c>
      <c r="C27" t="s">
        <v>53</v>
      </c>
      <c r="D27" t="s">
        <v>48</v>
      </c>
      <c r="E27" t="s">
        <v>217</v>
      </c>
      <c r="I27" s="2"/>
      <c r="J27" s="2"/>
      <c r="K27" s="2" t="s">
        <v>52</v>
      </c>
    </row>
    <row r="28" spans="1:16" x14ac:dyDescent="0.2">
      <c r="A28" t="s">
        <v>19</v>
      </c>
      <c r="B28" t="s">
        <v>193</v>
      </c>
      <c r="C28" t="s">
        <v>53</v>
      </c>
      <c r="D28" t="s">
        <v>48</v>
      </c>
      <c r="E28" t="s">
        <v>217</v>
      </c>
      <c r="I28" s="2">
        <v>-4</v>
      </c>
      <c r="J28" s="2">
        <v>15</v>
      </c>
      <c r="K28" s="2" t="s">
        <v>188</v>
      </c>
      <c r="O28" t="s">
        <v>49</v>
      </c>
    </row>
    <row r="29" spans="1:16" x14ac:dyDescent="0.2">
      <c r="A29" t="s">
        <v>20</v>
      </c>
      <c r="B29" t="s">
        <v>192</v>
      </c>
      <c r="C29" t="s">
        <v>53</v>
      </c>
      <c r="D29" t="s">
        <v>48</v>
      </c>
      <c r="E29" t="s">
        <v>217</v>
      </c>
      <c r="I29" s="2"/>
      <c r="J29" s="2"/>
      <c r="K29" s="2" t="s">
        <v>188</v>
      </c>
      <c r="L29" t="s">
        <v>49</v>
      </c>
      <c r="M29" t="s">
        <v>49</v>
      </c>
      <c r="N29" t="s">
        <v>49</v>
      </c>
      <c r="O29" t="s">
        <v>49</v>
      </c>
    </row>
    <row r="30" spans="1:16" x14ac:dyDescent="0.2">
      <c r="A30" t="s">
        <v>55</v>
      </c>
      <c r="B30" t="s">
        <v>56</v>
      </c>
      <c r="C30" t="s">
        <v>53</v>
      </c>
      <c r="D30" t="s">
        <v>48</v>
      </c>
      <c r="E30" t="s">
        <v>57</v>
      </c>
      <c r="F30" t="s">
        <v>50</v>
      </c>
      <c r="I30" s="2">
        <v>-18</v>
      </c>
      <c r="J30" s="2">
        <v>15</v>
      </c>
      <c r="K30" s="2" t="s">
        <v>190</v>
      </c>
      <c r="O30" t="s">
        <v>49</v>
      </c>
    </row>
    <row r="31" spans="1:16" x14ac:dyDescent="0.2">
      <c r="A31" t="s">
        <v>111</v>
      </c>
      <c r="B31" t="s">
        <v>112</v>
      </c>
      <c r="C31" t="s">
        <v>47</v>
      </c>
      <c r="D31" t="s">
        <v>68</v>
      </c>
      <c r="E31" t="s">
        <v>217</v>
      </c>
      <c r="G31" s="1">
        <v>2.0799999999999999E-4</v>
      </c>
      <c r="H31" s="1"/>
      <c r="I31" s="2"/>
      <c r="J31" s="2"/>
      <c r="K31" s="2" t="s">
        <v>93</v>
      </c>
      <c r="O31" t="s">
        <v>49</v>
      </c>
    </row>
    <row r="32" spans="1:16" x14ac:dyDescent="0.2">
      <c r="A32" t="s">
        <v>98</v>
      </c>
      <c r="B32" t="s">
        <v>99</v>
      </c>
      <c r="C32" t="s">
        <v>87</v>
      </c>
      <c r="D32" t="s">
        <v>68</v>
      </c>
      <c r="E32" t="s">
        <v>217</v>
      </c>
      <c r="G32">
        <v>0.25</v>
      </c>
      <c r="I32" s="2"/>
      <c r="J32" s="2"/>
      <c r="K32" s="2" t="s">
        <v>93</v>
      </c>
    </row>
    <row r="33" spans="1:16" x14ac:dyDescent="0.2">
      <c r="A33" t="s">
        <v>113</v>
      </c>
      <c r="B33" t="s">
        <v>114</v>
      </c>
      <c r="C33" t="s">
        <v>115</v>
      </c>
      <c r="D33" t="s">
        <v>68</v>
      </c>
      <c r="E33" t="s">
        <v>217</v>
      </c>
      <c r="G33">
        <v>9.81</v>
      </c>
      <c r="I33" s="2"/>
      <c r="J33" s="2"/>
      <c r="K33" s="2" t="s">
        <v>93</v>
      </c>
      <c r="O33" t="s">
        <v>49</v>
      </c>
    </row>
    <row r="34" spans="1:16" x14ac:dyDescent="0.2">
      <c r="A34" t="s">
        <v>119</v>
      </c>
      <c r="B34" t="s">
        <v>120</v>
      </c>
      <c r="C34" t="s">
        <v>60</v>
      </c>
      <c r="D34" t="s">
        <v>68</v>
      </c>
      <c r="E34" t="s">
        <v>217</v>
      </c>
      <c r="G34" s="2">
        <v>26</v>
      </c>
      <c r="H34" s="2"/>
      <c r="I34" s="2"/>
      <c r="J34" s="2"/>
      <c r="K34" s="2" t="s">
        <v>93</v>
      </c>
      <c r="O34" t="s">
        <v>49</v>
      </c>
    </row>
    <row r="35" spans="1:16" x14ac:dyDescent="0.2">
      <c r="A35" t="s">
        <v>66</v>
      </c>
      <c r="B35" t="s">
        <v>67</v>
      </c>
      <c r="C35" t="s">
        <v>60</v>
      </c>
      <c r="D35" t="s">
        <v>68</v>
      </c>
      <c r="E35" t="s">
        <v>217</v>
      </c>
      <c r="G35">
        <v>9.81</v>
      </c>
      <c r="I35" s="2"/>
      <c r="J35" s="2"/>
      <c r="K35" s="2" t="s">
        <v>93</v>
      </c>
    </row>
    <row r="36" spans="1:16" x14ac:dyDescent="0.2">
      <c r="A36" t="s">
        <v>159</v>
      </c>
      <c r="B36" t="s">
        <v>160</v>
      </c>
      <c r="C36" t="s">
        <v>47</v>
      </c>
      <c r="D36" t="s">
        <v>68</v>
      </c>
      <c r="E36" t="s">
        <v>217</v>
      </c>
      <c r="G36">
        <v>1.5</v>
      </c>
      <c r="K36" s="2" t="s">
        <v>93</v>
      </c>
    </row>
    <row r="37" spans="1:16" x14ac:dyDescent="0.2">
      <c r="A37" t="s">
        <v>91</v>
      </c>
      <c r="B37" t="s">
        <v>92</v>
      </c>
      <c r="C37" t="s">
        <v>87</v>
      </c>
      <c r="D37" t="s">
        <v>68</v>
      </c>
      <c r="E37" t="s">
        <v>219</v>
      </c>
      <c r="F37" t="s">
        <v>50</v>
      </c>
      <c r="G37" s="2">
        <v>0.5</v>
      </c>
      <c r="H37" s="2">
        <v>0.1</v>
      </c>
      <c r="I37" s="2"/>
      <c r="J37" s="2"/>
      <c r="K37" s="2" t="s">
        <v>93</v>
      </c>
      <c r="N37" t="s">
        <v>49</v>
      </c>
    </row>
    <row r="38" spans="1:16" x14ac:dyDescent="0.2">
      <c r="A38" t="s">
        <v>155</v>
      </c>
      <c r="B38" t="s">
        <v>156</v>
      </c>
      <c r="C38" t="s">
        <v>76</v>
      </c>
      <c r="D38" t="s">
        <v>68</v>
      </c>
      <c r="E38" t="s">
        <v>219</v>
      </c>
      <c r="F38" t="s">
        <v>50</v>
      </c>
      <c r="G38">
        <v>0.1</v>
      </c>
      <c r="K38" s="2" t="s">
        <v>93</v>
      </c>
    </row>
    <row r="39" spans="1:16" x14ac:dyDescent="0.2">
      <c r="A39" t="s">
        <v>157</v>
      </c>
      <c r="B39" t="s">
        <v>158</v>
      </c>
      <c r="C39" t="s">
        <v>76</v>
      </c>
      <c r="D39" t="s">
        <v>68</v>
      </c>
      <c r="E39" t="s">
        <v>219</v>
      </c>
      <c r="F39" t="s">
        <v>50</v>
      </c>
      <c r="G39">
        <v>0.01</v>
      </c>
      <c r="K39" s="2" t="s">
        <v>93</v>
      </c>
    </row>
    <row r="40" spans="1:16" x14ac:dyDescent="0.2">
      <c r="A40" t="s">
        <v>94</v>
      </c>
      <c r="B40" t="s">
        <v>95</v>
      </c>
      <c r="C40" t="s">
        <v>87</v>
      </c>
      <c r="D40" t="s">
        <v>68</v>
      </c>
      <c r="E40" t="s">
        <v>217</v>
      </c>
      <c r="G40" s="2">
        <v>0.3</v>
      </c>
      <c r="H40" s="2"/>
      <c r="I40" s="2"/>
      <c r="J40" s="2"/>
      <c r="K40" s="2" t="s">
        <v>93</v>
      </c>
      <c r="O40" t="s">
        <v>49</v>
      </c>
    </row>
    <row r="41" spans="1:16" x14ac:dyDescent="0.2">
      <c r="A41" t="s">
        <v>108</v>
      </c>
      <c r="B41" t="s">
        <v>109</v>
      </c>
      <c r="C41" t="s">
        <v>110</v>
      </c>
      <c r="D41" t="s">
        <v>68</v>
      </c>
      <c r="E41" t="s">
        <v>217</v>
      </c>
      <c r="G41" s="2">
        <v>37</v>
      </c>
      <c r="H41" s="2"/>
      <c r="I41" s="2"/>
      <c r="J41" s="2"/>
      <c r="K41" s="2" t="s">
        <v>93</v>
      </c>
      <c r="O41" t="s">
        <v>49</v>
      </c>
    </row>
    <row r="42" spans="1:16" x14ac:dyDescent="0.2">
      <c r="A42" t="s">
        <v>116</v>
      </c>
      <c r="B42" t="s">
        <v>117</v>
      </c>
      <c r="C42" t="s">
        <v>118</v>
      </c>
      <c r="D42" t="s">
        <v>68</v>
      </c>
      <c r="E42" t="s">
        <v>217</v>
      </c>
      <c r="G42" s="1">
        <v>1.33E-6</v>
      </c>
      <c r="H42" s="1"/>
      <c r="I42" s="2"/>
      <c r="J42" s="2"/>
      <c r="K42" s="2" t="s">
        <v>93</v>
      </c>
      <c r="O42" t="s">
        <v>49</v>
      </c>
    </row>
    <row r="43" spans="1:16" x14ac:dyDescent="0.2">
      <c r="A43" t="s">
        <v>88</v>
      </c>
      <c r="B43" t="s">
        <v>187</v>
      </c>
      <c r="C43" t="s">
        <v>87</v>
      </c>
      <c r="D43" t="s">
        <v>68</v>
      </c>
      <c r="E43" t="s">
        <v>219</v>
      </c>
      <c r="F43" t="s">
        <v>50</v>
      </c>
      <c r="G43" s="3">
        <v>1</v>
      </c>
      <c r="H43">
        <v>0.1</v>
      </c>
      <c r="I43" s="2"/>
      <c r="J43" s="2"/>
      <c r="K43" s="2" t="s">
        <v>188</v>
      </c>
      <c r="N43" t="s">
        <v>49</v>
      </c>
    </row>
    <row r="44" spans="1:16" x14ac:dyDescent="0.2">
      <c r="A44" t="s">
        <v>89</v>
      </c>
      <c r="B44" t="s">
        <v>90</v>
      </c>
      <c r="C44" t="s">
        <v>87</v>
      </c>
      <c r="D44" t="s">
        <v>68</v>
      </c>
      <c r="E44" t="s">
        <v>219</v>
      </c>
      <c r="F44" t="s">
        <v>50</v>
      </c>
      <c r="G44" s="3">
        <v>1</v>
      </c>
      <c r="H44">
        <v>0.12</v>
      </c>
      <c r="I44" s="2"/>
      <c r="J44" s="2"/>
      <c r="K44" s="2" t="s">
        <v>188</v>
      </c>
      <c r="O44" t="s">
        <v>49</v>
      </c>
    </row>
    <row r="45" spans="1:16" x14ac:dyDescent="0.2">
      <c r="A45" t="s">
        <v>85</v>
      </c>
      <c r="B45" t="s">
        <v>86</v>
      </c>
      <c r="C45" t="s">
        <v>87</v>
      </c>
      <c r="D45" t="s">
        <v>68</v>
      </c>
      <c r="E45" t="s">
        <v>219</v>
      </c>
      <c r="F45" t="s">
        <v>50</v>
      </c>
      <c r="G45" s="3">
        <v>1</v>
      </c>
      <c r="H45">
        <v>0.1</v>
      </c>
      <c r="I45" s="2"/>
      <c r="J45" s="2"/>
      <c r="K45" s="2" t="s">
        <v>188</v>
      </c>
      <c r="M45" t="s">
        <v>49</v>
      </c>
    </row>
    <row r="46" spans="1:16" x14ac:dyDescent="0.2">
      <c r="A46" t="s">
        <v>61</v>
      </c>
      <c r="B46" t="s">
        <v>62</v>
      </c>
      <c r="C46" t="s">
        <v>47</v>
      </c>
      <c r="D46" t="s">
        <v>63</v>
      </c>
      <c r="I46" s="2">
        <v>0.1</v>
      </c>
      <c r="J46" s="2"/>
      <c r="K46" s="2" t="s">
        <v>214</v>
      </c>
      <c r="P46" t="s">
        <v>218</v>
      </c>
    </row>
    <row r="47" spans="1:16" x14ac:dyDescent="0.2">
      <c r="A47" t="s">
        <v>64</v>
      </c>
      <c r="B47" t="s">
        <v>65</v>
      </c>
      <c r="C47" t="s">
        <v>47</v>
      </c>
      <c r="D47" t="s">
        <v>63</v>
      </c>
      <c r="I47" s="2">
        <v>0.1</v>
      </c>
      <c r="J47" s="2"/>
      <c r="K47" s="2" t="s">
        <v>214</v>
      </c>
      <c r="P47" t="s">
        <v>218</v>
      </c>
    </row>
    <row r="48" spans="1:16" x14ac:dyDescent="0.2">
      <c r="A48" t="s">
        <v>127</v>
      </c>
      <c r="B48" t="s">
        <v>128</v>
      </c>
      <c r="C48" t="s">
        <v>47</v>
      </c>
      <c r="D48" t="s">
        <v>63</v>
      </c>
      <c r="I48" s="2"/>
      <c r="J48" s="2"/>
      <c r="K48" s="2" t="s">
        <v>214</v>
      </c>
      <c r="O48" t="s">
        <v>105</v>
      </c>
    </row>
    <row r="49" spans="1:15" x14ac:dyDescent="0.2">
      <c r="A49" t="s">
        <v>123</v>
      </c>
      <c r="B49" t="s">
        <v>124</v>
      </c>
      <c r="C49" t="s">
        <v>47</v>
      </c>
      <c r="D49" t="s">
        <v>63</v>
      </c>
      <c r="I49" s="2"/>
      <c r="J49" s="2"/>
      <c r="K49" s="2" t="s">
        <v>214</v>
      </c>
      <c r="O49" t="s">
        <v>105</v>
      </c>
    </row>
    <row r="50" spans="1:15" x14ac:dyDescent="0.2">
      <c r="A50" t="s">
        <v>121</v>
      </c>
      <c r="B50" t="s">
        <v>122</v>
      </c>
      <c r="C50" t="s">
        <v>47</v>
      </c>
      <c r="D50" t="s">
        <v>63</v>
      </c>
      <c r="I50" s="2"/>
      <c r="J50" s="2"/>
      <c r="K50" s="2" t="s">
        <v>214</v>
      </c>
      <c r="M50" t="s">
        <v>105</v>
      </c>
    </row>
    <row r="51" spans="1:15" x14ac:dyDescent="0.2">
      <c r="A51" t="s">
        <v>151</v>
      </c>
      <c r="B51" t="s">
        <v>152</v>
      </c>
      <c r="C51" t="s">
        <v>87</v>
      </c>
      <c r="D51" t="s">
        <v>63</v>
      </c>
      <c r="I51" s="2"/>
      <c r="J51" s="2"/>
      <c r="K51" s="2" t="s">
        <v>214</v>
      </c>
      <c r="N51" t="s">
        <v>101</v>
      </c>
    </row>
    <row r="52" spans="1:15" x14ac:dyDescent="0.2">
      <c r="A52" t="s">
        <v>153</v>
      </c>
      <c r="B52" t="s">
        <v>154</v>
      </c>
      <c r="C52" t="s">
        <v>87</v>
      </c>
      <c r="D52" t="s">
        <v>63</v>
      </c>
      <c r="I52" s="2"/>
      <c r="J52" s="2"/>
      <c r="K52" s="2" t="s">
        <v>214</v>
      </c>
      <c r="O52" t="s">
        <v>101</v>
      </c>
    </row>
    <row r="53" spans="1:15" x14ac:dyDescent="0.2">
      <c r="A53" t="s">
        <v>149</v>
      </c>
      <c r="B53" t="s">
        <v>150</v>
      </c>
      <c r="C53" t="s">
        <v>87</v>
      </c>
      <c r="D53" t="s">
        <v>63</v>
      </c>
      <c r="I53" s="2"/>
      <c r="J53" s="2"/>
      <c r="K53" s="2" t="s">
        <v>214</v>
      </c>
      <c r="M53" t="s">
        <v>101</v>
      </c>
    </row>
    <row r="54" spans="1:15" x14ac:dyDescent="0.2">
      <c r="A54" t="s">
        <v>103</v>
      </c>
      <c r="B54" t="s">
        <v>104</v>
      </c>
      <c r="C54" t="s">
        <v>53</v>
      </c>
      <c r="D54" t="s">
        <v>63</v>
      </c>
      <c r="I54" s="2"/>
      <c r="J54" s="2"/>
      <c r="K54" s="2" t="s">
        <v>214</v>
      </c>
      <c r="O54" t="s">
        <v>105</v>
      </c>
    </row>
    <row r="55" spans="1:15" x14ac:dyDescent="0.2">
      <c r="A55" t="s">
        <v>125</v>
      </c>
      <c r="B55" t="s">
        <v>126</v>
      </c>
      <c r="C55" t="s">
        <v>87</v>
      </c>
      <c r="D55" t="s">
        <v>63</v>
      </c>
      <c r="I55" s="2"/>
      <c r="J55" s="2"/>
      <c r="K55" s="2" t="s">
        <v>214</v>
      </c>
      <c r="N55" t="s">
        <v>105</v>
      </c>
    </row>
    <row r="56" spans="1:15" x14ac:dyDescent="0.2">
      <c r="A56" t="s">
        <v>74</v>
      </c>
      <c r="B56" t="s">
        <v>75</v>
      </c>
      <c r="C56" t="s">
        <v>76</v>
      </c>
      <c r="D56" t="s">
        <v>63</v>
      </c>
      <c r="I56" s="2">
        <v>1</v>
      </c>
      <c r="J56" s="2">
        <v>110</v>
      </c>
      <c r="K56" s="2" t="s">
        <v>214</v>
      </c>
    </row>
    <row r="57" spans="1:15" x14ac:dyDescent="0.2">
      <c r="A57" t="s">
        <v>139</v>
      </c>
      <c r="B57" t="s">
        <v>140</v>
      </c>
      <c r="C57" t="s">
        <v>47</v>
      </c>
      <c r="D57" t="s">
        <v>63</v>
      </c>
      <c r="I57" s="2"/>
      <c r="J57" s="2"/>
      <c r="K57" s="2" t="s">
        <v>214</v>
      </c>
      <c r="L57" t="s">
        <v>105</v>
      </c>
    </row>
    <row r="58" spans="1:15" x14ac:dyDescent="0.2">
      <c r="A58" t="s">
        <v>106</v>
      </c>
      <c r="B58" t="s">
        <v>107</v>
      </c>
      <c r="C58" t="s">
        <v>47</v>
      </c>
      <c r="D58" t="s">
        <v>63</v>
      </c>
      <c r="I58" s="2"/>
      <c r="J58" s="2"/>
      <c r="K58" s="2" t="s">
        <v>214</v>
      </c>
      <c r="O58" t="s">
        <v>105</v>
      </c>
    </row>
    <row r="59" spans="1:15" x14ac:dyDescent="0.2">
      <c r="A59" t="s">
        <v>137</v>
      </c>
      <c r="B59" t="s">
        <v>138</v>
      </c>
      <c r="C59" t="s">
        <v>47</v>
      </c>
      <c r="D59" t="s">
        <v>63</v>
      </c>
      <c r="I59" s="2"/>
      <c r="J59" s="2"/>
      <c r="K59" s="2" t="s">
        <v>214</v>
      </c>
      <c r="L59" t="s">
        <v>105</v>
      </c>
    </row>
    <row r="60" spans="1:15" x14ac:dyDescent="0.2">
      <c r="A60" t="s">
        <v>143</v>
      </c>
      <c r="B60" t="s">
        <v>144</v>
      </c>
      <c r="C60" t="s">
        <v>47</v>
      </c>
      <c r="D60" t="s">
        <v>63</v>
      </c>
      <c r="I60" s="2"/>
      <c r="J60" s="2"/>
      <c r="K60" s="2" t="s">
        <v>214</v>
      </c>
      <c r="L60" t="s">
        <v>105</v>
      </c>
    </row>
    <row r="61" spans="1:15" x14ac:dyDescent="0.2">
      <c r="A61" t="s">
        <v>141</v>
      </c>
      <c r="B61" t="s">
        <v>142</v>
      </c>
      <c r="C61" t="s">
        <v>47</v>
      </c>
      <c r="D61" t="s">
        <v>63</v>
      </c>
      <c r="I61" s="2"/>
      <c r="J61" s="2"/>
      <c r="K61" s="2" t="s">
        <v>214</v>
      </c>
      <c r="L61" t="s">
        <v>105</v>
      </c>
    </row>
    <row r="62" spans="1:15" x14ac:dyDescent="0.2">
      <c r="A62" t="s">
        <v>102</v>
      </c>
      <c r="B62" t="s">
        <v>191</v>
      </c>
      <c r="C62" t="s">
        <v>53</v>
      </c>
      <c r="D62" t="s">
        <v>63</v>
      </c>
      <c r="I62" s="2"/>
      <c r="J62" s="2"/>
      <c r="K62" s="2" t="s">
        <v>214</v>
      </c>
      <c r="L62" t="s">
        <v>101</v>
      </c>
      <c r="M62" t="s">
        <v>49</v>
      </c>
      <c r="N62" t="s">
        <v>49</v>
      </c>
    </row>
    <row r="63" spans="1:15" x14ac:dyDescent="0.2">
      <c r="A63" t="s">
        <v>100</v>
      </c>
      <c r="B63" t="s">
        <v>189</v>
      </c>
      <c r="C63" t="s">
        <v>87</v>
      </c>
      <c r="D63" t="s">
        <v>63</v>
      </c>
      <c r="I63" s="2"/>
      <c r="J63" s="2"/>
      <c r="K63" s="2" t="s">
        <v>214</v>
      </c>
      <c r="L63" t="s">
        <v>101</v>
      </c>
    </row>
    <row r="64" spans="1:15" x14ac:dyDescent="0.2">
      <c r="A64" t="s">
        <v>147</v>
      </c>
      <c r="B64" t="s">
        <v>148</v>
      </c>
      <c r="C64" t="s">
        <v>47</v>
      </c>
      <c r="D64" t="s">
        <v>63</v>
      </c>
      <c r="I64" s="2"/>
      <c r="J64" s="2"/>
      <c r="K64" s="2" t="s">
        <v>214</v>
      </c>
      <c r="L64" t="s">
        <v>105</v>
      </c>
    </row>
    <row r="65" spans="1:15" x14ac:dyDescent="0.2">
      <c r="A65" t="s">
        <v>145</v>
      </c>
      <c r="B65" t="s">
        <v>146</v>
      </c>
      <c r="C65" t="s">
        <v>47</v>
      </c>
      <c r="D65" t="s">
        <v>63</v>
      </c>
      <c r="I65" s="2"/>
      <c r="J65" s="2"/>
      <c r="K65" s="2" t="s">
        <v>214</v>
      </c>
      <c r="L65" t="s">
        <v>105</v>
      </c>
    </row>
    <row r="66" spans="1:15" x14ac:dyDescent="0.2">
      <c r="A66" t="s">
        <v>135</v>
      </c>
      <c r="B66" t="s">
        <v>136</v>
      </c>
      <c r="C66" t="s">
        <v>87</v>
      </c>
      <c r="D66" t="s">
        <v>63</v>
      </c>
      <c r="I66" s="2"/>
      <c r="J66" s="2"/>
      <c r="K66" s="2" t="s">
        <v>214</v>
      </c>
      <c r="M66" t="s">
        <v>49</v>
      </c>
      <c r="N66" t="s">
        <v>49</v>
      </c>
      <c r="O66" t="s">
        <v>49</v>
      </c>
    </row>
    <row r="67" spans="1:15" x14ac:dyDescent="0.2">
      <c r="A67" t="s">
        <v>131</v>
      </c>
      <c r="B67" t="s">
        <v>132</v>
      </c>
      <c r="C67" t="s">
        <v>87</v>
      </c>
      <c r="D67" t="s">
        <v>63</v>
      </c>
      <c r="I67" s="2"/>
      <c r="J67" s="2"/>
      <c r="K67" s="2" t="s">
        <v>214</v>
      </c>
      <c r="N67" t="s">
        <v>101</v>
      </c>
    </row>
    <row r="68" spans="1:15" x14ac:dyDescent="0.2">
      <c r="A68" t="s">
        <v>133</v>
      </c>
      <c r="B68" t="s">
        <v>134</v>
      </c>
      <c r="C68" t="s">
        <v>87</v>
      </c>
      <c r="D68" t="s">
        <v>63</v>
      </c>
      <c r="I68" s="2"/>
      <c r="J68" s="2"/>
      <c r="K68" s="2" t="s">
        <v>214</v>
      </c>
      <c r="O68" t="s">
        <v>101</v>
      </c>
    </row>
    <row r="69" spans="1:15" x14ac:dyDescent="0.2">
      <c r="A69" t="s">
        <v>129</v>
      </c>
      <c r="B69" t="s">
        <v>130</v>
      </c>
      <c r="C69" t="s">
        <v>87</v>
      </c>
      <c r="D69" t="s">
        <v>63</v>
      </c>
      <c r="I69" s="2"/>
      <c r="J69" s="2"/>
      <c r="K69" s="2" t="s">
        <v>214</v>
      </c>
      <c r="M69" t="s">
        <v>101</v>
      </c>
    </row>
  </sheetData>
  <conditionalFormatting sqref="H1:H1048576 F1:F1048576">
    <cfRule type="expression" dxfId="0" priority="1">
      <formula>$E1="deterministic"</formula>
    </cfRule>
  </conditionalFormatting>
  <dataValidations count="4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2:D69" xr:uid="{AA09C33A-A013-4395-933B-875C1EC68FEA}">
      <formula1>"Input,Constant,Calculated"</formula1>
    </dataValidation>
    <dataValidation type="list" showInputMessage="1" showErrorMessage="1" sqref="E2:E45" xr:uid="{A46D7AB9-7C96-4620-B61F-7A7D97EDACC4}">
      <formula1>"deterministic,normal,log_normal"</formula1>
    </dataValidation>
    <dataValidation showInputMessage="1" showErrorMessage="1" sqref="E46:E69" xr:uid="{910AEE68-F2A4-46F1-9254-4E7A6B8B9583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Vakken</vt:lpstr>
      <vt:lpstr>Uittredepunten</vt:lpstr>
      <vt:lpstr>Ondergrondscenarios</vt:lpstr>
      <vt:lpstr>Overzicht_variabelen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2025-05-14T12:19:36Z</dcterms:modified>
</cp:coreProperties>
</file>