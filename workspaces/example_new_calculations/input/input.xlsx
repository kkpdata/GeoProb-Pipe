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61D61C20-25AA-4691-B398-1ADC51CB1890}" xr6:coauthVersionLast="47" xr6:coauthVersionMax="47" xr10:uidLastSave="{00000000-0000-0000-0000-000000000000}"/>
  <bookViews>
    <workbookView xWindow="28680" yWindow="-120" windowWidth="29040" windowHeight="17520" xr2:uid="{4B4440D1-7D61-496F-9875-57D3D09D2BB5}"/>
  </bookViews>
  <sheets>
    <sheet name="Vakken" sheetId="3" r:id="rId1"/>
    <sheet name="Uittredepunten" sheetId="4" r:id="rId2"/>
    <sheet name="Ondergrondscenario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 s="1"/>
  <c r="K4" i="1"/>
  <c r="M4" i="1" s="1"/>
  <c r="K5" i="1"/>
  <c r="K6" i="1"/>
  <c r="M6" i="1" s="1"/>
  <c r="K7" i="1"/>
  <c r="K8" i="1"/>
  <c r="K3" i="1"/>
  <c r="I4" i="1"/>
  <c r="J4" i="1" s="1"/>
  <c r="I5" i="1"/>
  <c r="J5" i="1" s="1"/>
  <c r="I6" i="1"/>
  <c r="J6" i="1" s="1"/>
  <c r="I7" i="1"/>
  <c r="J7" i="1" s="1"/>
  <c r="I8" i="1"/>
  <c r="J8" i="1" s="1"/>
  <c r="M3" i="1" l="1"/>
  <c r="Q3" i="1" s="1"/>
  <c r="M7" i="1"/>
  <c r="Q7" i="1" s="1"/>
  <c r="M8" i="1"/>
  <c r="Q8" i="1" s="1"/>
  <c r="Q6" i="1"/>
  <c r="Q4" i="1"/>
  <c r="M5" i="1"/>
  <c r="Q5" i="1" s="1"/>
</calcChain>
</file>

<file path=xl/sharedStrings.xml><?xml version="1.0" encoding="utf-8"?>
<sst xmlns="http://schemas.openxmlformats.org/spreadsheetml/2006/main" count="81" uniqueCount="50">
  <si>
    <t>Scenario</t>
  </si>
  <si>
    <t>Pleistoceen</t>
  </si>
  <si>
    <t>Holoceen</t>
  </si>
  <si>
    <t>Tussenzandlaag</t>
  </si>
  <si>
    <t>Top_zand_vak [m+NAP]</t>
  </si>
  <si>
    <t>d_deklaag_vak [m]</t>
  </si>
  <si>
    <t>Dikte_pleistoceen_zand [m]</t>
  </si>
  <si>
    <t>Dikte_holoceen_zand [m]</t>
  </si>
  <si>
    <t>Dikte_WVP [m]</t>
  </si>
  <si>
    <t>k_holoceen_zand [m/dag]</t>
  </si>
  <si>
    <t>SD_dikte_WVP [m]</t>
  </si>
  <si>
    <t>k_pleistoceen_zand [m/dag]</t>
  </si>
  <si>
    <t>k_WVP [m/dag]</t>
  </si>
  <si>
    <t>VC_k_WVP [-]</t>
  </si>
  <si>
    <t>Weerstand_voorland [d]</t>
  </si>
  <si>
    <t>Weerstand_achterland [d]</t>
  </si>
  <si>
    <t>L3 [m]</t>
  </si>
  <si>
    <t>VC_d70 [-]</t>
  </si>
  <si>
    <t>Gamma_sat_deklaag_vak [kN/m3]</t>
  </si>
  <si>
    <t>VC_Gamma_sat_deklaag_vak [-]</t>
  </si>
  <si>
    <t>Vak1</t>
  </si>
  <si>
    <t>Vak2</t>
  </si>
  <si>
    <t>Vak3</t>
  </si>
  <si>
    <t>VC_weerstand_deklaag [-]</t>
  </si>
  <si>
    <t>d70 [µm]</t>
  </si>
  <si>
    <t>Uittredepunt1</t>
  </si>
  <si>
    <t>Uittredepunt2</t>
  </si>
  <si>
    <t>Uittredepunt3</t>
  </si>
  <si>
    <t>Locatie</t>
  </si>
  <si>
    <t>(52, 5.6)</t>
  </si>
  <si>
    <t>(52, 5.7)</t>
  </si>
  <si>
    <t>(52, 5.8)</t>
  </si>
  <si>
    <t>Scenario_1</t>
  </si>
  <si>
    <t>Scenario_3</t>
  </si>
  <si>
    <t>Scenario_2</t>
  </si>
  <si>
    <t>Uittredepunt4</t>
  </si>
  <si>
    <t>Uittredepunt5</t>
  </si>
  <si>
    <t>Uittredepunt6</t>
  </si>
  <si>
    <t>Vak_ID</t>
  </si>
  <si>
    <t>Uittredepunt_ID</t>
  </si>
  <si>
    <t>Scenario_ID</t>
  </si>
  <si>
    <t xml:space="preserve">Scenariokans </t>
  </si>
  <si>
    <t>[%]</t>
  </si>
  <si>
    <t>Bodemhoogte_vak</t>
  </si>
  <si>
    <t>[m+NAP]</t>
  </si>
  <si>
    <t>[m]</t>
  </si>
  <si>
    <t>Top_holoceen_zand</t>
  </si>
  <si>
    <t>Top_pleistoceen_zand</t>
  </si>
  <si>
    <t>SD_top_zand_vak</t>
  </si>
  <si>
    <t>[-]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</si>
</sst>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</font>
    <font>
      <sz val="11"/>
      <color rgb="FF3F3F76"/>
      <name val="Calibri"/>
      <family val="2"/>
    </font>
    <font>
      <b/>
      <sz val="11"/>
      <color rgb="FFFA7D00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30">
    <xf numFmtId="0" fontId="0" fillId="0" borderId="0" xfId="0"/>
    <xf numFmtId="0" fontId="1" fillId="2" borderId="2" xfId="1" applyBorder="1" applyAlignment="1">
      <alignment horizontal="center"/>
    </xf>
    <xf numFmtId="0" fontId="1" fillId="2" borderId="3" xfId="1" applyBorder="1" applyAlignment="1">
      <alignment horizontal="center"/>
    </xf>
    <xf numFmtId="9" fontId="1" fillId="2" borderId="3" xfId="1" applyNumberFormat="1" applyBorder="1" applyAlignment="1">
      <alignment horizontal="center"/>
    </xf>
    <xf numFmtId="0" fontId="2" fillId="3" borderId="3" xfId="2" applyBorder="1" applyAlignment="1">
      <alignment horizontal="center"/>
    </xf>
    <xf numFmtId="0" fontId="1" fillId="2" borderId="3" xfId="1" applyBorder="1"/>
    <xf numFmtId="2" fontId="2" fillId="3" borderId="3" xfId="2" applyNumberFormat="1" applyBorder="1" applyAlignment="1">
      <alignment horizontal="center"/>
    </xf>
    <xf numFmtId="0" fontId="0" fillId="0" borderId="4" xfId="0" applyBorder="1"/>
    <xf numFmtId="0" fontId="1" fillId="2" borderId="5" xfId="1" applyBorder="1" applyAlignment="1">
      <alignment horizontal="center"/>
    </xf>
    <xf numFmtId="0" fontId="1" fillId="2" borderId="6" xfId="1" applyBorder="1" applyAlignment="1">
      <alignment horizontal="center"/>
    </xf>
    <xf numFmtId="9" fontId="1" fillId="2" borderId="6" xfId="1" applyNumberFormat="1" applyBorder="1" applyAlignment="1">
      <alignment horizontal="center"/>
    </xf>
    <xf numFmtId="0" fontId="2" fillId="3" borderId="6" xfId="2" applyBorder="1" applyAlignment="1">
      <alignment horizontal="center"/>
    </xf>
    <xf numFmtId="0" fontId="1" fillId="2" borderId="6" xfId="1" applyBorder="1"/>
    <xf numFmtId="2" fontId="2" fillId="3" borderId="6" xfId="2" applyNumberFormat="1" applyBorder="1" applyAlignment="1">
      <alignment horizontal="center"/>
    </xf>
    <xf numFmtId="0" fontId="0" fillId="0" borderId="7" xfId="0" applyBorder="1"/>
    <xf numFmtId="0" fontId="1" fillId="2" borderId="8" xfId="1" applyBorder="1" applyAlignment="1">
      <alignment horizontal="center"/>
    </xf>
    <xf numFmtId="0" fontId="1" fillId="2" borderId="9" xfId="1" applyBorder="1" applyAlignment="1">
      <alignment horizontal="center"/>
    </xf>
    <xf numFmtId="9" fontId="1" fillId="2" borderId="9" xfId="1" applyNumberFormat="1" applyBorder="1" applyAlignment="1">
      <alignment horizontal="center"/>
    </xf>
    <xf numFmtId="0" fontId="2" fillId="3" borderId="9" xfId="2" applyBorder="1" applyAlignment="1">
      <alignment horizontal="center"/>
    </xf>
    <xf numFmtId="0" fontId="1" fillId="2" borderId="9" xfId="1" applyBorder="1"/>
    <xf numFmtId="2" fontId="2" fillId="3" borderId="9" xfId="2" applyNumberFormat="1" applyBorder="1" applyAlignment="1">
      <alignment horizontal="center"/>
    </xf>
    <xf numFmtId="0" fontId="0" fillId="0" borderId="10" xfId="0" applyBorder="1"/>
    <xf numFmtId="0" fontId="1" fillId="2" borderId="11" xfId="1" applyBorder="1" applyAlignment="1">
      <alignment horizontal="center"/>
    </xf>
    <xf numFmtId="0" fontId="1" fillId="2" borderId="1" xfId="1" applyAlignment="1">
      <alignment horizontal="center"/>
    </xf>
    <xf numFmtId="9" fontId="1" fillId="2" borderId="1" xfId="1" applyNumberFormat="1" applyAlignment="1">
      <alignment horizontal="center"/>
    </xf>
    <xf numFmtId="0" fontId="2" fillId="3" borderId="1" xfId="2" applyAlignment="1">
      <alignment horizontal="center"/>
    </xf>
    <xf numFmtId="0" fontId="1" fillId="2" borderId="1" xfId="1"/>
    <xf numFmtId="2" fontId="2" fillId="3" borderId="1" xfId="2" applyNumberFormat="1" applyAlignment="1">
      <alignment horizontal="center"/>
    </xf>
    <xf numFmtId="0" fontId="3" fillId="0" borderId="0" xfId="0" applyFont="1"/>
    <xf numFmtId="0" fontId="1" fillId="2" borderId="12" xfId="1" applyBorder="1" applyAlignment="1">
      <alignment horizontal="center"/>
    </xf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5D88-E41A-4DF9-9243-CB6A734F339D}">
  <dimension ref="A1:A5"/>
  <sheetViews>
    <sheetView tabSelected="1" zoomScale="130" zoomScaleNormal="130" workbookViewId="0">
      <selection activeCell="C7" sqref="C7"/>
    </sheetView>
  </sheetViews>
  <sheetFormatPr defaultRowHeight="14.4" x14ac:dyDescent="0.3"/>
  <sheetData>
    <row r="1" spans="1:1" x14ac:dyDescent="0.3">
      <c r="A1" s="28" t="s">
        <v>38</v>
      </c>
    </row>
    <row r="2" spans="1:1" x14ac:dyDescent="0.3">
      <c r="A2" s="28" t="s">
        <v>49</v>
      </c>
    </row>
    <row r="3" spans="1:1" x14ac:dyDescent="0.3">
      <c r="A3" t="s">
        <v>20</v>
      </c>
    </row>
    <row r="4" spans="1:1" x14ac:dyDescent="0.3">
      <c r="A4" t="s">
        <v>21</v>
      </c>
    </row>
    <row r="5" spans="1:1" x14ac:dyDescent="0.3">
      <c r="A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49DB-1DFA-4563-A334-8C6B6C7BCF64}">
  <dimension ref="A1:C8"/>
  <sheetViews>
    <sheetView zoomScale="145" zoomScaleNormal="145" workbookViewId="0">
      <selection sqref="A1:A1048576"/>
    </sheetView>
  </sheetViews>
  <sheetFormatPr defaultRowHeight="14.4" x14ac:dyDescent="0.3"/>
  <cols>
    <col min="1" max="1" width="13.33203125" bestFit="1" customWidth="1"/>
  </cols>
  <sheetData>
    <row r="1" spans="1:3" x14ac:dyDescent="0.3">
      <c r="A1" s="28" t="s">
        <v>39</v>
      </c>
      <c r="B1" s="28" t="s">
        <v>38</v>
      </c>
      <c r="C1" s="28" t="s">
        <v>28</v>
      </c>
    </row>
    <row r="2" spans="1:3" x14ac:dyDescent="0.3">
      <c r="A2" s="28" t="s">
        <v>49</v>
      </c>
      <c r="B2" s="28" t="s">
        <v>49</v>
      </c>
      <c r="C2" s="28" t="s">
        <v>49</v>
      </c>
    </row>
    <row r="3" spans="1:3" x14ac:dyDescent="0.3">
      <c r="A3" t="s">
        <v>25</v>
      </c>
      <c r="B3" t="s">
        <v>20</v>
      </c>
      <c r="C3" t="s">
        <v>29</v>
      </c>
    </row>
    <row r="4" spans="1:3" x14ac:dyDescent="0.3">
      <c r="A4" t="s">
        <v>26</v>
      </c>
      <c r="B4" t="s">
        <v>20</v>
      </c>
      <c r="C4" t="s">
        <v>30</v>
      </c>
    </row>
    <row r="5" spans="1:3" x14ac:dyDescent="0.3">
      <c r="A5" t="s">
        <v>27</v>
      </c>
      <c r="B5" t="s">
        <v>21</v>
      </c>
      <c r="C5" t="s">
        <v>31</v>
      </c>
    </row>
    <row r="6" spans="1:3" x14ac:dyDescent="0.3">
      <c r="A6" t="s">
        <v>35</v>
      </c>
      <c r="B6" t="s">
        <v>21</v>
      </c>
      <c r="C6" t="s">
        <v>31</v>
      </c>
    </row>
    <row r="7" spans="1:3" x14ac:dyDescent="0.3">
      <c r="A7" t="s">
        <v>36</v>
      </c>
      <c r="B7" t="s">
        <v>21</v>
      </c>
      <c r="C7" t="s">
        <v>31</v>
      </c>
    </row>
    <row r="8" spans="1:3" x14ac:dyDescent="0.3">
      <c r="A8" t="s">
        <v>37</v>
      </c>
      <c r="B8" t="s">
        <v>22</v>
      </c>
      <c r="C8" t="s">
        <v>31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32916-92D0-4FD5-9CDA-AFC833A882DC}">
  <dimension ref="A1:Z8"/>
  <sheetViews>
    <sheetView workbookViewId="0">
      <selection activeCell="C12" sqref="C12"/>
    </sheetView>
  </sheetViews>
  <sheetFormatPr defaultRowHeight="14.4" x14ac:dyDescent="0.3"/>
  <cols>
    <col min="1" max="1" width="9.109375" bestFit="1" customWidth="1"/>
    <col min="2" max="2" width="9.109375" customWidth="1"/>
    <col min="3" max="3" width="15" bestFit="1" customWidth="1"/>
    <col min="4" max="4" width="16.109375" bestFit="1" customWidth="1"/>
    <col min="5" max="5" width="26.5546875" bestFit="1" customWidth="1"/>
    <col min="6" max="6" width="27.6640625" bestFit="1" customWidth="1"/>
    <col min="7" max="7" width="30" bestFit="1" customWidth="1"/>
    <col min="8" max="8" width="20.33203125" bestFit="1" customWidth="1"/>
    <col min="9" max="9" width="22.33203125" bestFit="1" customWidth="1"/>
    <col min="10" max="10" width="17.88671875" bestFit="1" customWidth="1"/>
    <col min="11" max="11" width="24.109375" bestFit="1" customWidth="1"/>
    <col min="12" max="12" width="26.44140625" bestFit="1" customWidth="1"/>
    <col min="13" max="13" width="14.6640625" bestFit="1" customWidth="1"/>
    <col min="14" max="14" width="18" bestFit="1" customWidth="1"/>
    <col min="15" max="15" width="24.5546875" bestFit="1" customWidth="1"/>
    <col min="16" max="16" width="26.6640625" bestFit="1" customWidth="1"/>
    <col min="17" max="17" width="15" bestFit="1" customWidth="1"/>
    <col min="18" max="18" width="13.44140625" bestFit="1" customWidth="1"/>
    <col min="19" max="19" width="23" bestFit="1" customWidth="1"/>
    <col min="20" max="20" width="24.5546875" bestFit="1" customWidth="1"/>
    <col min="21" max="21" width="24.5546875" customWidth="1"/>
    <col min="22" max="22" width="6.44140625" bestFit="1" customWidth="1"/>
    <col min="24" max="24" width="9.88671875" bestFit="1" customWidth="1"/>
    <col min="25" max="25" width="31.6640625" bestFit="1" customWidth="1"/>
    <col min="26" max="26" width="29.88671875" bestFit="1" customWidth="1"/>
  </cols>
  <sheetData>
    <row r="1" spans="1:26" x14ac:dyDescent="0.3">
      <c r="A1" s="28" t="s">
        <v>38</v>
      </c>
      <c r="B1" s="28" t="s">
        <v>40</v>
      </c>
      <c r="C1" t="s">
        <v>0</v>
      </c>
      <c r="D1" t="s">
        <v>41</v>
      </c>
      <c r="E1" t="s">
        <v>43</v>
      </c>
      <c r="F1" t="s">
        <v>46</v>
      </c>
      <c r="G1" t="s">
        <v>47</v>
      </c>
      <c r="H1" t="s">
        <v>48</v>
      </c>
      <c r="I1" t="s">
        <v>4</v>
      </c>
      <c r="J1" t="s">
        <v>5</v>
      </c>
      <c r="K1" t="s">
        <v>7</v>
      </c>
      <c r="L1" t="s">
        <v>6</v>
      </c>
      <c r="M1" t="s">
        <v>8</v>
      </c>
      <c r="N1" t="s">
        <v>10</v>
      </c>
      <c r="O1" t="s">
        <v>9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23</v>
      </c>
      <c r="V1" t="s">
        <v>16</v>
      </c>
      <c r="W1" t="s">
        <v>24</v>
      </c>
      <c r="X1" t="s">
        <v>17</v>
      </c>
      <c r="Y1" t="s">
        <v>18</v>
      </c>
      <c r="Z1" t="s">
        <v>19</v>
      </c>
    </row>
    <row r="2" spans="1:26" ht="15" thickBot="1" x14ac:dyDescent="0.35">
      <c r="A2" t="s">
        <v>49</v>
      </c>
      <c r="B2" t="s">
        <v>49</v>
      </c>
      <c r="C2" t="s">
        <v>49</v>
      </c>
      <c r="D2" t="s">
        <v>42</v>
      </c>
      <c r="E2" t="s">
        <v>44</v>
      </c>
      <c r="F2" t="s">
        <v>44</v>
      </c>
      <c r="G2" t="s">
        <v>44</v>
      </c>
      <c r="H2" t="s">
        <v>45</v>
      </c>
    </row>
    <row r="3" spans="1:26" s="7" customFormat="1" ht="15" thickBot="1" x14ac:dyDescent="0.35">
      <c r="A3" s="1" t="s">
        <v>20</v>
      </c>
      <c r="B3" s="29" t="s">
        <v>32</v>
      </c>
      <c r="C3" s="2" t="s">
        <v>2</v>
      </c>
      <c r="D3" s="3">
        <v>1</v>
      </c>
      <c r="E3" s="2">
        <v>11.1</v>
      </c>
      <c r="F3" s="2">
        <v>9</v>
      </c>
      <c r="G3" s="2">
        <v>6</v>
      </c>
      <c r="H3" s="2">
        <v>0.2</v>
      </c>
      <c r="I3" s="4">
        <f>IF(C3="Pleistoceen",G3,F3)</f>
        <v>9</v>
      </c>
      <c r="J3" s="4">
        <f>IFERROR(MAX(E3-I3,0),"")</f>
        <v>2.0999999999999996</v>
      </c>
      <c r="K3" s="4">
        <f t="shared" ref="K3:K8" si="0">IF(C3="Pleistoceen",0,MAX(F3-G3,0))</f>
        <v>3</v>
      </c>
      <c r="L3" s="5">
        <v>40</v>
      </c>
      <c r="M3" s="4">
        <f>L3+K3</f>
        <v>43</v>
      </c>
      <c r="N3" s="2">
        <v>0.5</v>
      </c>
      <c r="O3" s="2">
        <v>25</v>
      </c>
      <c r="P3" s="2">
        <v>40</v>
      </c>
      <c r="Q3" s="6">
        <f>MAX(((K3*O3)+(L3*P3))/M3,0.1)</f>
        <v>38.953488372093027</v>
      </c>
      <c r="R3" s="2">
        <v>0.5</v>
      </c>
      <c r="S3" s="2">
        <v>10</v>
      </c>
      <c r="T3" s="2">
        <v>150</v>
      </c>
      <c r="U3" s="2">
        <v>0.38</v>
      </c>
      <c r="V3" s="2">
        <v>1000</v>
      </c>
      <c r="W3" s="2">
        <v>381</v>
      </c>
      <c r="X3" s="2">
        <v>0.12</v>
      </c>
      <c r="Y3" s="2">
        <v>16.82</v>
      </c>
      <c r="Z3" s="2">
        <v>0.05</v>
      </c>
    </row>
    <row r="4" spans="1:26" s="14" customFormat="1" ht="15" thickBot="1" x14ac:dyDescent="0.35">
      <c r="A4" s="8" t="s">
        <v>21</v>
      </c>
      <c r="B4" s="29" t="s">
        <v>32</v>
      </c>
      <c r="C4" s="9" t="s">
        <v>2</v>
      </c>
      <c r="D4" s="10">
        <v>0.7</v>
      </c>
      <c r="E4" s="9">
        <v>11.3</v>
      </c>
      <c r="F4" s="9">
        <v>9</v>
      </c>
      <c r="G4" s="9">
        <v>7</v>
      </c>
      <c r="H4" s="9">
        <v>0.2</v>
      </c>
      <c r="I4" s="11">
        <f t="shared" ref="I4:I8" si="1">IF(C4="Pleistoceen",G4,F4)</f>
        <v>9</v>
      </c>
      <c r="J4" s="11">
        <f t="shared" ref="J4:J8" si="2">IFERROR(MAX(E4-I4,0),"")</f>
        <v>2.3000000000000007</v>
      </c>
      <c r="K4" s="11">
        <f t="shared" si="0"/>
        <v>2</v>
      </c>
      <c r="L4" s="12">
        <v>40</v>
      </c>
      <c r="M4" s="11">
        <f t="shared" ref="M4:M8" si="3">L4+K4</f>
        <v>42</v>
      </c>
      <c r="N4" s="9">
        <v>0.5</v>
      </c>
      <c r="O4" s="9">
        <v>25</v>
      </c>
      <c r="P4" s="9">
        <v>40</v>
      </c>
      <c r="Q4" s="13">
        <f t="shared" ref="Q4:Q8" si="4">MAX(((K4*O4)+(L4*P4))/M4,0.1)</f>
        <v>39.285714285714285</v>
      </c>
      <c r="R4" s="9">
        <v>0.5</v>
      </c>
      <c r="S4" s="9">
        <v>10</v>
      </c>
      <c r="T4" s="9">
        <v>150</v>
      </c>
      <c r="U4" s="9">
        <v>0.38</v>
      </c>
      <c r="V4" s="9">
        <v>1000</v>
      </c>
      <c r="W4" s="9">
        <v>381</v>
      </c>
      <c r="X4" s="9">
        <v>0.12</v>
      </c>
      <c r="Y4" s="9">
        <v>16.82</v>
      </c>
      <c r="Z4" s="9">
        <v>0.05</v>
      </c>
    </row>
    <row r="5" spans="1:26" s="21" customFormat="1" ht="15" thickBot="1" x14ac:dyDescent="0.35">
      <c r="A5" s="15" t="s">
        <v>21</v>
      </c>
      <c r="B5" s="29" t="s">
        <v>34</v>
      </c>
      <c r="C5" s="16" t="s">
        <v>1</v>
      </c>
      <c r="D5" s="17">
        <v>0.3</v>
      </c>
      <c r="E5" s="16">
        <v>11.3</v>
      </c>
      <c r="F5" s="16">
        <v>9</v>
      </c>
      <c r="G5" s="16">
        <v>7</v>
      </c>
      <c r="H5" s="16">
        <v>0.2</v>
      </c>
      <c r="I5" s="18">
        <f t="shared" si="1"/>
        <v>7</v>
      </c>
      <c r="J5" s="18">
        <f t="shared" si="2"/>
        <v>4.3000000000000007</v>
      </c>
      <c r="K5" s="18">
        <f t="shared" si="0"/>
        <v>0</v>
      </c>
      <c r="L5" s="19">
        <v>40</v>
      </c>
      <c r="M5" s="18">
        <f t="shared" si="3"/>
        <v>40</v>
      </c>
      <c r="N5" s="16">
        <v>0.5</v>
      </c>
      <c r="O5" s="16">
        <v>25</v>
      </c>
      <c r="P5" s="16">
        <v>40</v>
      </c>
      <c r="Q5" s="20">
        <f t="shared" si="4"/>
        <v>40</v>
      </c>
      <c r="R5" s="16">
        <v>0.5</v>
      </c>
      <c r="S5" s="16">
        <v>10</v>
      </c>
      <c r="T5" s="16">
        <v>400</v>
      </c>
      <c r="U5" s="16">
        <v>0.38</v>
      </c>
      <c r="V5" s="16">
        <v>1000</v>
      </c>
      <c r="W5" s="16">
        <v>381</v>
      </c>
      <c r="X5" s="16">
        <v>0.12</v>
      </c>
      <c r="Y5" s="16">
        <v>16.82</v>
      </c>
      <c r="Z5" s="16">
        <v>0.05</v>
      </c>
    </row>
    <row r="6" spans="1:26" s="14" customFormat="1" ht="15" thickBot="1" x14ac:dyDescent="0.35">
      <c r="A6" s="8" t="s">
        <v>22</v>
      </c>
      <c r="B6" s="29" t="s">
        <v>32</v>
      </c>
      <c r="C6" s="9" t="s">
        <v>2</v>
      </c>
      <c r="D6" s="10">
        <v>0.7</v>
      </c>
      <c r="E6" s="9">
        <v>11.5</v>
      </c>
      <c r="F6" s="9">
        <v>9</v>
      </c>
      <c r="G6" s="9">
        <v>8</v>
      </c>
      <c r="H6" s="9">
        <v>0.2</v>
      </c>
      <c r="I6" s="11">
        <f t="shared" si="1"/>
        <v>9</v>
      </c>
      <c r="J6" s="11">
        <f t="shared" si="2"/>
        <v>2.5</v>
      </c>
      <c r="K6" s="11">
        <f t="shared" si="0"/>
        <v>1</v>
      </c>
      <c r="L6" s="12">
        <v>40</v>
      </c>
      <c r="M6" s="11">
        <f t="shared" si="3"/>
        <v>41</v>
      </c>
      <c r="N6" s="9">
        <v>0.5</v>
      </c>
      <c r="O6" s="9">
        <v>25</v>
      </c>
      <c r="P6" s="9">
        <v>40</v>
      </c>
      <c r="Q6" s="13">
        <f t="shared" si="4"/>
        <v>39.634146341463413</v>
      </c>
      <c r="R6" s="9">
        <v>0.5</v>
      </c>
      <c r="S6" s="9">
        <v>10</v>
      </c>
      <c r="T6" s="9">
        <v>150</v>
      </c>
      <c r="U6" s="9">
        <v>0.38</v>
      </c>
      <c r="V6" s="9">
        <v>1000</v>
      </c>
      <c r="W6" s="9">
        <v>381</v>
      </c>
      <c r="X6" s="9">
        <v>0.12</v>
      </c>
      <c r="Y6" s="9">
        <v>16.82</v>
      </c>
      <c r="Z6" s="9">
        <v>0.05</v>
      </c>
    </row>
    <row r="7" spans="1:26" ht="15" thickBot="1" x14ac:dyDescent="0.35">
      <c r="A7" s="22" t="s">
        <v>22</v>
      </c>
      <c r="B7" s="29" t="s">
        <v>34</v>
      </c>
      <c r="C7" s="23" t="s">
        <v>1</v>
      </c>
      <c r="D7" s="24">
        <v>0.2</v>
      </c>
      <c r="E7" s="23">
        <v>11.5</v>
      </c>
      <c r="F7" s="23">
        <v>9</v>
      </c>
      <c r="G7" s="23">
        <v>8</v>
      </c>
      <c r="H7" s="23">
        <v>0.2</v>
      </c>
      <c r="I7" s="25">
        <f t="shared" si="1"/>
        <v>8</v>
      </c>
      <c r="J7" s="25">
        <f t="shared" si="2"/>
        <v>3.5</v>
      </c>
      <c r="K7" s="25">
        <f t="shared" si="0"/>
        <v>0</v>
      </c>
      <c r="L7" s="26">
        <v>40</v>
      </c>
      <c r="M7" s="25">
        <f t="shared" si="3"/>
        <v>40</v>
      </c>
      <c r="N7" s="23">
        <v>0.5</v>
      </c>
      <c r="O7" s="23">
        <v>25</v>
      </c>
      <c r="P7" s="23">
        <v>40</v>
      </c>
      <c r="Q7" s="27">
        <f t="shared" si="4"/>
        <v>40</v>
      </c>
      <c r="R7" s="23">
        <v>0.5</v>
      </c>
      <c r="S7" s="23">
        <v>10</v>
      </c>
      <c r="T7" s="23">
        <v>400</v>
      </c>
      <c r="U7" s="23">
        <v>0.38</v>
      </c>
      <c r="V7" s="23">
        <v>1000</v>
      </c>
      <c r="W7" s="23">
        <v>381</v>
      </c>
      <c r="X7" s="23">
        <v>0.12</v>
      </c>
      <c r="Y7" s="23">
        <v>16.82</v>
      </c>
      <c r="Z7" s="23">
        <v>0.05</v>
      </c>
    </row>
    <row r="8" spans="1:26" s="21" customFormat="1" ht="15" thickBot="1" x14ac:dyDescent="0.35">
      <c r="A8" s="15" t="s">
        <v>22</v>
      </c>
      <c r="B8" s="29" t="s">
        <v>33</v>
      </c>
      <c r="C8" s="16" t="s">
        <v>3</v>
      </c>
      <c r="D8" s="17">
        <v>0.1</v>
      </c>
      <c r="E8" s="16">
        <v>11.5</v>
      </c>
      <c r="F8" s="16">
        <v>9</v>
      </c>
      <c r="G8" s="16">
        <v>8</v>
      </c>
      <c r="H8" s="16">
        <v>0.2</v>
      </c>
      <c r="I8" s="18">
        <f t="shared" si="1"/>
        <v>9</v>
      </c>
      <c r="J8" s="18">
        <f t="shared" si="2"/>
        <v>2.5</v>
      </c>
      <c r="K8" s="18">
        <f t="shared" si="0"/>
        <v>1</v>
      </c>
      <c r="L8" s="19">
        <v>40</v>
      </c>
      <c r="M8" s="18">
        <f t="shared" si="3"/>
        <v>41</v>
      </c>
      <c r="N8" s="16">
        <v>0.5</v>
      </c>
      <c r="O8" s="16">
        <v>25</v>
      </c>
      <c r="P8" s="16">
        <v>40</v>
      </c>
      <c r="Q8" s="20">
        <f t="shared" si="4"/>
        <v>39.634146341463413</v>
      </c>
      <c r="R8" s="16">
        <v>0.5</v>
      </c>
      <c r="S8" s="16">
        <v>10</v>
      </c>
      <c r="T8" s="16">
        <v>150</v>
      </c>
      <c r="U8" s="16">
        <v>0.38</v>
      </c>
      <c r="V8" s="16">
        <v>1000</v>
      </c>
      <c r="W8" s="16">
        <v>381</v>
      </c>
      <c r="X8" s="16">
        <v>0.12</v>
      </c>
      <c r="Y8" s="16">
        <v>16.82</v>
      </c>
      <c r="Z8" s="16">
        <v>0.05</v>
      </c>
    </row>
  </sheetData>
  <dataValidations disablePrompts="1" count="1">
    <dataValidation type="list" allowBlank="1" showInputMessage="1" showErrorMessage="1" sqref="C3:C8" xr:uid="{9C263491-3B86-41B6-BABB-6C7550678BE0}">
      <formula1>#REF!</formula1>
    </dataValidation>
  </dataValidations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Vakken</vt:lpstr>
      <vt:lpstr>Uittredepunten</vt:lpstr>
      <vt:lpstr>Ondergrondscenarios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Methorst, Ard-Jan</dc:creator>
  <cp:lastModifiedBy>Martijn Kriebel</cp:lastModifiedBy>
  <dcterms:created xsi:type="dcterms:W3CDTF">2025-02-05T11:14:02Z</dcterms:created>
  <dcterms:modified xsi:type="dcterms:W3CDTF">2025-04-22T11:24:46Z</dcterms:modified>
</cp:coreProperties>
</file>