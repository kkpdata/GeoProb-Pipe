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scop\Documents\GeoProb-Pipe\workspaces\ArdJan_testset\input\"/>
    </mc:Choice>
  </mc:AlternateContent>
  <xr:revisionPtr revIDLastSave="0" documentId="13_ncr:1_{B584EC1D-C2B1-47AA-85ED-118948166F79}" xr6:coauthVersionLast="47" xr6:coauthVersionMax="47" xr10:uidLastSave="{00000000-0000-0000-0000-000000000000}"/>
  <bookViews>
    <workbookView xWindow="-108" yWindow="-108" windowWidth="23256" windowHeight="12456" activeTab="2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3" l="1"/>
  <c r="M5" i="3"/>
  <c r="M6" i="3"/>
  <c r="M7" i="3"/>
  <c r="M2" i="3"/>
  <c r="M3" i="3"/>
  <c r="P1" i="3"/>
  <c r="I1" i="1"/>
  <c r="N1" i="3"/>
  <c r="L1" i="3"/>
  <c r="J1" i="3"/>
  <c r="H1" i="3"/>
  <c r="F1" i="3"/>
</calcChain>
</file>

<file path=xl/sharedStrings.xml><?xml version="1.0" encoding="utf-8"?>
<sst xmlns="http://schemas.openxmlformats.org/spreadsheetml/2006/main" count="528" uniqueCount="210">
  <si>
    <t>M_van</t>
  </si>
  <si>
    <t>M_tot</t>
  </si>
  <si>
    <t>mv_achterland_vak</t>
  </si>
  <si>
    <t>L_achterland</t>
  </si>
  <si>
    <t>c_voorland_mean</t>
  </si>
  <si>
    <t>c_achterland_mean</t>
  </si>
  <si>
    <t>L_intrede</t>
  </si>
  <si>
    <t>L_but</t>
  </si>
  <si>
    <t>L_bit</t>
  </si>
  <si>
    <t>buitenwaterstand</t>
  </si>
  <si>
    <t>mv_exit</t>
  </si>
  <si>
    <t>polderpeil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</si>
  <si>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</si>
  <si>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</si>
  <si>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</si>
  <si>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</si>
  <si>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</si>
  <si>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</si>
  <si>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</si>
  <si>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</si>
  <si>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</si>
  <si>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</si>
  <si>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</si>
  <si>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</si>
  <si>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</si>
  <si>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</si>
  <si>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</si>
  <si>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</si>
  <si>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</si>
  <si>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</si>
  <si>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</si>
  <si>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</si>
  <si>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</si>
  <si>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</si>
  <si>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</si>
  <si>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</si>
  <si>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</si>
  <si>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</si>
  <si>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</si>
  <si>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</si>
  <si>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</si>
  <si>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</si>
  <si>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</si>
  <si>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</si>
  <si>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</si>
  <si>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</si>
  <si>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</si>
  <si>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</si>
  <si>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</si>
  <si>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</si>
  <si>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</si>
  <si>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</si>
  <si>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</si>
  <si>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</si>
  <si>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</si>
  <si>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</si>
  <si>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</si>
  <si>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</si>
  <si>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</si>
  <si>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</si>
  <si>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</si>
  <si>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</si>
  <si>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</si>
  <si>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</si>
  <si>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</si>
  <si>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</si>
  <si>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</si>
  <si>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</si>
  <si>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</si>
  <si>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</si>
  <si>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</si>
  <si>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</si>
  <si>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</si>
  <si>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</si>
  <si>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</si>
  <si>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</si>
  <si>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</si>
  <si>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</si>
  <si>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</si>
  <si>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</si>
  <si>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</si>
  <si>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</si>
  <si>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</si>
  <si>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</si>
  <si>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</si>
  <si>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</si>
  <si>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</si>
  <si>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</si>
  <si>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</si>
  <si>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</si>
  <si>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</si>
  <si>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</si>
  <si>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</si>
  <si>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</si>
  <si>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</si>
  <si>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</si>
  <si>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</si>
  <si>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</si>
  <si>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</si>
  <si>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</si>
  <si>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</si>
  <si>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</si>
  <si>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</si>
  <si>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</si>
  <si>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</si>
  <si>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</si>
  <si>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</si>
  <si>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</si>
  <si>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</si>
  <si>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</si>
  <si>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</si>
  <si>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</si>
  <si>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</si>
  <si>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</si>
  <si>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</si>
  <si>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</si>
  <si>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</si>
  <si>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</si>
  <si>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</si>
  <si>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</si>
  <si>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</si>
  <si>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</si>
  <si>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</si>
  <si>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</si>
  <si>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</si>
  <si>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</si>
  <si>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</si>
  <si>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</si>
  <si>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</si>
  <si>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</si>
  <si>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</si>
  <si>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</si>
  <si>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</si>
  <si>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</si>
  <si>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</si>
  <si>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</si>
  <si>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</si>
  <si>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</si>
  <si>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</si>
  <si>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</si>
  <si>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</si>
  <si>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</si>
  <si>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</si>
  <si>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</si>
  <si>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</si>
  <si>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</si>
  <si>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</si>
  <si>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</si>
  <si>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</si>
  <si>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</si>
  <si>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</si>
  <si>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</si>
  <si>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</si>
  <si>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</si>
  <si>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</si>
  <si>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</si>
  <si>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</si>
  <si>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</si>
  <si>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</si>
  <si>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</si>
  <si>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</si>
  <si>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</si>
  <si>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</si>
  <si>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</si>
  <si>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</si>
  <si>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</si>
  <si>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</si>
  <si>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</si>
  <si>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</si>
  <si>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</si>
  <si>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</si>
  <si>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</si>
  <si>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</si>
  <si>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</si>
  <si>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</si>
  <si>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</si>
  <si>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</si>
  <si>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</si>
  <si>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</si>
  <si>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</si>
  <si>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</si>
  <si>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</si>
  <si>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</si>
  <si>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</si>
  <si>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</si>
  <si>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</si>
  <si>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</si>
  <si>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</si>
  <si>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</si>
  <si>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</si>
  <si>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</si>
  <si>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</si>
  <si>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</si>
  <si>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</si>
  <si>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</si>
  <si>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</si>
  <si>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</si>
  <si>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</si>
  <si>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parameter_mean_lower_bound</t>
  </si>
  <si>
    <t>parameter_mean_upper_bound</t>
  </si>
  <si>
    <t>parameter_member_of</t>
  </si>
  <si>
    <t>parameter_name</t>
  </si>
  <si>
    <t>parameter_default_value_spreiding</t>
  </si>
  <si>
    <t>m^2/s</t>
  </si>
  <si>
    <t>o.b.v. overschrijdingsfrequentielijn berekend met Pydra in Python</t>
  </si>
  <si>
    <t>Buitenwaterstand, o.b.v. overschrijdingsfrequentielijn berekend met Pydra in Python</t>
  </si>
  <si>
    <t>Vak1</t>
  </si>
  <si>
    <t>Vak2</t>
  </si>
  <si>
    <t>Vak3</t>
  </si>
  <si>
    <t>198808_433604_wbn_16.44_dec_0.316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</si>
</sst>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8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  <xf numFmtId="0" fontId="0" fillId="0" borderId="1" xfId="0" applyFont="1" applyBorder="1"/>
    <xf numFmtId="0" fontId="0" fillId="4" borderId="1" xfId="0" applyFont="1" applyFill="1" applyBorder="1"/>
  </cellXfs>
  <cellStyles count="2">
    <cellStyle name="Normal 2" xfId="1" xr:uid="{11010186-4FF4-48E2-AD4E-93BC10A29908}"/>
    <cellStyle name="Standaard" xfId="0" builtinId="0"/>
  </cellStyles>
  <dxfs count="10">
    <dxf>
      <numFmt numFmtId="15" formatCode="0.00E+00"/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I4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M13" headerRowCount="0" totalsRowShown="0">
  <tableColumns count="13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7" headerRowCount="0" totalsRowShown="0">
  <tableColumns count="14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0">
      <calculatedColumnFormula>300*10^(-6)</calculatedColumnFormula>
    </tableColumn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8"/>
    <tableColumn id="10" xr3:uid="{B851468F-D94B-4F13-9CF8-13DADE13A2A8}" name="Kolom10" headerRowDxfId="7"/>
    <tableColumn id="11" xr3:uid="{41B8BB8E-854F-4E90-B76F-4066FB0CA9A2}" name="Kolom11" headerRowDxfId="6" dataDxfId="5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I4"/>
  <sheetViews>
    <sheetView zoomScale="130" zoomScaleNormal="130" workbookViewId="0">
      <selection activeCell="E6" sqref="E6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16.59765625" customWidth="1"/>
    <col min="6" max="6" width="17.8984375" bestFit="1" customWidth="1"/>
    <col min="7" max="7" width="12.09765625" bestFit="1" customWidth="1"/>
    <col min="8" max="8" width="16.296875" bestFit="1" customWidth="1"/>
    <col min="9" max="9" width="17.3984375" customWidth="1"/>
  </cols>
  <sheetData>
    <row r="1" spans="1:9" s="5" customFormat="1" x14ac:dyDescent="0.2">
      <c r="A1" s="4" t="s">
        <v>128</v>
      </c>
      <c r="B1" s="4" t="s">
        <v>129</v>
      </c>
      <c r="C1" s="4" t="s">
        <v>0</v>
      </c>
      <c r="D1" s="4" t="s">
        <v>1</v>
      </c>
      <c r="E1" s="4" t="s">
        <v>130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LEFT(H1,LEN(H1)-5)&amp;VLOOKUP(LEFT(H1,LEN(H1)-5),Overzicht_parameters!$A$2:$F$69,6,(FALSE))</f>
        <v>c_voorland_vc</v>
      </c>
    </row>
    <row r="2" spans="1:9" x14ac:dyDescent="0.2">
      <c r="A2">
        <v>1</v>
      </c>
      <c r="B2" t="s">
        <v>206</v>
      </c>
      <c r="F2">
        <v>11.1</v>
      </c>
      <c r="G2">
        <v>1000</v>
      </c>
      <c r="H2">
        <v>1</v>
      </c>
      <c r="I2">
        <v>0.38</v>
      </c>
    </row>
    <row r="3" spans="1:9" x14ac:dyDescent="0.2">
      <c r="A3">
        <v>2</v>
      </c>
      <c r="B3" t="s">
        <v>207</v>
      </c>
      <c r="F3">
        <v>11.3</v>
      </c>
      <c r="G3">
        <v>1000</v>
      </c>
      <c r="H3">
        <v>1</v>
      </c>
      <c r="I3">
        <v>0.38</v>
      </c>
    </row>
    <row r="4" spans="1:9" x14ac:dyDescent="0.2">
      <c r="A4">
        <v>3</v>
      </c>
      <c r="B4" t="s">
        <v>208</v>
      </c>
      <c r="F4">
        <v>11.5</v>
      </c>
      <c r="G4">
        <v>1000</v>
      </c>
      <c r="H4">
        <v>1</v>
      </c>
      <c r="I4">
        <v>0.38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M13"/>
  <sheetViews>
    <sheetView zoomScale="115" zoomScaleNormal="115" workbookViewId="0">
      <selection activeCell="D23" sqref="D23"/>
    </sheetView>
  </sheetViews>
  <sheetFormatPr defaultRowHeight="11.4" x14ac:dyDescent="0.2"/>
  <cols>
    <col min="1" max="1" width="14" bestFit="1" customWidth="1"/>
    <col min="2" max="2" width="7.3984375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33.09765625" bestFit="1" customWidth="1"/>
    <col min="12" max="12" width="11.8984375" bestFit="1" customWidth="1"/>
    <col min="13" max="13" width="8.59765625" bestFit="1" customWidth="1"/>
  </cols>
  <sheetData>
    <row r="1" spans="1:13" s="5" customFormat="1" x14ac:dyDescent="0.2">
      <c r="A1" s="4" t="s">
        <v>134</v>
      </c>
      <c r="B1" s="4" t="s">
        <v>128</v>
      </c>
      <c r="C1" s="4" t="s">
        <v>135</v>
      </c>
      <c r="D1" s="4" t="s">
        <v>136</v>
      </c>
      <c r="E1" s="4" t="s">
        <v>131</v>
      </c>
      <c r="F1" s="4" t="s">
        <v>132</v>
      </c>
      <c r="G1" s="4" t="s">
        <v>129</v>
      </c>
      <c r="H1" s="4" t="s">
        <v>6</v>
      </c>
      <c r="I1" s="4" t="s">
        <v>7</v>
      </c>
      <c r="J1" s="4" t="s">
        <v>8</v>
      </c>
      <c r="K1" s="4" t="s">
        <v>133</v>
      </c>
      <c r="L1" s="4" t="s">
        <v>10</v>
      </c>
      <c r="M1" s="4" t="s">
        <v>11</v>
      </c>
    </row>
    <row r="2" spans="1:13" x14ac:dyDescent="0.2">
      <c r="A2">
        <v>1</v>
      </c>
      <c r="B2">
        <v>1</v>
      </c>
      <c r="C2">
        <v>198056.17410000041</v>
      </c>
      <c r="D2">
        <v>433355.18490000069</v>
      </c>
      <c r="G2" t="s">
        <v>206</v>
      </c>
      <c r="H2">
        <v>139.59369857471691</v>
      </c>
      <c r="I2">
        <v>24.951665607870929</v>
      </c>
      <c r="J2">
        <v>1.942045216271306</v>
      </c>
      <c r="K2" t="s">
        <v>209</v>
      </c>
      <c r="L2">
        <v>13.6</v>
      </c>
      <c r="M2">
        <v>11.1</v>
      </c>
    </row>
    <row r="3" spans="1:13" x14ac:dyDescent="0.2">
      <c r="A3">
        <v>2</v>
      </c>
      <c r="B3">
        <v>1</v>
      </c>
      <c r="C3">
        <v>198051.85370000079</v>
      </c>
      <c r="D3">
        <v>433385.64290000132</v>
      </c>
      <c r="G3" t="s">
        <v>206</v>
      </c>
      <c r="H3">
        <v>170.31137473541429</v>
      </c>
      <c r="I3">
        <v>55.697064521783552</v>
      </c>
      <c r="J3">
        <v>32.679256491867783</v>
      </c>
      <c r="K3" t="s">
        <v>209</v>
      </c>
      <c r="L3">
        <v>11.1</v>
      </c>
      <c r="M3">
        <v>11.1</v>
      </c>
    </row>
    <row r="4" spans="1:13" x14ac:dyDescent="0.2">
      <c r="A4">
        <v>3</v>
      </c>
      <c r="B4">
        <v>1</v>
      </c>
      <c r="C4">
        <v>198056.2751999982</v>
      </c>
      <c r="D4">
        <v>433427.96310000122</v>
      </c>
      <c r="G4" t="s">
        <v>206</v>
      </c>
      <c r="H4">
        <v>212.08989933025359</v>
      </c>
      <c r="I4">
        <v>97.301420933967307</v>
      </c>
      <c r="J4">
        <v>74.346247111030763</v>
      </c>
      <c r="K4" t="s">
        <v>209</v>
      </c>
      <c r="L4">
        <v>11</v>
      </c>
      <c r="M4">
        <v>11.1</v>
      </c>
    </row>
    <row r="5" spans="1:13" x14ac:dyDescent="0.2">
      <c r="A5">
        <v>4</v>
      </c>
      <c r="B5">
        <v>1</v>
      </c>
      <c r="C5">
        <v>198072.6979999989</v>
      </c>
      <c r="D5">
        <v>433462.07200000063</v>
      </c>
      <c r="G5" t="s">
        <v>206</v>
      </c>
      <c r="H5">
        <v>244.64896168869711</v>
      </c>
      <c r="I5">
        <v>129.6299920904614</v>
      </c>
      <c r="J5">
        <v>106.64435061464521</v>
      </c>
      <c r="K5" t="s">
        <v>209</v>
      </c>
      <c r="L5">
        <v>10.199999999999999</v>
      </c>
      <c r="M5">
        <v>11.1</v>
      </c>
    </row>
    <row r="6" spans="1:13" x14ac:dyDescent="0.2">
      <c r="A6">
        <v>5</v>
      </c>
      <c r="B6">
        <v>2</v>
      </c>
      <c r="C6">
        <v>198146.9290000014</v>
      </c>
      <c r="D6">
        <v>433363.67419999838</v>
      </c>
      <c r="G6" t="s">
        <v>207</v>
      </c>
      <c r="H6">
        <v>136.5519355448115</v>
      </c>
      <c r="I6">
        <v>24.75588685273247</v>
      </c>
      <c r="J6">
        <v>1.9288918471514349</v>
      </c>
      <c r="K6" t="s">
        <v>209</v>
      </c>
      <c r="L6">
        <v>13.7</v>
      </c>
      <c r="M6">
        <v>11.3</v>
      </c>
    </row>
    <row r="7" spans="1:13" x14ac:dyDescent="0.2">
      <c r="A7">
        <v>6</v>
      </c>
      <c r="B7">
        <v>2</v>
      </c>
      <c r="C7">
        <v>198144.07400000101</v>
      </c>
      <c r="D7">
        <v>433394.80169999972</v>
      </c>
      <c r="G7" t="s">
        <v>207</v>
      </c>
      <c r="H7">
        <v>167.80316057323239</v>
      </c>
      <c r="I7">
        <v>55.929221428262231</v>
      </c>
      <c r="J7">
        <v>33.050192267226237</v>
      </c>
      <c r="K7" t="s">
        <v>209</v>
      </c>
      <c r="L7">
        <v>11.1</v>
      </c>
      <c r="M7">
        <v>11.3</v>
      </c>
    </row>
    <row r="8" spans="1:13" x14ac:dyDescent="0.2">
      <c r="A8">
        <v>7</v>
      </c>
      <c r="B8">
        <v>2</v>
      </c>
      <c r="C8">
        <v>198142.49480000141</v>
      </c>
      <c r="D8">
        <v>433438.38529999933</v>
      </c>
      <c r="G8" t="s">
        <v>207</v>
      </c>
      <c r="H8">
        <v>211.31998614243369</v>
      </c>
      <c r="I8">
        <v>99.179435118932162</v>
      </c>
      <c r="J8">
        <v>75.840484799998976</v>
      </c>
      <c r="K8" t="s">
        <v>209</v>
      </c>
      <c r="L8">
        <v>11</v>
      </c>
      <c r="M8">
        <v>11.3</v>
      </c>
    </row>
    <row r="9" spans="1:13" x14ac:dyDescent="0.2">
      <c r="A9">
        <v>8</v>
      </c>
      <c r="B9">
        <v>2</v>
      </c>
      <c r="C9">
        <v>198137.7575000003</v>
      </c>
      <c r="D9">
        <v>433473.44159999862</v>
      </c>
      <c r="G9" t="s">
        <v>207</v>
      </c>
      <c r="H9">
        <v>246.67167983553759</v>
      </c>
      <c r="I9">
        <v>134.53756309031371</v>
      </c>
      <c r="J9">
        <v>111.0513600004068</v>
      </c>
      <c r="K9" t="s">
        <v>209</v>
      </c>
      <c r="L9">
        <v>10.1</v>
      </c>
      <c r="M9">
        <v>11.3</v>
      </c>
    </row>
    <row r="10" spans="1:13" x14ac:dyDescent="0.2">
      <c r="A10">
        <v>9</v>
      </c>
      <c r="B10">
        <v>3</v>
      </c>
      <c r="C10">
        <v>198242.2947999984</v>
      </c>
      <c r="D10">
        <v>433389.4327000007</v>
      </c>
      <c r="G10" t="s">
        <v>208</v>
      </c>
      <c r="H10">
        <v>159.08002000929341</v>
      </c>
      <c r="I10">
        <v>27.192944410003779</v>
      </c>
      <c r="J10">
        <v>1.922083072943487</v>
      </c>
      <c r="K10" t="s">
        <v>209</v>
      </c>
      <c r="L10">
        <v>13.8</v>
      </c>
      <c r="M10">
        <v>11.5</v>
      </c>
    </row>
    <row r="11" spans="1:13" x14ac:dyDescent="0.2">
      <c r="A11">
        <v>10</v>
      </c>
      <c r="B11">
        <v>3</v>
      </c>
      <c r="C11">
        <v>198234.71510000149</v>
      </c>
      <c r="D11">
        <v>433418.48840000108</v>
      </c>
      <c r="G11" t="s">
        <v>208</v>
      </c>
      <c r="H11">
        <v>189.01596090836449</v>
      </c>
      <c r="I11">
        <v>57.146821589358609</v>
      </c>
      <c r="J11">
        <v>31.867327981365111</v>
      </c>
      <c r="K11" t="s">
        <v>209</v>
      </c>
      <c r="L11">
        <v>11.1</v>
      </c>
      <c r="M11">
        <v>11.5</v>
      </c>
    </row>
    <row r="12" spans="1:13" x14ac:dyDescent="0.2">
      <c r="A12">
        <v>11</v>
      </c>
      <c r="B12">
        <v>3</v>
      </c>
      <c r="C12">
        <v>198241.34739999851</v>
      </c>
      <c r="D12">
        <v>433473.44159999862</v>
      </c>
      <c r="G12" t="s">
        <v>208</v>
      </c>
      <c r="H12">
        <v>241.9456632403938</v>
      </c>
      <c r="I12">
        <v>106.6404205859731</v>
      </c>
      <c r="J12">
        <v>80.848169764835461</v>
      </c>
      <c r="K12" t="s">
        <v>209</v>
      </c>
      <c r="L12">
        <v>10.1</v>
      </c>
      <c r="M12">
        <v>11.5</v>
      </c>
    </row>
    <row r="13" spans="1:13" x14ac:dyDescent="0.2">
      <c r="A13">
        <v>12</v>
      </c>
      <c r="B13">
        <v>3</v>
      </c>
      <c r="C13">
        <v>198221.76639999819</v>
      </c>
      <c r="D13">
        <v>433515.4459999986</v>
      </c>
      <c r="G13" t="s">
        <v>208</v>
      </c>
      <c r="H13">
        <v>286.73946547968097</v>
      </c>
      <c r="I13">
        <v>152.83306637307061</v>
      </c>
      <c r="J13">
        <v>127.0819612979403</v>
      </c>
      <c r="K13" t="s">
        <v>209</v>
      </c>
      <c r="L13">
        <v>10.1</v>
      </c>
      <c r="M13">
        <v>11.5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P16"/>
  <sheetViews>
    <sheetView tabSelected="1" topLeftCell="E1" workbookViewId="0">
      <selection activeCell="N20" sqref="N20"/>
    </sheetView>
  </sheetViews>
  <sheetFormatPr defaultRowHeight="11.4" x14ac:dyDescent="0.2"/>
  <cols>
    <col min="1" max="1" width="19" bestFit="1" customWidth="1"/>
    <col min="2" max="2" width="8.19921875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  <col min="15" max="15" width="12.69921875" customWidth="1"/>
    <col min="16" max="16" width="16.59765625" customWidth="1"/>
  </cols>
  <sheetData>
    <row r="1" spans="1:16" s="5" customFormat="1" x14ac:dyDescent="0.2">
      <c r="A1" s="4" t="s">
        <v>137</v>
      </c>
      <c r="B1" s="4" t="s">
        <v>128</v>
      </c>
      <c r="C1" s="4" t="s">
        <v>138</v>
      </c>
      <c r="D1" s="4" t="s">
        <v>139</v>
      </c>
      <c r="E1" s="4" t="s">
        <v>12</v>
      </c>
      <c r="F1" s="4" t="str">
        <f>LEFT(E1,LEN(E1)-5)&amp;VLOOKUP(LEFT(E1,LEN(E1)-5),Overzicht_parameters!$A$2:$F$69,6,(FALSE))</f>
        <v>top_zand_stdev</v>
      </c>
      <c r="G1" s="4" t="s">
        <v>13</v>
      </c>
      <c r="H1" s="4" t="str">
        <f>LEFT(G1,LEN(G1)-5)&amp;VLOOKUP(LEFT(G1,LEN(G1)-5),Overzicht_parameters!$A$2:$F$69,6,(FALSE))</f>
        <v>gamma_sat_deklaag_stdev</v>
      </c>
      <c r="I1" s="4" t="s">
        <v>14</v>
      </c>
      <c r="J1" s="4" t="str">
        <f>LEFT(I1,LEN(I1)-5)&amp;VLOOKUP(LEFT(I1,LEN(I1)-5),Overzicht_parameters!$A$2:$F$69,6,(FALSE))</f>
        <v>D_wvp_stdev</v>
      </c>
      <c r="K1" s="4" t="s">
        <v>15</v>
      </c>
      <c r="L1" s="4" t="str">
        <f>LEFT(K1,LEN(K1)-5)&amp;VLOOKUP(LEFT(K1,LEN(K1)-5),Overzicht_parameters!$A$2:$F$69,6,(FALSE))</f>
        <v>kD_wvp_vc</v>
      </c>
      <c r="M1" s="4" t="s">
        <v>16</v>
      </c>
      <c r="N1" s="4" t="str">
        <f>LEFT(M1,LEN(M1)-5)&amp;VLOOKUP(LEFT(M1,LEN(M1)-5),Overzicht_parameters!$A$2:$F$69,6,(FALSE))</f>
        <v>d70_vc</v>
      </c>
      <c r="O1" s="4" t="s">
        <v>5</v>
      </c>
      <c r="P1" s="4" t="str">
        <f>LEFT(O1,LEN(O1)-5)&amp;VLOOKUP(LEFT(O1,LEN(O1)-5),Overzicht_parameters!$A$2:$F$69,6,(FALSE))</f>
        <v>c_achterland_vc</v>
      </c>
    </row>
    <row r="2" spans="1:16" x14ac:dyDescent="0.2">
      <c r="A2">
        <v>1</v>
      </c>
      <c r="B2">
        <v>1</v>
      </c>
      <c r="C2" t="s">
        <v>18</v>
      </c>
      <c r="D2">
        <v>1</v>
      </c>
      <c r="E2">
        <v>9</v>
      </c>
      <c r="F2">
        <v>0.2</v>
      </c>
      <c r="G2">
        <v>16.82</v>
      </c>
      <c r="H2">
        <v>0.05</v>
      </c>
      <c r="I2">
        <v>43</v>
      </c>
      <c r="J2">
        <v>0.5</v>
      </c>
      <c r="K2">
        <v>2075</v>
      </c>
      <c r="L2">
        <v>0.50013518994433881</v>
      </c>
      <c r="M2" s="1">
        <f>300*10^(-6)</f>
        <v>2.9999999999999997E-4</v>
      </c>
      <c r="N2">
        <v>0.12</v>
      </c>
      <c r="O2" s="10">
        <v>50</v>
      </c>
      <c r="P2" s="10">
        <v>0.38</v>
      </c>
    </row>
    <row r="3" spans="1:16" x14ac:dyDescent="0.2">
      <c r="A3">
        <v>2</v>
      </c>
      <c r="B3">
        <v>2</v>
      </c>
      <c r="C3" t="s">
        <v>18</v>
      </c>
      <c r="D3">
        <v>0.7</v>
      </c>
      <c r="E3">
        <v>9</v>
      </c>
      <c r="F3">
        <v>0.2</v>
      </c>
      <c r="G3">
        <v>16.82</v>
      </c>
      <c r="H3">
        <v>0.05</v>
      </c>
      <c r="I3">
        <v>42</v>
      </c>
      <c r="J3">
        <v>0.5</v>
      </c>
      <c r="K3">
        <v>1650</v>
      </c>
      <c r="L3">
        <v>0.50014170327619056</v>
      </c>
      <c r="M3" s="1">
        <f>381*10^(-6)</f>
        <v>3.8099999999999999E-4</v>
      </c>
      <c r="N3">
        <v>0.12</v>
      </c>
      <c r="O3" s="9">
        <v>50</v>
      </c>
      <c r="P3" s="9">
        <v>0.38</v>
      </c>
    </row>
    <row r="4" spans="1:16" x14ac:dyDescent="0.2">
      <c r="A4">
        <v>3</v>
      </c>
      <c r="B4">
        <v>2</v>
      </c>
      <c r="C4" t="s">
        <v>17</v>
      </c>
      <c r="D4">
        <v>0.3</v>
      </c>
      <c r="E4">
        <v>7</v>
      </c>
      <c r="F4">
        <v>0.2</v>
      </c>
      <c r="G4">
        <v>16.82</v>
      </c>
      <c r="H4">
        <v>0.05</v>
      </c>
      <c r="I4">
        <v>40</v>
      </c>
      <c r="J4">
        <v>0.5</v>
      </c>
      <c r="K4">
        <v>1600</v>
      </c>
      <c r="L4">
        <v>0.50015622559356399</v>
      </c>
      <c r="M4" s="1">
        <f t="shared" ref="M4:M7" si="0">381*10^(-6)</f>
        <v>3.8099999999999999E-4</v>
      </c>
      <c r="N4">
        <v>0.12</v>
      </c>
      <c r="O4" s="10">
        <v>150</v>
      </c>
      <c r="P4" s="10">
        <v>0.38</v>
      </c>
    </row>
    <row r="5" spans="1:16" x14ac:dyDescent="0.2">
      <c r="A5">
        <v>4</v>
      </c>
      <c r="B5">
        <v>3</v>
      </c>
      <c r="C5" t="s">
        <v>18</v>
      </c>
      <c r="D5">
        <v>0.7</v>
      </c>
      <c r="E5">
        <v>9</v>
      </c>
      <c r="F5">
        <v>0.2</v>
      </c>
      <c r="G5">
        <v>16.82</v>
      </c>
      <c r="H5">
        <v>0.05</v>
      </c>
      <c r="I5">
        <v>41</v>
      </c>
      <c r="J5">
        <v>0.5</v>
      </c>
      <c r="K5">
        <v>1625</v>
      </c>
      <c r="L5">
        <v>0.50014869888804581</v>
      </c>
      <c r="M5" s="1">
        <f t="shared" si="0"/>
        <v>3.8099999999999999E-4</v>
      </c>
      <c r="N5">
        <v>0.12</v>
      </c>
      <c r="O5" s="9">
        <v>50</v>
      </c>
      <c r="P5" s="9">
        <v>0.38</v>
      </c>
    </row>
    <row r="6" spans="1:16" x14ac:dyDescent="0.2">
      <c r="A6">
        <v>5</v>
      </c>
      <c r="B6">
        <v>3</v>
      </c>
      <c r="C6" t="s">
        <v>17</v>
      </c>
      <c r="D6">
        <v>0.2</v>
      </c>
      <c r="E6">
        <v>8</v>
      </c>
      <c r="F6">
        <v>0.2</v>
      </c>
      <c r="G6">
        <v>16.82</v>
      </c>
      <c r="H6">
        <v>0.05</v>
      </c>
      <c r="I6">
        <v>40</v>
      </c>
      <c r="J6">
        <v>0.5</v>
      </c>
      <c r="K6">
        <v>1600</v>
      </c>
      <c r="L6">
        <v>0.50015622559356399</v>
      </c>
      <c r="M6" s="1">
        <f t="shared" si="0"/>
        <v>3.8099999999999999E-4</v>
      </c>
      <c r="N6">
        <v>0.12</v>
      </c>
      <c r="O6" s="10">
        <v>150</v>
      </c>
      <c r="P6" s="10">
        <v>0.38</v>
      </c>
    </row>
    <row r="7" spans="1:16" x14ac:dyDescent="0.2">
      <c r="A7">
        <v>6</v>
      </c>
      <c r="B7">
        <v>3</v>
      </c>
      <c r="C7" t="s">
        <v>19</v>
      </c>
      <c r="D7">
        <v>0.1</v>
      </c>
      <c r="E7">
        <v>9</v>
      </c>
      <c r="F7">
        <v>0.2</v>
      </c>
      <c r="G7">
        <v>16.82</v>
      </c>
      <c r="H7">
        <v>0.05</v>
      </c>
      <c r="I7">
        <v>41</v>
      </c>
      <c r="J7">
        <v>0.5</v>
      </c>
      <c r="K7">
        <v>1625</v>
      </c>
      <c r="L7">
        <v>0.50014869888804581</v>
      </c>
      <c r="M7" s="1">
        <f t="shared" si="0"/>
        <v>3.8099999999999999E-4</v>
      </c>
      <c r="N7">
        <v>0.12</v>
      </c>
      <c r="O7" s="9">
        <v>50</v>
      </c>
      <c r="P7" s="9">
        <v>0.38</v>
      </c>
    </row>
    <row r="16" spans="1:16" x14ac:dyDescent="0.2">
      <c r="N16" s="5"/>
      <c r="O16" s="5"/>
      <c r="P16" s="5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topLeftCell="A12" zoomScale="115" zoomScaleNormal="115" workbookViewId="0">
      <selection activeCell="C19" sqref="C19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51.09765625" bestFit="1" customWidth="1"/>
  </cols>
  <sheetData>
    <row r="1" spans="1:16" s="5" customFormat="1" x14ac:dyDescent="0.2">
      <c r="A1" s="4" t="s">
        <v>201</v>
      </c>
      <c r="B1" s="4" t="s">
        <v>192</v>
      </c>
      <c r="C1" s="4" t="s">
        <v>193</v>
      </c>
      <c r="D1" s="4" t="s">
        <v>194</v>
      </c>
      <c r="E1" s="4" t="s">
        <v>195</v>
      </c>
      <c r="F1" s="4" t="s">
        <v>196</v>
      </c>
      <c r="G1" s="4" t="s">
        <v>197</v>
      </c>
      <c r="H1" s="4" t="s">
        <v>202</v>
      </c>
      <c r="I1" s="4" t="s">
        <v>198</v>
      </c>
      <c r="J1" s="4" t="s">
        <v>199</v>
      </c>
      <c r="K1" s="4" t="s">
        <v>200</v>
      </c>
      <c r="L1" s="4" t="s">
        <v>140</v>
      </c>
      <c r="M1" s="4" t="s">
        <v>142</v>
      </c>
      <c r="N1" s="4" t="s">
        <v>143</v>
      </c>
      <c r="O1" s="4" t="s">
        <v>144</v>
      </c>
      <c r="P1" s="4" t="s">
        <v>141</v>
      </c>
    </row>
    <row r="2" spans="1:16" x14ac:dyDescent="0.2">
      <c r="A2" t="s">
        <v>128</v>
      </c>
      <c r="B2" t="s">
        <v>165</v>
      </c>
      <c r="C2" t="s">
        <v>159</v>
      </c>
      <c r="D2" t="s">
        <v>189</v>
      </c>
      <c r="I2" s="2"/>
      <c r="J2" s="2"/>
      <c r="K2" s="2"/>
    </row>
    <row r="3" spans="1:16" x14ac:dyDescent="0.2">
      <c r="A3" t="s">
        <v>129</v>
      </c>
      <c r="B3" t="s">
        <v>166</v>
      </c>
      <c r="C3" t="s">
        <v>158</v>
      </c>
      <c r="D3" t="s">
        <v>189</v>
      </c>
      <c r="I3" s="2"/>
      <c r="J3" s="2"/>
      <c r="K3" s="2"/>
    </row>
    <row r="4" spans="1:16" x14ac:dyDescent="0.2">
      <c r="A4" t="s">
        <v>0</v>
      </c>
      <c r="B4" s="6"/>
      <c r="C4" s="6" t="s">
        <v>160</v>
      </c>
      <c r="D4" t="s">
        <v>189</v>
      </c>
      <c r="I4" s="2"/>
      <c r="J4" s="2"/>
      <c r="K4" s="2"/>
    </row>
    <row r="5" spans="1:16" x14ac:dyDescent="0.2">
      <c r="A5" t="s">
        <v>1</v>
      </c>
      <c r="B5" s="6"/>
      <c r="C5" s="6" t="s">
        <v>160</v>
      </c>
      <c r="D5" t="s">
        <v>189</v>
      </c>
      <c r="I5" s="2"/>
      <c r="J5" s="2"/>
      <c r="K5" s="2"/>
    </row>
    <row r="6" spans="1:16" x14ac:dyDescent="0.2">
      <c r="A6" t="s">
        <v>130</v>
      </c>
      <c r="B6" t="s">
        <v>168</v>
      </c>
      <c r="C6" s="6" t="s">
        <v>160</v>
      </c>
      <c r="D6" t="s">
        <v>189</v>
      </c>
      <c r="I6" s="2"/>
      <c r="J6" s="2"/>
      <c r="K6" s="2"/>
    </row>
    <row r="7" spans="1:16" x14ac:dyDescent="0.2">
      <c r="A7" t="s">
        <v>134</v>
      </c>
      <c r="B7" t="s">
        <v>164</v>
      </c>
      <c r="C7" t="s">
        <v>159</v>
      </c>
      <c r="D7" t="s">
        <v>189</v>
      </c>
      <c r="I7" s="2"/>
      <c r="J7" s="2"/>
      <c r="K7" s="2"/>
    </row>
    <row r="8" spans="1:16" x14ac:dyDescent="0.2">
      <c r="A8" t="s">
        <v>135</v>
      </c>
      <c r="B8" t="s">
        <v>169</v>
      </c>
      <c r="C8" t="s">
        <v>156</v>
      </c>
      <c r="D8" t="s">
        <v>189</v>
      </c>
      <c r="I8" s="2"/>
      <c r="J8" s="2"/>
      <c r="K8" s="2"/>
    </row>
    <row r="9" spans="1:16" x14ac:dyDescent="0.2">
      <c r="A9" t="s">
        <v>136</v>
      </c>
      <c r="B9" t="s">
        <v>170</v>
      </c>
      <c r="C9" t="s">
        <v>157</v>
      </c>
      <c r="D9" t="s">
        <v>189</v>
      </c>
      <c r="I9" s="2"/>
      <c r="J9" s="2"/>
      <c r="K9" s="2"/>
    </row>
    <row r="10" spans="1:16" x14ac:dyDescent="0.2">
      <c r="A10" t="s">
        <v>131</v>
      </c>
      <c r="B10" t="s">
        <v>171</v>
      </c>
      <c r="C10" t="s">
        <v>158</v>
      </c>
      <c r="D10" t="s">
        <v>189</v>
      </c>
      <c r="I10" s="2"/>
      <c r="J10" s="2"/>
      <c r="K10" s="2"/>
    </row>
    <row r="11" spans="1:16" x14ac:dyDescent="0.2">
      <c r="A11" t="s">
        <v>132</v>
      </c>
      <c r="B11" s="6"/>
      <c r="C11" s="6" t="s">
        <v>160</v>
      </c>
      <c r="D11" t="s">
        <v>189</v>
      </c>
      <c r="I11" s="2"/>
      <c r="J11" s="2"/>
      <c r="K11" s="2"/>
    </row>
    <row r="12" spans="1:16" x14ac:dyDescent="0.2">
      <c r="A12" t="s">
        <v>133</v>
      </c>
      <c r="B12" s="6"/>
      <c r="C12" s="6" t="s">
        <v>160</v>
      </c>
      <c r="D12" t="s">
        <v>189</v>
      </c>
      <c r="I12" s="2"/>
      <c r="J12" s="2"/>
      <c r="K12" s="2"/>
    </row>
    <row r="13" spans="1:16" x14ac:dyDescent="0.2">
      <c r="A13" t="s">
        <v>137</v>
      </c>
      <c r="B13" t="s">
        <v>163</v>
      </c>
      <c r="C13" t="s">
        <v>159</v>
      </c>
      <c r="D13" t="s">
        <v>189</v>
      </c>
      <c r="I13" s="2"/>
      <c r="J13" s="2"/>
      <c r="K13" s="2"/>
    </row>
    <row r="14" spans="1:16" x14ac:dyDescent="0.2">
      <c r="A14" t="s">
        <v>138</v>
      </c>
      <c r="B14" t="s">
        <v>167</v>
      </c>
      <c r="C14" t="s">
        <v>158</v>
      </c>
      <c r="D14" t="s">
        <v>189</v>
      </c>
      <c r="I14" s="2"/>
      <c r="J14" s="2"/>
      <c r="K14" s="2"/>
    </row>
    <row r="15" spans="1:16" x14ac:dyDescent="0.2">
      <c r="A15" t="s">
        <v>139</v>
      </c>
      <c r="B15" t="s">
        <v>162</v>
      </c>
      <c r="C15" t="s">
        <v>161</v>
      </c>
      <c r="D15" t="s">
        <v>190</v>
      </c>
      <c r="E15" t="s">
        <v>173</v>
      </c>
      <c r="I15" s="2">
        <v>0</v>
      </c>
      <c r="J15" s="2">
        <v>1</v>
      </c>
      <c r="K15" s="2"/>
    </row>
    <row r="16" spans="1:16" x14ac:dyDescent="0.2">
      <c r="A16" t="s">
        <v>53</v>
      </c>
      <c r="B16" t="s">
        <v>54</v>
      </c>
      <c r="C16" t="s">
        <v>52</v>
      </c>
      <c r="D16" t="s">
        <v>190</v>
      </c>
      <c r="E16" t="s">
        <v>175</v>
      </c>
      <c r="F16" t="s">
        <v>23</v>
      </c>
      <c r="I16" s="2"/>
      <c r="J16" s="2"/>
      <c r="K16" s="2" t="s">
        <v>24</v>
      </c>
      <c r="L16" t="s">
        <v>21</v>
      </c>
    </row>
    <row r="17" spans="1:16" x14ac:dyDescent="0.2">
      <c r="A17" t="s">
        <v>50</v>
      </c>
      <c r="B17" t="s">
        <v>51</v>
      </c>
      <c r="C17" t="s">
        <v>52</v>
      </c>
      <c r="D17" t="s">
        <v>190</v>
      </c>
      <c r="E17" t="s">
        <v>175</v>
      </c>
      <c r="F17" t="s">
        <v>23</v>
      </c>
      <c r="I17" s="2"/>
      <c r="J17" s="2"/>
      <c r="K17" s="2" t="s">
        <v>148</v>
      </c>
      <c r="L17" t="s">
        <v>21</v>
      </c>
      <c r="O17" t="s">
        <v>21</v>
      </c>
    </row>
    <row r="18" spans="1:16" x14ac:dyDescent="0.2">
      <c r="A18" t="s">
        <v>42</v>
      </c>
      <c r="B18" t="s">
        <v>43</v>
      </c>
      <c r="C18" t="s">
        <v>20</v>
      </c>
      <c r="D18" t="s">
        <v>190</v>
      </c>
      <c r="E18" t="s">
        <v>175</v>
      </c>
      <c r="F18" t="s">
        <v>22</v>
      </c>
      <c r="I18" s="2">
        <v>1.5</v>
      </c>
      <c r="J18" s="2">
        <v>60</v>
      </c>
      <c r="K18" s="2" t="s">
        <v>148</v>
      </c>
      <c r="O18" t="s">
        <v>21</v>
      </c>
    </row>
    <row r="19" spans="1:16" x14ac:dyDescent="0.2">
      <c r="A19" t="s">
        <v>47</v>
      </c>
      <c r="B19" t="s">
        <v>48</v>
      </c>
      <c r="C19" t="s">
        <v>20</v>
      </c>
      <c r="D19" t="s">
        <v>190</v>
      </c>
      <c r="E19" t="s">
        <v>175</v>
      </c>
      <c r="F19" t="s">
        <v>23</v>
      </c>
      <c r="I19" s="1">
        <v>1.4999999999999999E-4</v>
      </c>
      <c r="J19" s="1">
        <v>5.0000000000000001E-4</v>
      </c>
      <c r="K19" s="1" t="s">
        <v>148</v>
      </c>
      <c r="O19" t="s">
        <v>21</v>
      </c>
      <c r="P19" t="s">
        <v>49</v>
      </c>
    </row>
    <row r="20" spans="1:16" x14ac:dyDescent="0.2">
      <c r="A20" t="s">
        <v>30</v>
      </c>
      <c r="B20" t="s">
        <v>31</v>
      </c>
      <c r="C20" t="s">
        <v>32</v>
      </c>
      <c r="D20" t="s">
        <v>190</v>
      </c>
      <c r="E20" t="s">
        <v>175</v>
      </c>
      <c r="F20" t="s">
        <v>22</v>
      </c>
      <c r="I20" s="2">
        <v>10</v>
      </c>
      <c r="J20" s="2">
        <v>22</v>
      </c>
      <c r="K20" s="2" t="s">
        <v>148</v>
      </c>
    </row>
    <row r="21" spans="1:16" x14ac:dyDescent="0.2">
      <c r="A21" t="s">
        <v>39</v>
      </c>
      <c r="B21" t="s">
        <v>40</v>
      </c>
      <c r="C21" t="s">
        <v>41</v>
      </c>
      <c r="D21" t="s">
        <v>190</v>
      </c>
      <c r="E21" t="s">
        <v>175</v>
      </c>
      <c r="F21" t="s">
        <v>23</v>
      </c>
      <c r="I21" s="2">
        <v>1.5</v>
      </c>
      <c r="J21" s="2">
        <v>4000</v>
      </c>
      <c r="K21" s="2" t="s">
        <v>148</v>
      </c>
      <c r="L21" t="s">
        <v>21</v>
      </c>
      <c r="M21" t="s">
        <v>21</v>
      </c>
      <c r="N21" t="s">
        <v>21</v>
      </c>
      <c r="O21" t="s">
        <v>21</v>
      </c>
    </row>
    <row r="22" spans="1:16" x14ac:dyDescent="0.2">
      <c r="A22" t="s">
        <v>3</v>
      </c>
      <c r="B22" t="s">
        <v>152</v>
      </c>
      <c r="C22" t="s">
        <v>20</v>
      </c>
      <c r="D22" t="s">
        <v>190</v>
      </c>
      <c r="E22" t="s">
        <v>173</v>
      </c>
      <c r="I22" s="2">
        <v>0</v>
      </c>
      <c r="J22" s="2">
        <v>5000</v>
      </c>
      <c r="K22" s="2" t="s">
        <v>24</v>
      </c>
      <c r="L22" t="s">
        <v>21</v>
      </c>
      <c r="M22" t="s">
        <v>21</v>
      </c>
      <c r="N22" t="s">
        <v>21</v>
      </c>
    </row>
    <row r="23" spans="1:16" x14ac:dyDescent="0.2">
      <c r="A23" t="s">
        <v>8</v>
      </c>
      <c r="B23" t="s">
        <v>153</v>
      </c>
      <c r="C23" t="s">
        <v>20</v>
      </c>
      <c r="D23" t="s">
        <v>190</v>
      </c>
      <c r="E23" t="s">
        <v>173</v>
      </c>
      <c r="I23" s="2">
        <v>0</v>
      </c>
      <c r="J23" s="2"/>
      <c r="K23" s="2" t="s">
        <v>146</v>
      </c>
      <c r="L23" t="s">
        <v>21</v>
      </c>
      <c r="M23" t="s">
        <v>21</v>
      </c>
      <c r="N23" t="s">
        <v>21</v>
      </c>
    </row>
    <row r="24" spans="1:16" x14ac:dyDescent="0.2">
      <c r="A24" t="s">
        <v>7</v>
      </c>
      <c r="B24" t="s">
        <v>154</v>
      </c>
      <c r="C24" t="s">
        <v>20</v>
      </c>
      <c r="D24" t="s">
        <v>190</v>
      </c>
      <c r="E24" t="s">
        <v>173</v>
      </c>
      <c r="I24" s="2">
        <v>0</v>
      </c>
      <c r="J24" s="2"/>
      <c r="K24" s="2" t="s">
        <v>146</v>
      </c>
      <c r="L24" t="s">
        <v>21</v>
      </c>
      <c r="M24" t="s">
        <v>21</v>
      </c>
      <c r="N24" t="s">
        <v>21</v>
      </c>
      <c r="O24" t="s">
        <v>21</v>
      </c>
    </row>
    <row r="25" spans="1:16" x14ac:dyDescent="0.2">
      <c r="A25" t="s">
        <v>6</v>
      </c>
      <c r="B25" t="s">
        <v>155</v>
      </c>
      <c r="C25" t="s">
        <v>20</v>
      </c>
      <c r="D25" t="s">
        <v>190</v>
      </c>
      <c r="E25" t="s">
        <v>173</v>
      </c>
      <c r="I25" s="2">
        <v>5</v>
      </c>
      <c r="J25" s="2">
        <v>2000</v>
      </c>
      <c r="K25" s="2" t="s">
        <v>146</v>
      </c>
      <c r="L25" t="s">
        <v>21</v>
      </c>
      <c r="M25" t="s">
        <v>21</v>
      </c>
      <c r="N25" t="s">
        <v>21</v>
      </c>
      <c r="O25" t="s">
        <v>21</v>
      </c>
    </row>
    <row r="26" spans="1:16" x14ac:dyDescent="0.2">
      <c r="A26" t="s">
        <v>2</v>
      </c>
      <c r="B26" t="s">
        <v>26</v>
      </c>
      <c r="C26" t="s">
        <v>25</v>
      </c>
      <c r="D26" t="s">
        <v>190</v>
      </c>
      <c r="E26" t="s">
        <v>173</v>
      </c>
      <c r="I26" s="2"/>
      <c r="J26" s="2"/>
      <c r="K26" s="2" t="s">
        <v>24</v>
      </c>
    </row>
    <row r="27" spans="1:16" x14ac:dyDescent="0.2">
      <c r="A27" t="s">
        <v>10</v>
      </c>
      <c r="B27" t="s">
        <v>151</v>
      </c>
      <c r="C27" t="s">
        <v>25</v>
      </c>
      <c r="D27" t="s">
        <v>190</v>
      </c>
      <c r="E27" t="s">
        <v>173</v>
      </c>
      <c r="I27" s="2">
        <v>-4</v>
      </c>
      <c r="J27" s="2">
        <v>15</v>
      </c>
      <c r="K27" s="2" t="s">
        <v>146</v>
      </c>
      <c r="O27" t="s">
        <v>21</v>
      </c>
    </row>
    <row r="28" spans="1:16" x14ac:dyDescent="0.2">
      <c r="A28" t="s">
        <v>11</v>
      </c>
      <c r="B28" t="s">
        <v>150</v>
      </c>
      <c r="C28" t="s">
        <v>25</v>
      </c>
      <c r="D28" t="s">
        <v>190</v>
      </c>
      <c r="E28" t="s">
        <v>173</v>
      </c>
      <c r="I28" s="2"/>
      <c r="J28" s="2"/>
      <c r="K28" s="2" t="s">
        <v>146</v>
      </c>
      <c r="L28" t="s">
        <v>21</v>
      </c>
      <c r="M28" t="s">
        <v>21</v>
      </c>
      <c r="N28" t="s">
        <v>21</v>
      </c>
      <c r="O28" t="s">
        <v>21</v>
      </c>
    </row>
    <row r="29" spans="1:16" x14ac:dyDescent="0.2">
      <c r="A29" t="s">
        <v>27</v>
      </c>
      <c r="B29" t="s">
        <v>28</v>
      </c>
      <c r="C29" t="s">
        <v>25</v>
      </c>
      <c r="D29" t="s">
        <v>190</v>
      </c>
      <c r="E29" t="s">
        <v>29</v>
      </c>
      <c r="F29" t="s">
        <v>22</v>
      </c>
      <c r="I29" s="2">
        <v>-18</v>
      </c>
      <c r="J29" s="2">
        <v>15</v>
      </c>
      <c r="K29" s="2" t="s">
        <v>148</v>
      </c>
      <c r="O29" t="s">
        <v>21</v>
      </c>
    </row>
    <row r="30" spans="1:16" x14ac:dyDescent="0.2">
      <c r="A30" t="s">
        <v>79</v>
      </c>
      <c r="B30" t="s">
        <v>80</v>
      </c>
      <c r="C30" t="s">
        <v>20</v>
      </c>
      <c r="D30" t="s">
        <v>191</v>
      </c>
      <c r="E30" t="s">
        <v>173</v>
      </c>
      <c r="G30" s="1">
        <v>2.0799999999999999E-4</v>
      </c>
      <c r="H30" s="1"/>
      <c r="I30" s="2"/>
      <c r="J30" s="2"/>
      <c r="K30" s="2" t="s">
        <v>63</v>
      </c>
      <c r="O30" t="s">
        <v>21</v>
      </c>
    </row>
    <row r="31" spans="1:16" x14ac:dyDescent="0.2">
      <c r="A31" t="s">
        <v>66</v>
      </c>
      <c r="B31" t="s">
        <v>67</v>
      </c>
      <c r="C31" t="s">
        <v>57</v>
      </c>
      <c r="D31" t="s">
        <v>191</v>
      </c>
      <c r="E31" t="s">
        <v>173</v>
      </c>
      <c r="G31">
        <v>0.25</v>
      </c>
      <c r="I31" s="2"/>
      <c r="J31" s="2"/>
      <c r="K31" s="2" t="s">
        <v>63</v>
      </c>
    </row>
    <row r="32" spans="1:16" x14ac:dyDescent="0.2">
      <c r="A32" t="s">
        <v>81</v>
      </c>
      <c r="B32" t="s">
        <v>82</v>
      </c>
      <c r="C32" t="s">
        <v>83</v>
      </c>
      <c r="D32" t="s">
        <v>191</v>
      </c>
      <c r="E32" t="s">
        <v>173</v>
      </c>
      <c r="G32">
        <v>9.81</v>
      </c>
      <c r="I32" s="2"/>
      <c r="J32" s="2"/>
      <c r="K32" s="2" t="s">
        <v>63</v>
      </c>
      <c r="O32" t="s">
        <v>21</v>
      </c>
    </row>
    <row r="33" spans="1:16" x14ac:dyDescent="0.2">
      <c r="A33" t="s">
        <v>86</v>
      </c>
      <c r="B33" t="s">
        <v>87</v>
      </c>
      <c r="C33" t="s">
        <v>32</v>
      </c>
      <c r="D33" t="s">
        <v>191</v>
      </c>
      <c r="E33" t="s">
        <v>173</v>
      </c>
      <c r="G33" s="2">
        <v>26</v>
      </c>
      <c r="H33" s="2"/>
      <c r="I33" s="2"/>
      <c r="J33" s="2"/>
      <c r="K33" s="2" t="s">
        <v>63</v>
      </c>
      <c r="O33" t="s">
        <v>21</v>
      </c>
    </row>
    <row r="34" spans="1:16" x14ac:dyDescent="0.2">
      <c r="A34" t="s">
        <v>37</v>
      </c>
      <c r="B34" t="s">
        <v>38</v>
      </c>
      <c r="C34" t="s">
        <v>32</v>
      </c>
      <c r="D34" t="s">
        <v>191</v>
      </c>
      <c r="E34" t="s">
        <v>173</v>
      </c>
      <c r="G34">
        <v>9.81</v>
      </c>
      <c r="I34" s="2"/>
      <c r="J34" s="2"/>
      <c r="K34" s="2" t="s">
        <v>63</v>
      </c>
    </row>
    <row r="35" spans="1:16" x14ac:dyDescent="0.2">
      <c r="A35" t="s">
        <v>126</v>
      </c>
      <c r="B35" t="s">
        <v>127</v>
      </c>
      <c r="C35" t="s">
        <v>20</v>
      </c>
      <c r="D35" t="s">
        <v>191</v>
      </c>
      <c r="E35" t="s">
        <v>173</v>
      </c>
      <c r="G35">
        <v>1.5</v>
      </c>
      <c r="K35" s="2" t="s">
        <v>63</v>
      </c>
    </row>
    <row r="36" spans="1:16" x14ac:dyDescent="0.2">
      <c r="A36" t="s">
        <v>61</v>
      </c>
      <c r="B36" t="s">
        <v>62</v>
      </c>
      <c r="C36" t="s">
        <v>57</v>
      </c>
      <c r="D36" t="s">
        <v>191</v>
      </c>
      <c r="E36" t="s">
        <v>175</v>
      </c>
      <c r="F36" t="s">
        <v>22</v>
      </c>
      <c r="G36" s="2">
        <v>0.5</v>
      </c>
      <c r="H36" s="2">
        <v>0.1</v>
      </c>
      <c r="I36" s="2"/>
      <c r="J36" s="2"/>
      <c r="K36" s="2" t="s">
        <v>63</v>
      </c>
      <c r="N36" t="s">
        <v>21</v>
      </c>
    </row>
    <row r="37" spans="1:16" x14ac:dyDescent="0.2">
      <c r="A37" t="s">
        <v>122</v>
      </c>
      <c r="B37" t="s">
        <v>123</v>
      </c>
      <c r="C37" t="s">
        <v>46</v>
      </c>
      <c r="D37" t="s">
        <v>191</v>
      </c>
      <c r="E37" t="s">
        <v>175</v>
      </c>
      <c r="F37" t="s">
        <v>22</v>
      </c>
      <c r="G37">
        <v>0.1</v>
      </c>
      <c r="K37" s="2" t="s">
        <v>63</v>
      </c>
    </row>
    <row r="38" spans="1:16" x14ac:dyDescent="0.2">
      <c r="A38" t="s">
        <v>124</v>
      </c>
      <c r="B38" t="s">
        <v>125</v>
      </c>
      <c r="C38" t="s">
        <v>46</v>
      </c>
      <c r="D38" t="s">
        <v>191</v>
      </c>
      <c r="E38" t="s">
        <v>175</v>
      </c>
      <c r="F38" t="s">
        <v>22</v>
      </c>
      <c r="G38">
        <v>0.01</v>
      </c>
      <c r="K38" s="2" t="s">
        <v>63</v>
      </c>
    </row>
    <row r="39" spans="1:16" x14ac:dyDescent="0.2">
      <c r="A39" t="s">
        <v>64</v>
      </c>
      <c r="B39" t="s">
        <v>65</v>
      </c>
      <c r="C39" t="s">
        <v>57</v>
      </c>
      <c r="D39" t="s">
        <v>191</v>
      </c>
      <c r="E39" t="s">
        <v>173</v>
      </c>
      <c r="G39" s="2">
        <v>0.3</v>
      </c>
      <c r="H39" s="2"/>
      <c r="I39" s="2"/>
      <c r="J39" s="2"/>
      <c r="K39" s="2" t="s">
        <v>63</v>
      </c>
      <c r="O39" t="s">
        <v>21</v>
      </c>
    </row>
    <row r="40" spans="1:16" x14ac:dyDescent="0.2">
      <c r="A40" t="s">
        <v>76</v>
      </c>
      <c r="B40" t="s">
        <v>77</v>
      </c>
      <c r="C40" t="s">
        <v>78</v>
      </c>
      <c r="D40" t="s">
        <v>191</v>
      </c>
      <c r="E40" t="s">
        <v>173</v>
      </c>
      <c r="G40" s="2">
        <v>37</v>
      </c>
      <c r="H40" s="2"/>
      <c r="I40" s="2"/>
      <c r="J40" s="2"/>
      <c r="K40" s="2" t="s">
        <v>63</v>
      </c>
      <c r="O40" t="s">
        <v>21</v>
      </c>
    </row>
    <row r="41" spans="1:16" x14ac:dyDescent="0.2">
      <c r="A41" t="s">
        <v>84</v>
      </c>
      <c r="B41" t="s">
        <v>85</v>
      </c>
      <c r="C41" t="s">
        <v>203</v>
      </c>
      <c r="D41" t="s">
        <v>191</v>
      </c>
      <c r="E41" t="s">
        <v>173</v>
      </c>
      <c r="G41" s="1">
        <v>1.33E-6</v>
      </c>
      <c r="H41" s="1"/>
      <c r="I41" s="2"/>
      <c r="J41" s="2"/>
      <c r="K41" s="2" t="s">
        <v>63</v>
      </c>
      <c r="O41" t="s">
        <v>21</v>
      </c>
    </row>
    <row r="42" spans="1:16" x14ac:dyDescent="0.2">
      <c r="A42" t="s">
        <v>58</v>
      </c>
      <c r="B42" t="s">
        <v>145</v>
      </c>
      <c r="C42" t="s">
        <v>57</v>
      </c>
      <c r="D42" t="s">
        <v>191</v>
      </c>
      <c r="E42" t="s">
        <v>175</v>
      </c>
      <c r="F42" t="s">
        <v>22</v>
      </c>
      <c r="G42" s="3">
        <v>1</v>
      </c>
      <c r="H42">
        <v>0.1</v>
      </c>
      <c r="I42" s="2"/>
      <c r="J42" s="2"/>
      <c r="K42" s="2" t="s">
        <v>146</v>
      </c>
      <c r="N42" t="s">
        <v>21</v>
      </c>
    </row>
    <row r="43" spans="1:16" x14ac:dyDescent="0.2">
      <c r="A43" t="s">
        <v>59</v>
      </c>
      <c r="B43" t="s">
        <v>60</v>
      </c>
      <c r="C43" t="s">
        <v>57</v>
      </c>
      <c r="D43" t="s">
        <v>191</v>
      </c>
      <c r="E43" t="s">
        <v>175</v>
      </c>
      <c r="F43" t="s">
        <v>22</v>
      </c>
      <c r="G43" s="3">
        <v>1</v>
      </c>
      <c r="H43">
        <v>0.12</v>
      </c>
      <c r="I43" s="2"/>
      <c r="J43" s="2"/>
      <c r="K43" s="2" t="s">
        <v>146</v>
      </c>
      <c r="O43" t="s">
        <v>21</v>
      </c>
    </row>
    <row r="44" spans="1:16" x14ac:dyDescent="0.2">
      <c r="A44" t="s">
        <v>55</v>
      </c>
      <c r="B44" t="s">
        <v>56</v>
      </c>
      <c r="C44" t="s">
        <v>57</v>
      </c>
      <c r="D44" t="s">
        <v>191</v>
      </c>
      <c r="E44" t="s">
        <v>175</v>
      </c>
      <c r="F44" t="s">
        <v>22</v>
      </c>
      <c r="G44" s="3">
        <v>1</v>
      </c>
      <c r="H44">
        <v>0.1</v>
      </c>
      <c r="I44" s="2"/>
      <c r="J44" s="2"/>
      <c r="K44" s="2" t="s">
        <v>146</v>
      </c>
      <c r="M44" t="s">
        <v>21</v>
      </c>
    </row>
    <row r="45" spans="1:16" x14ac:dyDescent="0.2">
      <c r="A45" t="s">
        <v>9</v>
      </c>
      <c r="B45" t="s">
        <v>205</v>
      </c>
      <c r="C45" t="s">
        <v>25</v>
      </c>
      <c r="D45" t="s">
        <v>73</v>
      </c>
      <c r="I45" s="2"/>
      <c r="J45" s="2"/>
      <c r="K45" s="2" t="s">
        <v>172</v>
      </c>
      <c r="L45" t="s">
        <v>73</v>
      </c>
      <c r="P45" t="s">
        <v>204</v>
      </c>
    </row>
    <row r="46" spans="1:16" x14ac:dyDescent="0.2">
      <c r="A46" t="s">
        <v>33</v>
      </c>
      <c r="B46" t="s">
        <v>34</v>
      </c>
      <c r="C46" t="s">
        <v>20</v>
      </c>
      <c r="D46" t="s">
        <v>73</v>
      </c>
      <c r="I46" s="2"/>
      <c r="J46" s="2"/>
      <c r="K46" s="2" t="s">
        <v>172</v>
      </c>
      <c r="P46" t="s">
        <v>174</v>
      </c>
    </row>
    <row r="47" spans="1:16" x14ac:dyDescent="0.2">
      <c r="A47" t="s">
        <v>35</v>
      </c>
      <c r="B47" t="s">
        <v>36</v>
      </c>
      <c r="C47" t="s">
        <v>20</v>
      </c>
      <c r="D47" t="s">
        <v>73</v>
      </c>
      <c r="I47" s="2"/>
      <c r="J47" s="2"/>
      <c r="K47" s="2" t="s">
        <v>172</v>
      </c>
      <c r="P47" t="s">
        <v>174</v>
      </c>
    </row>
    <row r="48" spans="1:16" x14ac:dyDescent="0.2">
      <c r="A48" t="s">
        <v>94</v>
      </c>
      <c r="B48" t="s">
        <v>95</v>
      </c>
      <c r="C48" t="s">
        <v>20</v>
      </c>
      <c r="D48" t="s">
        <v>73</v>
      </c>
      <c r="I48" s="2"/>
      <c r="J48" s="2"/>
      <c r="K48" s="2" t="s">
        <v>172</v>
      </c>
      <c r="O48" t="s">
        <v>73</v>
      </c>
    </row>
    <row r="49" spans="1:15" x14ac:dyDescent="0.2">
      <c r="A49" t="s">
        <v>90</v>
      </c>
      <c r="B49" t="s">
        <v>91</v>
      </c>
      <c r="C49" t="s">
        <v>20</v>
      </c>
      <c r="D49" t="s">
        <v>73</v>
      </c>
      <c r="I49" s="2"/>
      <c r="J49" s="2"/>
      <c r="K49" s="2" t="s">
        <v>172</v>
      </c>
      <c r="O49" t="s">
        <v>73</v>
      </c>
    </row>
    <row r="50" spans="1:15" x14ac:dyDescent="0.2">
      <c r="A50" t="s">
        <v>88</v>
      </c>
      <c r="B50" t="s">
        <v>89</v>
      </c>
      <c r="C50" t="s">
        <v>20</v>
      </c>
      <c r="D50" t="s">
        <v>73</v>
      </c>
      <c r="I50" s="2"/>
      <c r="J50" s="2"/>
      <c r="K50" s="2" t="s">
        <v>172</v>
      </c>
      <c r="M50" t="s">
        <v>73</v>
      </c>
    </row>
    <row r="51" spans="1:15" x14ac:dyDescent="0.2">
      <c r="A51" t="s">
        <v>118</v>
      </c>
      <c r="B51" t="s">
        <v>119</v>
      </c>
      <c r="C51" t="s">
        <v>57</v>
      </c>
      <c r="D51" t="s">
        <v>73</v>
      </c>
      <c r="I51" s="2"/>
      <c r="J51" s="2"/>
      <c r="K51" s="2" t="s">
        <v>172</v>
      </c>
      <c r="N51" t="s">
        <v>69</v>
      </c>
    </row>
    <row r="52" spans="1:15" x14ac:dyDescent="0.2">
      <c r="A52" t="s">
        <v>120</v>
      </c>
      <c r="B52" t="s">
        <v>121</v>
      </c>
      <c r="C52" t="s">
        <v>57</v>
      </c>
      <c r="D52" t="s">
        <v>73</v>
      </c>
      <c r="I52" s="2"/>
      <c r="J52" s="2"/>
      <c r="K52" s="2" t="s">
        <v>172</v>
      </c>
      <c r="O52" t="s">
        <v>69</v>
      </c>
    </row>
    <row r="53" spans="1:15" x14ac:dyDescent="0.2">
      <c r="A53" t="s">
        <v>116</v>
      </c>
      <c r="B53" t="s">
        <v>117</v>
      </c>
      <c r="C53" t="s">
        <v>57</v>
      </c>
      <c r="D53" t="s">
        <v>73</v>
      </c>
      <c r="I53" s="2"/>
      <c r="J53" s="2"/>
      <c r="K53" s="2" t="s">
        <v>172</v>
      </c>
      <c r="M53" t="s">
        <v>69</v>
      </c>
    </row>
    <row r="54" spans="1:15" x14ac:dyDescent="0.2">
      <c r="A54" t="s">
        <v>71</v>
      </c>
      <c r="B54" t="s">
        <v>72</v>
      </c>
      <c r="C54" t="s">
        <v>25</v>
      </c>
      <c r="D54" t="s">
        <v>73</v>
      </c>
      <c r="I54" s="2"/>
      <c r="J54" s="2"/>
      <c r="K54" s="2" t="s">
        <v>172</v>
      </c>
      <c r="O54" t="s">
        <v>73</v>
      </c>
    </row>
    <row r="55" spans="1:15" x14ac:dyDescent="0.2">
      <c r="A55" t="s">
        <v>92</v>
      </c>
      <c r="B55" t="s">
        <v>93</v>
      </c>
      <c r="C55" t="s">
        <v>57</v>
      </c>
      <c r="D55" t="s">
        <v>73</v>
      </c>
      <c r="I55" s="2"/>
      <c r="J55" s="2"/>
      <c r="K55" s="2" t="s">
        <v>172</v>
      </c>
      <c r="N55" t="s">
        <v>73</v>
      </c>
    </row>
    <row r="56" spans="1:15" x14ac:dyDescent="0.2">
      <c r="A56" t="s">
        <v>44</v>
      </c>
      <c r="B56" t="s">
        <v>45</v>
      </c>
      <c r="C56" t="s">
        <v>46</v>
      </c>
      <c r="D56" t="s">
        <v>73</v>
      </c>
      <c r="I56" s="2"/>
      <c r="J56" s="2"/>
      <c r="K56" s="2" t="s">
        <v>172</v>
      </c>
    </row>
    <row r="57" spans="1:15" x14ac:dyDescent="0.2">
      <c r="A57" t="s">
        <v>106</v>
      </c>
      <c r="B57" t="s">
        <v>107</v>
      </c>
      <c r="C57" t="s">
        <v>20</v>
      </c>
      <c r="D57" t="s">
        <v>73</v>
      </c>
      <c r="I57" s="2"/>
      <c r="J57" s="2"/>
      <c r="K57" s="2" t="s">
        <v>172</v>
      </c>
      <c r="L57" t="s">
        <v>73</v>
      </c>
    </row>
    <row r="58" spans="1:15" x14ac:dyDescent="0.2">
      <c r="A58" t="s">
        <v>74</v>
      </c>
      <c r="B58" t="s">
        <v>75</v>
      </c>
      <c r="C58" t="s">
        <v>20</v>
      </c>
      <c r="D58" t="s">
        <v>73</v>
      </c>
      <c r="I58" s="2"/>
      <c r="J58" s="2"/>
      <c r="K58" s="2" t="s">
        <v>172</v>
      </c>
      <c r="O58" t="s">
        <v>73</v>
      </c>
    </row>
    <row r="59" spans="1:15" x14ac:dyDescent="0.2">
      <c r="A59" t="s">
        <v>104</v>
      </c>
      <c r="B59" t="s">
        <v>105</v>
      </c>
      <c r="C59" t="s">
        <v>20</v>
      </c>
      <c r="D59" t="s">
        <v>73</v>
      </c>
      <c r="I59" s="2"/>
      <c r="J59" s="2"/>
      <c r="K59" s="2" t="s">
        <v>172</v>
      </c>
      <c r="L59" t="s">
        <v>73</v>
      </c>
    </row>
    <row r="60" spans="1:15" x14ac:dyDescent="0.2">
      <c r="A60" t="s">
        <v>110</v>
      </c>
      <c r="B60" t="s">
        <v>111</v>
      </c>
      <c r="C60" t="s">
        <v>20</v>
      </c>
      <c r="D60" t="s">
        <v>73</v>
      </c>
      <c r="I60" s="2"/>
      <c r="J60" s="2"/>
      <c r="K60" s="2" t="s">
        <v>172</v>
      </c>
      <c r="L60" t="s">
        <v>73</v>
      </c>
    </row>
    <row r="61" spans="1:15" x14ac:dyDescent="0.2">
      <c r="A61" t="s">
        <v>108</v>
      </c>
      <c r="B61" t="s">
        <v>109</v>
      </c>
      <c r="C61" t="s">
        <v>20</v>
      </c>
      <c r="D61" t="s">
        <v>73</v>
      </c>
      <c r="I61" s="2"/>
      <c r="J61" s="2"/>
      <c r="K61" s="2" t="s">
        <v>172</v>
      </c>
      <c r="L61" t="s">
        <v>73</v>
      </c>
    </row>
    <row r="62" spans="1:15" x14ac:dyDescent="0.2">
      <c r="A62" t="s">
        <v>70</v>
      </c>
      <c r="B62" t="s">
        <v>149</v>
      </c>
      <c r="C62" t="s">
        <v>25</v>
      </c>
      <c r="D62" t="s">
        <v>73</v>
      </c>
      <c r="I62" s="2"/>
      <c r="J62" s="2"/>
      <c r="K62" s="2" t="s">
        <v>172</v>
      </c>
      <c r="L62" t="s">
        <v>69</v>
      </c>
      <c r="M62" t="s">
        <v>21</v>
      </c>
      <c r="N62" t="s">
        <v>21</v>
      </c>
    </row>
    <row r="63" spans="1:15" x14ac:dyDescent="0.2">
      <c r="A63" t="s">
        <v>68</v>
      </c>
      <c r="B63" t="s">
        <v>147</v>
      </c>
      <c r="C63" t="s">
        <v>57</v>
      </c>
      <c r="D63" t="s">
        <v>73</v>
      </c>
      <c r="I63" s="2"/>
      <c r="J63" s="2"/>
      <c r="K63" s="2" t="s">
        <v>172</v>
      </c>
      <c r="L63" t="s">
        <v>69</v>
      </c>
    </row>
    <row r="64" spans="1:15" x14ac:dyDescent="0.2">
      <c r="A64" t="s">
        <v>114</v>
      </c>
      <c r="B64" t="s">
        <v>115</v>
      </c>
      <c r="C64" t="s">
        <v>20</v>
      </c>
      <c r="D64" t="s">
        <v>73</v>
      </c>
      <c r="I64" s="2"/>
      <c r="J64" s="2"/>
      <c r="K64" s="2" t="s">
        <v>172</v>
      </c>
      <c r="L64" t="s">
        <v>73</v>
      </c>
    </row>
    <row r="65" spans="1:15" x14ac:dyDescent="0.2">
      <c r="A65" t="s">
        <v>112</v>
      </c>
      <c r="B65" t="s">
        <v>113</v>
      </c>
      <c r="C65" t="s">
        <v>20</v>
      </c>
      <c r="D65" t="s">
        <v>73</v>
      </c>
      <c r="I65" s="2"/>
      <c r="J65" s="2"/>
      <c r="K65" s="2" t="s">
        <v>172</v>
      </c>
      <c r="L65" t="s">
        <v>73</v>
      </c>
    </row>
    <row r="66" spans="1:15" x14ac:dyDescent="0.2">
      <c r="A66" t="s">
        <v>102</v>
      </c>
      <c r="B66" t="s">
        <v>103</v>
      </c>
      <c r="C66" t="s">
        <v>57</v>
      </c>
      <c r="D66" t="s">
        <v>73</v>
      </c>
      <c r="I66" s="2"/>
      <c r="J66" s="2"/>
      <c r="K66" s="2" t="s">
        <v>172</v>
      </c>
      <c r="M66" t="s">
        <v>21</v>
      </c>
      <c r="N66" t="s">
        <v>21</v>
      </c>
      <c r="O66" t="s">
        <v>21</v>
      </c>
    </row>
    <row r="67" spans="1:15" x14ac:dyDescent="0.2">
      <c r="A67" t="s">
        <v>98</v>
      </c>
      <c r="B67" t="s">
        <v>99</v>
      </c>
      <c r="C67" t="s">
        <v>57</v>
      </c>
      <c r="D67" t="s">
        <v>73</v>
      </c>
      <c r="I67" s="2"/>
      <c r="J67" s="2"/>
      <c r="K67" s="2" t="s">
        <v>172</v>
      </c>
      <c r="N67" t="s">
        <v>69</v>
      </c>
    </row>
    <row r="68" spans="1:15" x14ac:dyDescent="0.2">
      <c r="A68" t="s">
        <v>100</v>
      </c>
      <c r="B68" t="s">
        <v>101</v>
      </c>
      <c r="C68" t="s">
        <v>57</v>
      </c>
      <c r="D68" t="s">
        <v>73</v>
      </c>
      <c r="I68" s="2"/>
      <c r="J68" s="2"/>
      <c r="K68" s="2" t="s">
        <v>172</v>
      </c>
      <c r="O68" t="s">
        <v>69</v>
      </c>
    </row>
    <row r="69" spans="1:15" x14ac:dyDescent="0.2">
      <c r="A69" t="s">
        <v>96</v>
      </c>
      <c r="B69" t="s">
        <v>97</v>
      </c>
      <c r="C69" t="s">
        <v>57</v>
      </c>
      <c r="D69" t="s">
        <v>73</v>
      </c>
      <c r="I69" s="2"/>
      <c r="J69" s="2"/>
      <c r="K69" s="2" t="s">
        <v>172</v>
      </c>
      <c r="M69" t="s">
        <v>69</v>
      </c>
    </row>
  </sheetData>
  <conditionalFormatting sqref="E1:E1048576">
    <cfRule type="expression" dxfId="4" priority="2">
      <formula>OR($D1="metadata", $D1="calculated")</formula>
    </cfRule>
  </conditionalFormatting>
  <conditionalFormatting sqref="F1:F69">
    <cfRule type="expression" dxfId="3" priority="4">
      <formula>OR($E1="deterministic", ISBLANK($E1))</formula>
    </cfRule>
  </conditionalFormatting>
  <conditionalFormatting sqref="G2:H69">
    <cfRule type="expression" dxfId="2" priority="3">
      <formula>$D2&lt;&gt;"constant"</formula>
    </cfRule>
  </conditionalFormatting>
  <conditionalFormatting sqref="I2:J69">
    <cfRule type="expression" dxfId="1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D13" sqref="D13"/>
    </sheetView>
  </sheetViews>
  <sheetFormatPr defaultColWidth="8.69921875" defaultRowHeight="14.4" x14ac:dyDescent="0.3"/>
  <cols>
    <col min="1" max="1" width="23.09765625" style="7" bestFit="1" customWidth="1"/>
    <col min="2" max="16384" width="8.69921875" style="7"/>
  </cols>
  <sheetData>
    <row r="1" spans="1:3" x14ac:dyDescent="0.3">
      <c r="A1" s="8" t="s">
        <v>188</v>
      </c>
      <c r="B1" s="8" t="s">
        <v>187</v>
      </c>
      <c r="C1" s="8" t="s">
        <v>186</v>
      </c>
    </row>
    <row r="2" spans="1:3" x14ac:dyDescent="0.3">
      <c r="A2" s="7" t="s">
        <v>185</v>
      </c>
      <c r="B2" s="7" t="s">
        <v>184</v>
      </c>
      <c r="C2" s="7" t="s">
        <v>183</v>
      </c>
    </row>
    <row r="3" spans="1:3" x14ac:dyDescent="0.3">
      <c r="A3" s="7" t="s">
        <v>182</v>
      </c>
      <c r="B3" s="7">
        <v>0.75</v>
      </c>
      <c r="C3" s="7" t="s">
        <v>180</v>
      </c>
    </row>
    <row r="4" spans="1:3" x14ac:dyDescent="0.3">
      <c r="A4" s="7" t="s">
        <v>181</v>
      </c>
      <c r="B4" s="7">
        <v>0.01</v>
      </c>
      <c r="C4" s="7" t="s">
        <v>180</v>
      </c>
    </row>
    <row r="5" spans="1:3" x14ac:dyDescent="0.3">
      <c r="A5" s="7" t="s">
        <v>179</v>
      </c>
      <c r="B5" s="7">
        <v>100</v>
      </c>
      <c r="C5" s="7" t="s">
        <v>178</v>
      </c>
    </row>
    <row r="6" spans="1:3" x14ac:dyDescent="0.3">
      <c r="A6" s="7" t="s">
        <v>177</v>
      </c>
      <c r="B6" s="7" t="b">
        <v>1</v>
      </c>
      <c r="C6" s="7" t="s">
        <v>176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Oscar Ophof</cp:lastModifiedBy>
  <dcterms:created xsi:type="dcterms:W3CDTF">2025-04-30T09:21:20Z</dcterms:created>
  <dcterms:modified xsi:type="dcterms:W3CDTF">2025-06-19T12:48:27Z</dcterms:modified>
</cp:coreProperties>
</file>