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a4914ab80efd2c/Documenten/GitHub/LACT/tests/"/>
    </mc:Choice>
  </mc:AlternateContent>
  <xr:revisionPtr revIDLastSave="1" documentId="13_ncr:1_{D399060C-28CF-422A-8606-9CBD77961087}" xr6:coauthVersionLast="47" xr6:coauthVersionMax="47" xr10:uidLastSave="{7D70DB7F-E166-4321-BEA1-28351AF2B33E}"/>
  <bookViews>
    <workbookView xWindow="-19305" yWindow="10965" windowWidth="19410" windowHeight="20985" xr2:uid="{8895F832-FC95-4388-8456-7EF4AB4C3BDB}"/>
  </bookViews>
  <sheets>
    <sheet name="Blad1" sheetId="1" r:id="rId1"/>
    <sheet name="Kolom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W4" i="1" s="1"/>
  <c r="U5" i="1"/>
  <c r="U6" i="1"/>
  <c r="U7" i="1"/>
  <c r="U8" i="1"/>
  <c r="U9" i="1"/>
  <c r="U10" i="1"/>
  <c r="X10" i="1" s="1"/>
  <c r="U11" i="1"/>
  <c r="U12" i="1"/>
  <c r="W12" i="1" s="1"/>
  <c r="U13" i="1"/>
  <c r="X2" i="1"/>
  <c r="X3" i="1"/>
  <c r="X5" i="1"/>
  <c r="X6" i="1"/>
  <c r="X7" i="1"/>
  <c r="X8" i="1"/>
  <c r="X9" i="1"/>
  <c r="X11" i="1"/>
  <c r="X13" i="1"/>
  <c r="W3" i="1"/>
  <c r="W5" i="1"/>
  <c r="W6" i="1"/>
  <c r="W7" i="1"/>
  <c r="W8" i="1"/>
  <c r="W9" i="1"/>
  <c r="W11" i="1"/>
  <c r="W13" i="1"/>
  <c r="AL2" i="1"/>
  <c r="AL3" i="1"/>
  <c r="AL4" i="1"/>
  <c r="AL5" i="1"/>
  <c r="AL6" i="1"/>
  <c r="AL7" i="1"/>
  <c r="AL8" i="1"/>
  <c r="AL9" i="1"/>
  <c r="AL10" i="1"/>
  <c r="AL11" i="1"/>
  <c r="AL12" i="1"/>
  <c r="AL13" i="1"/>
  <c r="AC2" i="1"/>
  <c r="AE2" i="1" s="1"/>
  <c r="AC3" i="1"/>
  <c r="AE3" i="1" s="1"/>
  <c r="AC4" i="1"/>
  <c r="AE4" i="1" s="1"/>
  <c r="AC5" i="1"/>
  <c r="AE5" i="1" s="1"/>
  <c r="AC6" i="1"/>
  <c r="AE6" i="1" s="1"/>
  <c r="AC7" i="1"/>
  <c r="AE7" i="1" s="1"/>
  <c r="AC8" i="1"/>
  <c r="AE8" i="1" s="1"/>
  <c r="AC9" i="1"/>
  <c r="AE9" i="1" s="1"/>
  <c r="AC10" i="1"/>
  <c r="AE10" i="1" s="1"/>
  <c r="AC11" i="1"/>
  <c r="AE11" i="1" s="1"/>
  <c r="AC12" i="1"/>
  <c r="AE12" i="1" s="1"/>
  <c r="AC13" i="1"/>
  <c r="AE13" i="1" s="1"/>
  <c r="AB2" i="1"/>
  <c r="AB3" i="1"/>
  <c r="AB4" i="1"/>
  <c r="AB5" i="1"/>
  <c r="AB6" i="1"/>
  <c r="AB7" i="1"/>
  <c r="AB8" i="1"/>
  <c r="AB9" i="1"/>
  <c r="AB10" i="1"/>
  <c r="AB11" i="1"/>
  <c r="AB12" i="1"/>
  <c r="AB13" i="1"/>
  <c r="AA2" i="1"/>
  <c r="AA3" i="1"/>
  <c r="AA4" i="1"/>
  <c r="AA5" i="1"/>
  <c r="AA6" i="1"/>
  <c r="AA7" i="1"/>
  <c r="AA8" i="1"/>
  <c r="AA9" i="1"/>
  <c r="AA10" i="1"/>
  <c r="AA11" i="1"/>
  <c r="AA12" i="1"/>
  <c r="AA13" i="1"/>
  <c r="Z2" i="1"/>
  <c r="Z3" i="1"/>
  <c r="Z4" i="1"/>
  <c r="Z5" i="1"/>
  <c r="Z6" i="1"/>
  <c r="Z7" i="1"/>
  <c r="Z8" i="1"/>
  <c r="Z9" i="1"/>
  <c r="Z10" i="1"/>
  <c r="Z11" i="1"/>
  <c r="Z12" i="1"/>
  <c r="Z13" i="1"/>
  <c r="Y2" i="1"/>
  <c r="AK2" i="1" s="1"/>
  <c r="Y3" i="1"/>
  <c r="AK3" i="1" s="1"/>
  <c r="Y4" i="1"/>
  <c r="AK4" i="1" s="1"/>
  <c r="Y5" i="1"/>
  <c r="AK5" i="1" s="1"/>
  <c r="Y6" i="1"/>
  <c r="AK6" i="1" s="1"/>
  <c r="Y7" i="1"/>
  <c r="AK7" i="1" s="1"/>
  <c r="Y8" i="1"/>
  <c r="AK8" i="1" s="1"/>
  <c r="Y9" i="1"/>
  <c r="AK9" i="1" s="1"/>
  <c r="Y10" i="1"/>
  <c r="AK10" i="1" s="1"/>
  <c r="Y11" i="1"/>
  <c r="AK11" i="1" s="1"/>
  <c r="Y12" i="1"/>
  <c r="AK12" i="1" s="1"/>
  <c r="Y13" i="1"/>
  <c r="AK13" i="1" s="1"/>
  <c r="V2" i="1"/>
  <c r="V3" i="1"/>
  <c r="V4" i="1"/>
  <c r="V5" i="1"/>
  <c r="V6" i="1"/>
  <c r="V7" i="1"/>
  <c r="V8" i="1"/>
  <c r="V9" i="1"/>
  <c r="V10" i="1"/>
  <c r="V11" i="1"/>
  <c r="V12" i="1"/>
  <c r="V13" i="1"/>
  <c r="U2" i="1"/>
  <c r="W10" i="1" l="1"/>
  <c r="X4" i="1"/>
  <c r="X12" i="1"/>
  <c r="W2" i="1"/>
  <c r="AD2" i="1"/>
  <c r="AI2" i="1" s="1"/>
  <c r="AD13" i="1"/>
  <c r="AI13" i="1" s="1"/>
  <c r="AD12" i="1"/>
  <c r="AI12" i="1" s="1"/>
  <c r="AD11" i="1"/>
  <c r="AI11" i="1" s="1"/>
  <c r="AD10" i="1"/>
  <c r="AI10" i="1" s="1"/>
  <c r="AD7" i="1"/>
  <c r="AI7" i="1" s="1"/>
  <c r="AM7" i="1" s="1"/>
  <c r="AD9" i="1"/>
  <c r="AI9" i="1" s="1"/>
  <c r="AD8" i="1"/>
  <c r="AI8" i="1" s="1"/>
  <c r="AD6" i="1"/>
  <c r="AI6" i="1" s="1"/>
  <c r="AD3" i="1"/>
  <c r="AI3" i="1" s="1"/>
  <c r="AD5" i="1"/>
  <c r="AI5" i="1" s="1"/>
  <c r="AD4" i="1"/>
  <c r="AI4" i="1" s="1"/>
  <c r="AN3" i="1" l="1"/>
  <c r="AM11" i="1"/>
  <c r="AN11" i="1"/>
  <c r="AO11" i="1" s="1"/>
  <c r="AR11" i="1" s="1"/>
  <c r="AM13" i="1"/>
  <c r="AN13" i="1"/>
  <c r="AM5" i="1"/>
  <c r="AN5" i="1"/>
  <c r="AO5" i="1" s="1"/>
  <c r="AR5" i="1" s="1"/>
  <c r="AM9" i="1"/>
  <c r="AN9" i="1"/>
  <c r="AO9" i="1" s="1"/>
  <c r="AR9" i="1" s="1"/>
  <c r="AM10" i="1"/>
  <c r="AN10" i="1"/>
  <c r="AO10" i="1" s="1"/>
  <c r="AR10" i="1" s="1"/>
  <c r="AM2" i="1"/>
  <c r="AN2" i="1"/>
  <c r="AM6" i="1"/>
  <c r="AN6" i="1"/>
  <c r="AO6" i="1" s="1"/>
  <c r="AR6" i="1" s="1"/>
  <c r="AM8" i="1"/>
  <c r="AN8" i="1"/>
  <c r="AO8" i="1"/>
  <c r="AR8" i="1" s="1"/>
  <c r="AN7" i="1"/>
  <c r="AO7" i="1"/>
  <c r="AR7" i="1" s="1"/>
  <c r="AM12" i="1"/>
  <c r="AN12" i="1"/>
  <c r="AM4" i="1"/>
  <c r="AN4" i="1"/>
  <c r="AM3" i="1"/>
  <c r="AO3" i="1" s="1"/>
  <c r="AR3" i="1" s="1"/>
  <c r="AF3" i="1"/>
  <c r="AG3" i="1" s="1"/>
  <c r="AH3" i="1" s="1"/>
  <c r="AF2" i="1"/>
  <c r="AG2" i="1" s="1"/>
  <c r="AH2" i="1" s="1"/>
  <c r="AJ2" i="1" s="1"/>
  <c r="AQ2" i="1" s="1"/>
  <c r="AF7" i="1"/>
  <c r="AG7" i="1" s="1"/>
  <c r="AH7" i="1" s="1"/>
  <c r="AF9" i="1"/>
  <c r="AG9" i="1" s="1"/>
  <c r="AH9" i="1" s="1"/>
  <c r="AF13" i="1"/>
  <c r="AG13" i="1" s="1"/>
  <c r="AH13" i="1" s="1"/>
  <c r="AF4" i="1"/>
  <c r="AG4" i="1" s="1"/>
  <c r="AH4" i="1" s="1"/>
  <c r="AF5" i="1"/>
  <c r="AG5" i="1" s="1"/>
  <c r="AH5" i="1" s="1"/>
  <c r="AF8" i="1"/>
  <c r="AG8" i="1" s="1"/>
  <c r="AH8" i="1" s="1"/>
  <c r="AF10" i="1"/>
  <c r="AG10" i="1" s="1"/>
  <c r="AH10" i="1" s="1"/>
  <c r="AF11" i="1"/>
  <c r="AG11" i="1" s="1"/>
  <c r="AH11" i="1" s="1"/>
  <c r="AF6" i="1"/>
  <c r="AG6" i="1" s="1"/>
  <c r="AH6" i="1" s="1"/>
  <c r="AF12" i="1"/>
  <c r="AG12" i="1" s="1"/>
  <c r="AH12" i="1" s="1"/>
  <c r="AP2" i="1" l="1"/>
  <c r="AO2" i="1"/>
  <c r="AR2" i="1" s="1"/>
  <c r="AO13" i="1"/>
  <c r="AR13" i="1" s="1"/>
  <c r="AO4" i="1"/>
  <c r="AR4" i="1" s="1"/>
  <c r="AS2" i="1"/>
  <c r="AO12" i="1"/>
  <c r="AR12" i="1" s="1"/>
  <c r="AJ12" i="1"/>
  <c r="AQ12" i="1" s="1"/>
  <c r="AP12" i="1"/>
  <c r="AS12" i="1" s="1"/>
  <c r="AJ4" i="1"/>
  <c r="AQ4" i="1" s="1"/>
  <c r="AP4" i="1"/>
  <c r="AJ6" i="1"/>
  <c r="AQ6" i="1" s="1"/>
  <c r="AP6" i="1"/>
  <c r="AS6" i="1" s="1"/>
  <c r="AJ11" i="1"/>
  <c r="AQ11" i="1" s="1"/>
  <c r="AP11" i="1"/>
  <c r="AJ10" i="1"/>
  <c r="AQ10" i="1" s="1"/>
  <c r="AP10" i="1"/>
  <c r="AS10" i="1" s="1"/>
  <c r="AJ8" i="1"/>
  <c r="AQ8" i="1" s="1"/>
  <c r="AP8" i="1"/>
  <c r="AS8" i="1" s="1"/>
  <c r="AJ5" i="1"/>
  <c r="AQ5" i="1" s="1"/>
  <c r="AP5" i="1"/>
  <c r="AS5" i="1" s="1"/>
  <c r="AJ13" i="1"/>
  <c r="AQ13" i="1" s="1"/>
  <c r="AP13" i="1"/>
  <c r="AJ9" i="1"/>
  <c r="AQ9" i="1" s="1"/>
  <c r="AP9" i="1"/>
  <c r="AS9" i="1" s="1"/>
  <c r="AJ7" i="1"/>
  <c r="AQ7" i="1" s="1"/>
  <c r="AP7" i="1"/>
  <c r="AJ3" i="1"/>
  <c r="AQ3" i="1" s="1"/>
  <c r="AP3" i="1"/>
  <c r="AS3" i="1" s="1"/>
  <c r="AS13" i="1" l="1"/>
  <c r="AS11" i="1"/>
  <c r="AS4" i="1"/>
  <c r="AS7" i="1"/>
</calcChain>
</file>

<file path=xl/sharedStrings.xml><?xml version="1.0" encoding="utf-8"?>
<sst xmlns="http://schemas.openxmlformats.org/spreadsheetml/2006/main" count="162" uniqueCount="59">
  <si>
    <t>DIST_L_GEOM</t>
  </si>
  <si>
    <t>DIST_BUT</t>
  </si>
  <si>
    <t>DIST_BIT</t>
  </si>
  <si>
    <t>L3_geom</t>
  </si>
  <si>
    <t>mv</t>
  </si>
  <si>
    <t>pp</t>
  </si>
  <si>
    <t>top_zand</t>
  </si>
  <si>
    <t>gamma_sat_cover</t>
  </si>
  <si>
    <t>gamma_w</t>
  </si>
  <si>
    <t>kD_WVP</t>
  </si>
  <si>
    <t>D70</t>
  </si>
  <si>
    <t>c_1</t>
  </si>
  <si>
    <t>c_3</t>
  </si>
  <si>
    <t>mp</t>
  </si>
  <si>
    <t>mu</t>
  </si>
  <si>
    <t>mh</t>
  </si>
  <si>
    <t>i_c_h</t>
  </si>
  <si>
    <t>rc</t>
  </si>
  <si>
    <t>h</t>
  </si>
  <si>
    <t>Dcover</t>
  </si>
  <si>
    <t>dhred</t>
  </si>
  <si>
    <t>h_exit</t>
  </si>
  <si>
    <t>k</t>
  </si>
  <si>
    <t>r</t>
  </si>
  <si>
    <t>pot_exit</t>
  </si>
  <si>
    <t>L_kwelweg</t>
  </si>
  <si>
    <t>i_optredend</t>
  </si>
  <si>
    <t>Z_u</t>
  </si>
  <si>
    <t>Z_h</t>
  </si>
  <si>
    <t>Z_p</t>
  </si>
  <si>
    <t>L1</t>
  </si>
  <si>
    <t>L2</t>
  </si>
  <si>
    <t>Lambda_1</t>
  </si>
  <si>
    <t>Lambda_3</t>
  </si>
  <si>
    <t>W_1</t>
  </si>
  <si>
    <t>W_3</t>
  </si>
  <si>
    <t>d_pot_cu</t>
  </si>
  <si>
    <t>r_bit</t>
  </si>
  <si>
    <t>k_intr</t>
  </si>
  <si>
    <t>F_resis</t>
  </si>
  <si>
    <t>F_scale</t>
  </si>
  <si>
    <t>F_geom</t>
  </si>
  <si>
    <t>dHc_piping</t>
  </si>
  <si>
    <t>D_zand</t>
  </si>
  <si>
    <t>Z_combin</t>
  </si>
  <si>
    <t>dist_L_geom</t>
  </si>
  <si>
    <t>dist_BUT</t>
  </si>
  <si>
    <t>dist_BIT</t>
  </si>
  <si>
    <t>input</t>
  </si>
  <si>
    <t>kD</t>
  </si>
  <si>
    <t>D</t>
  </si>
  <si>
    <t>output</t>
  </si>
  <si>
    <t>d_pot_c_u</t>
  </si>
  <si>
    <t>r_exit</t>
  </si>
  <si>
    <t>dhc</t>
  </si>
  <si>
    <t>##</t>
  </si>
  <si>
    <t>param_func</t>
  </si>
  <si>
    <t>type</t>
  </si>
  <si>
    <t>df_column_name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</si>
</sst>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"/>
    <numFmt numFmtId="165" formatCode="0.000"/>
    <numFmt numFmtId="166" formatCode="0.000000"/>
    <numFmt numFmtId="167" formatCode="0.000E+00"/>
    <numFmt numFmtId="168" formatCode="0.0000E+00"/>
    <numFmt numFmtId="169" formatCode="0.00000"/>
  </numFmts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1" fillId="0" borderId="0" xfId="0" applyFont="1"/>
    <xf numFmtId="2" fontId="1" fillId="0" borderId="0" xfId="0" applyNumberFormat="1" applyFont="1"/>
  </cellXfs>
  <cellStyles count="1">
    <cellStyle name="Standaard" xfId="0" builtinId="0"/>
  </cellStyles>
  <dxfs count="4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0.00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0.00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0.00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0.0000E+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00E+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0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A2024-99CC-4907-8002-376686369E0D}" name="Tabel1" displayName="Tabel1" ref="A1:AS13" totalsRowShown="0" headerRowDxfId="46" dataDxfId="45">
  <autoFilter ref="A1:AS13" xr:uid="{E29A2024-99CC-4907-8002-376686369E0D}"/>
  <tableColumns count="45">
    <tableColumn id="1" xr3:uid="{20E63356-6431-4B4C-9C37-AFC2C5FB7E7F}" name="DIST_L_GEOM" dataDxfId="44"/>
    <tableColumn id="2" xr3:uid="{FC780074-9D34-494B-B2F9-4EE84D5E66EA}" name="DIST_BUT" dataDxfId="43"/>
    <tableColumn id="3" xr3:uid="{FDB5A550-2739-4DB9-A2EE-1A1BD1195392}" name="DIST_BIT" dataDxfId="42"/>
    <tableColumn id="4" xr3:uid="{D78E1916-05B5-4220-B358-111FC2A0F1AE}" name="L3_geom" dataDxfId="41"/>
    <tableColumn id="5" xr3:uid="{25EFBC9B-C26D-4BEA-A6F0-8FF155653D47}" name="mv" dataDxfId="40"/>
    <tableColumn id="6" xr3:uid="{285B21AE-F234-4E25-AD55-F25F025941E1}" name="pp" dataDxfId="39"/>
    <tableColumn id="7" xr3:uid="{90D0E77E-9AA6-4E97-B552-BE5D76C9734A}" name="top_zand" dataDxfId="38"/>
    <tableColumn id="8" xr3:uid="{8D3E01FC-1524-426D-A878-5767034FBEEB}" name="gamma_sat_cover" dataDxfId="37"/>
    <tableColumn id="9" xr3:uid="{FADA4606-6238-4D41-ACF9-E4842703EBC3}" name="gamma_w" dataDxfId="36"/>
    <tableColumn id="10" xr3:uid="{E9D617BF-D0E5-43EB-B2EA-75A3469FB6C7}" name="kD_WVP" dataDxfId="35"/>
    <tableColumn id="11" xr3:uid="{D0AE3423-97AB-4C6B-B7FE-AEBCA4A19A49}" name="D_zand" dataDxfId="34"/>
    <tableColumn id="12" xr3:uid="{0CC26D6F-B12E-461F-8C09-B6F83058A1A5}" name="D70" dataDxfId="33"/>
    <tableColumn id="13" xr3:uid="{3DF44178-EFC9-4DA5-84F5-B201F7892271}" name="c_1" dataDxfId="32"/>
    <tableColumn id="14" xr3:uid="{09781512-B422-4519-906F-15A4A06DD344}" name="c_3" dataDxfId="31"/>
    <tableColumn id="15" xr3:uid="{02FE9F56-C504-4EF4-A323-0B3566AF7A63}" name="mu" dataDxfId="30"/>
    <tableColumn id="16" xr3:uid="{F23C134C-A652-431B-9CD7-DF590DA8DDFB}" name="mh" dataDxfId="29"/>
    <tableColumn id="17" xr3:uid="{98427FED-4137-42FA-B7D4-DF2BA1D2B5A1}" name="mp" dataDxfId="28"/>
    <tableColumn id="18" xr3:uid="{5DABED6A-BE1E-49F5-AD9B-76180BA1206D}" name="i_c_h" dataDxfId="27"/>
    <tableColumn id="19" xr3:uid="{E381AD44-1026-4E12-90E2-DB482C4602AB}" name="rc" dataDxfId="26"/>
    <tableColumn id="20" xr3:uid="{A0584660-CAD3-4B96-8B40-5C25CF764C7D}" name="h" dataDxfId="25"/>
    <tableColumn id="21" xr3:uid="{003ED1E0-B61C-4EC3-9FFB-220ACCEA0B08}" name="Dcover" dataDxfId="24">
      <calculatedColumnFormula>Tabel1[[#This Row],[mv]]-Tabel1[[#This Row],[top_zand]]</calculatedColumnFormula>
    </tableColumn>
    <tableColumn id="33" xr3:uid="{1ED78A57-FD73-4942-94C0-1790AA40992A}" name="h_exit" dataDxfId="23">
      <calculatedColumnFormula>MAX(Tabel1[[#This Row],[pp]],Tabel1[[#This Row],[mv]])</calculatedColumnFormula>
    </tableColumn>
    <tableColumn id="40" xr3:uid="{1C1F940A-60E8-46C0-BFA8-9BB2CFD62BE4}" name="d_pot_cu" dataDxfId="22">
      <calculatedColumnFormula>Tabel1[[#This Row],[Dcover]]*(Tabel1[[#This Row],[gamma_sat_cover]]-Tabel1[[#This Row],[gamma_w]])/Tabel1[[#This Row],[gamma_w]]</calculatedColumnFormula>
    </tableColumn>
    <tableColumn id="22" xr3:uid="{F6D70543-8593-404A-85D0-4D634D3EBC41}" name="dhred" dataDxfId="21">
      <calculatedColumnFormula>Tabel1[[#This Row],[h]]-Tabel1[[#This Row],[h_exit]]-Tabel1[[#This Row],[rc]]*Tabel1[[#This Row],[Dcover]]</calculatedColumnFormula>
    </tableColumn>
    <tableColumn id="25" xr3:uid="{7F86A41B-925F-4763-8C23-6D5C1EF0514F}" name="k" dataDxfId="20">
      <calculatedColumnFormula>Tabel1[[#This Row],[kD_WVP]]/Tabel1[[#This Row],[D_zand]]</calculatedColumnFormula>
    </tableColumn>
    <tableColumn id="34" xr3:uid="{8C1BDA46-3A6C-48EB-A3BB-044F729B2163}" name="L1" dataDxfId="19">
      <calculatedColumnFormula>Tabel1[[#This Row],[DIST_L_GEOM]]-Tabel1[[#This Row],[DIST_BUT]]</calculatedColumnFormula>
    </tableColumn>
    <tableColumn id="35" xr3:uid="{508E0A17-0CF6-4F15-94CB-DAD71FE7151A}" name="L2" dataDxfId="18">
      <calculatedColumnFormula>Tabel1[[#This Row],[DIST_BUT]]-Tabel1[[#This Row],[DIST_BIT]]</calculatedColumnFormula>
    </tableColumn>
    <tableColumn id="36" xr3:uid="{69BC09ED-594A-4728-8A5E-2093B4DD0A4D}" name="Lambda_1" dataDxfId="17">
      <calculatedColumnFormula>SQRT(Tabel1[[#This Row],[kD_WVP]]*Tabel1[[#This Row],[c_1]])</calculatedColumnFormula>
    </tableColumn>
    <tableColumn id="37" xr3:uid="{522A1274-862A-4505-A463-11CD15E2EA8B}" name="Lambda_3" dataDxfId="16">
      <calculatedColumnFormula>SQRT(Tabel1[[#This Row],[kD_WVP]]*Tabel1[[#This Row],[c_3]])</calculatedColumnFormula>
    </tableColumn>
    <tableColumn id="38" xr3:uid="{4C325DA3-B96C-4479-B8C2-E0FFBEDEAB4C}" name="W_1" dataDxfId="15">
      <calculatedColumnFormula>Tabel1[[#This Row],[Lambda_1]]*TANH(Tabel1[[#This Row],[L1]]/Tabel1[[#This Row],[Lambda_1]])</calculatedColumnFormula>
    </tableColumn>
    <tableColumn id="39" xr3:uid="{1D360BFC-8E15-43BA-B946-C8B84640DB3C}" name="W_3" dataDxfId="14">
      <calculatedColumnFormula>Tabel1[[#This Row],[Lambda_3]]*TANH(Tabel1[[#This Row],[L3_geom]]/Tabel1[[#This Row],[Lambda_3]])</calculatedColumnFormula>
    </tableColumn>
    <tableColumn id="23" xr3:uid="{CBBAA705-16DE-45A8-BCEF-9D79B77D84CE}" name="r_bit" dataDxfId="13">
      <calculatedColumnFormula>Tabel1[[#This Row],[W_3]]/(Tabel1[[#This Row],[W_1]]+Tabel1[[#This Row],[L2]]+Tabel1[[#This Row],[W_3]])</calculatedColumnFormula>
    </tableColumn>
    <tableColumn id="26" xr3:uid="{165CC60E-5956-4593-AE08-80CD57461642}" name="r" dataDxfId="12">
      <calculatedColumnFormula>Tabel1[[#This Row],[r_bit]]*SINH((Tabel1[[#This Row],[L3_geom]]-Tabel1[[#This Row],[DIST_BIT]])/Tabel1[[#This Row],[Lambda_3]])/SINH(Tabel1[[#This Row],[L3_geom]]/Tabel1[[#This Row],[Lambda_3]])</calculatedColumnFormula>
    </tableColumn>
    <tableColumn id="27" xr3:uid="{BAFA3983-AA49-4A83-8FB6-C786D51BFC56}" name="pot_exit" dataDxfId="11">
      <calculatedColumnFormula>Tabel1[[#This Row],[pp]]+(Tabel1[[#This Row],[h]]-Tabel1[[#This Row],[pp]])*Tabel1[[#This Row],[r]]</calculatedColumnFormula>
    </tableColumn>
    <tableColumn id="28" xr3:uid="{87E83EB2-2FC3-4374-A756-70D0601C6B52}" name="L_kwelweg" dataDxfId="10">
      <calculatedColumnFormula>Tabel1[[#This Row],[DIST_BUT]]+Tabel1[[#This Row],[W_1]]</calculatedColumnFormula>
    </tableColumn>
    <tableColumn id="29" xr3:uid="{4A7C485F-2DC2-4B8D-AF1F-0CF6906E0898}" name="i_optredend" dataDxfId="9">
      <calculatedColumnFormula>(Tabel1[[#This Row],[pot_exit]]-Tabel1[[#This Row],[h_exit]])/Tabel1[[#This Row],[Dcover]]</calculatedColumnFormula>
    </tableColumn>
    <tableColumn id="41" xr3:uid="{3F41E5AD-09E8-4ACA-9801-6B0ABE7EF0E8}" name="k_intr" dataDxfId="8">
      <calculatedColumnFormula>0.00000133/9.81*(Tabel1[[#This Row],[k]]/(24*3600))</calculatedColumnFormula>
    </tableColumn>
    <tableColumn id="42" xr3:uid="{40304DA4-646D-4B11-9F81-DBF94ADEF9DB}" name="F_resis" dataDxfId="7">
      <calculatedColumnFormula>0.25*((26-Tabel1[[#This Row],[gamma_w]])/Tabel1[[#This Row],[gamma_w]])*TAN(37*PI()/180)</calculatedColumnFormula>
    </tableColumn>
    <tableColumn id="43" xr3:uid="{276C3A7A-26ED-406D-9659-3601CFBC3194}" name="F_scale" dataDxfId="6">
      <calculatedColumnFormula>(0.000208/POWER(Tabel1[[#This Row],[k_intr]]*Tabel1[[#This Row],[L_kwelweg]],1/3))*POWER(Tabel1[[#This Row],[D70]]/0.000208,0.4)</calculatedColumnFormula>
    </tableColumn>
    <tableColumn id="44" xr3:uid="{E6BE7253-FDB6-4840-BD67-38A9098606E4}" name="F_geom" dataDxfId="5">
      <calculatedColumnFormula>0.91*POWER(Tabel1[[#This Row],[D_zand]]/Tabel1[[#This Row],[L_kwelweg]],(0.28/(POWER(Tabel1[[#This Row],[D_zand]]/Tabel1[[#This Row],[L_kwelweg]],2.8)-1))+0.04)</calculatedColumnFormula>
    </tableColumn>
    <tableColumn id="24" xr3:uid="{E7EDB8D3-BB2F-4C9E-83CC-C74F6A2D301A}" name="dHc_piping" dataDxfId="4">
      <calculatedColumnFormula>Tabel1[[#This Row],[L_kwelweg]]*Tabel1[[#This Row],[F_resis]]*Tabel1[[#This Row],[F_scale]]*Tabel1[[#This Row],[F_geom]]</calculatedColumnFormula>
    </tableColumn>
    <tableColumn id="30" xr3:uid="{635A6DD2-9D09-413E-8CC0-16781DEFEA36}" name="Z_u" dataDxfId="3">
      <calculatedColumnFormula>Tabel1[[#This Row],[mu]]*Tabel1[[#This Row],[d_pot_cu]]-(Tabel1[[#This Row],[pot_exit]]-Tabel1[[#This Row],[h_exit]])</calculatedColumnFormula>
    </tableColumn>
    <tableColumn id="31" xr3:uid="{787085A5-C44F-4B03-88EF-0C4EF048D0E2}" name="Z_h" dataDxfId="2">
      <calculatedColumnFormula>Tabel1[[#This Row],[mh]]*Tabel1[[#This Row],[i_c_h]]-Tabel1[[#This Row],[i_optredend]]</calculatedColumnFormula>
    </tableColumn>
    <tableColumn id="32" xr3:uid="{C6EDE0B4-9645-4ED9-8D16-DE2AC56CF9A2}" name="Z_p" dataDxfId="1">
      <calculatedColumnFormula>Tabel1[[#This Row],[mp]]*Tabel1[[#This Row],[dHc_piping]]-Tabel1[[#This Row],[dhred]]</calculatedColumnFormula>
    </tableColumn>
    <tableColumn id="45" xr3:uid="{8F081001-5551-4E03-86F8-68D87C8946C9}" name="Z_combin" dataDxfId="0">
      <calculatedColumnFormula>MAX(Tabel1[[#This Row],[Z_u]],Tabel1[[#This Row],[Z_h]],Tabel1[[#This Row],[Z_p]])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8837-BD6F-46EA-94E1-36EC556F3C8B}">
  <dimension ref="A1:AS13"/>
  <sheetViews>
    <sheetView tabSelected="1" topLeftCell="O1" workbookViewId="0">
      <selection activeCell="U3" sqref="U3"/>
    </sheetView>
  </sheetViews>
  <sheetFormatPr defaultColWidth="14.6875" defaultRowHeight="14.25"/>
  <cols>
    <col min="1" max="1" width="16" style="1" customWidth="1"/>
    <col min="2" max="7" width="14.6875" style="1"/>
    <col min="8" max="8" width="18.4375" style="1" customWidth="1"/>
    <col min="9" max="16384" width="14.6875" style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21</v>
      </c>
      <c r="W1" s="1" t="s">
        <v>36</v>
      </c>
      <c r="X1" s="1" t="s">
        <v>20</v>
      </c>
      <c r="Y1" s="1" t="s">
        <v>22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37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27</v>
      </c>
      <c r="AQ1" s="1" t="s">
        <v>28</v>
      </c>
      <c r="AR1" s="1" t="s">
        <v>29</v>
      </c>
      <c r="AS1" s="9" t="s">
        <v>44</v>
      </c>
    </row>
    <row r="2" spans="1:45">
      <c r="A2" s="2">
        <v>258.23925355040132</v>
      </c>
      <c r="B2" s="1">
        <v>141.8153031594282</v>
      </c>
      <c r="C2" s="1">
        <v>72.206973453775262</v>
      </c>
      <c r="D2" s="3">
        <v>2500</v>
      </c>
      <c r="E2" s="4">
        <v>-1</v>
      </c>
      <c r="F2" s="5">
        <v>-0.5</v>
      </c>
      <c r="G2" s="5">
        <v>-9</v>
      </c>
      <c r="H2" s="1">
        <v>15</v>
      </c>
      <c r="I2" s="1">
        <v>9.81</v>
      </c>
      <c r="J2" s="3">
        <v>2070</v>
      </c>
      <c r="K2" s="3">
        <v>50</v>
      </c>
      <c r="L2" s="6">
        <v>3.5E-4</v>
      </c>
      <c r="M2" s="3">
        <v>10</v>
      </c>
      <c r="N2" s="3">
        <v>895</v>
      </c>
      <c r="O2" s="3">
        <v>1</v>
      </c>
      <c r="P2" s="3">
        <v>1</v>
      </c>
      <c r="Q2" s="3">
        <v>1</v>
      </c>
      <c r="R2" s="3">
        <v>0.3</v>
      </c>
      <c r="S2" s="3">
        <v>0.3</v>
      </c>
      <c r="T2" s="5">
        <v>8.5</v>
      </c>
      <c r="U2" s="3">
        <f>Tabel1[[#This Row],[mv]]-Tabel1[[#This Row],[top_zand]]</f>
        <v>8</v>
      </c>
      <c r="V2" s="3">
        <f>MAX(Tabel1[[#This Row],[pp]],Tabel1[[#This Row],[mv]])</f>
        <v>-0.5</v>
      </c>
      <c r="W2" s="3">
        <f>Tabel1[[#This Row],[Dcover]]*(Tabel1[[#This Row],[gamma_sat_cover]]-Tabel1[[#This Row],[gamma_w]])/Tabel1[[#This Row],[gamma_w]]</f>
        <v>4.232415902140672</v>
      </c>
      <c r="X2" s="5">
        <f>Tabel1[[#This Row],[h]]-Tabel1[[#This Row],[h_exit]]-Tabel1[[#This Row],[rc]]*Tabel1[[#This Row],[Dcover]]</f>
        <v>6.6</v>
      </c>
      <c r="Y2" s="3">
        <f>Tabel1[[#This Row],[kD_WVP]]/Tabel1[[#This Row],[D_zand]]</f>
        <v>41.4</v>
      </c>
      <c r="Z2" s="3">
        <f>Tabel1[[#This Row],[DIST_L_GEOM]]-Tabel1[[#This Row],[DIST_BUT]]</f>
        <v>116.42395039097312</v>
      </c>
      <c r="AA2" s="3">
        <f>Tabel1[[#This Row],[DIST_BUT]]-Tabel1[[#This Row],[DIST_BIT]]</f>
        <v>69.608329705652935</v>
      </c>
      <c r="AB2" s="3">
        <f>SQRT(Tabel1[[#This Row],[kD_WVP]]*Tabel1[[#This Row],[c_1]])</f>
        <v>143.87494569938158</v>
      </c>
      <c r="AC2" s="3">
        <f>SQRT(Tabel1[[#This Row],[kD_WVP]]*Tabel1[[#This Row],[c_3]])</f>
        <v>1361.1208616430797</v>
      </c>
      <c r="AD2" s="3">
        <f>Tabel1[[#This Row],[Lambda_1]]*TANH(Tabel1[[#This Row],[L1]]/Tabel1[[#This Row],[Lambda_1]])</f>
        <v>96.273923616895885</v>
      </c>
      <c r="AE2" s="3">
        <f>Tabel1[[#This Row],[Lambda_3]]*TANH(Tabel1[[#This Row],[L3_geom]]/Tabel1[[#This Row],[Lambda_3]])</f>
        <v>1293.7174286170302</v>
      </c>
      <c r="AF2" s="3">
        <f>Tabel1[[#This Row],[W_3]]/(Tabel1[[#This Row],[W_1]]+Tabel1[[#This Row],[L2]]+Tabel1[[#This Row],[W_3]])</f>
        <v>0.88635085676223402</v>
      </c>
      <c r="AG2" s="3">
        <f>Tabel1[[#This Row],[r_bit]]*SINH((Tabel1[[#This Row],[L3_geom]]-Tabel1[[#This Row],[DIST_BIT]])/Tabel1[[#This Row],[Lambda_3]])/SINH(Tabel1[[#This Row],[L3_geom]]/Tabel1[[#This Row],[Lambda_3]])</f>
        <v>0.83810475963357023</v>
      </c>
      <c r="AH2" s="3">
        <f>Tabel1[[#This Row],[pp]]+(Tabel1[[#This Row],[h]]-Tabel1[[#This Row],[pp]])*Tabel1[[#This Row],[r]]</f>
        <v>7.0429428367021316</v>
      </c>
      <c r="AI2" s="3">
        <f>Tabel1[[#This Row],[DIST_BUT]]+Tabel1[[#This Row],[W_1]]</f>
        <v>238.0892267763241</v>
      </c>
      <c r="AJ2" s="3">
        <f>(Tabel1[[#This Row],[pot_exit]]-Tabel1[[#This Row],[h_exit]])/Tabel1[[#This Row],[Dcover]]</f>
        <v>0.94286785458776645</v>
      </c>
      <c r="AK2" s="7">
        <f>0.00000133/9.81*(Tabel1[[#This Row],[k]]/(24*3600))</f>
        <v>6.4963472646958871E-11</v>
      </c>
      <c r="AL2" s="7">
        <f>0.25*((26-Tabel1[[#This Row],[gamma_w]])/Tabel1[[#This Row],[gamma_w]])*TAN(37*PI()/180)</f>
        <v>0.31090825869429756</v>
      </c>
      <c r="AM2" s="7">
        <f>(0.000208/POWER(Tabel1[[#This Row],[k_intr]]*Tabel1[[#This Row],[L_kwelweg]],1/3))*POWER(Tabel1[[#This Row],[D70]]/0.000208,0.4)</f>
        <v>0.10280057877477947</v>
      </c>
      <c r="AN2" s="7">
        <f>0.91*POWER(Tabel1[[#This Row],[D_zand]]/Tabel1[[#This Row],[L_kwelweg]],(0.28/(POWER(Tabel1[[#This Row],[D_zand]]/Tabel1[[#This Row],[L_kwelweg]],2.8)-1))+0.04)</f>
        <v>1.3308785403361829</v>
      </c>
      <c r="AO2" s="8">
        <f>Tabel1[[#This Row],[L_kwelweg]]*Tabel1[[#This Row],[F_resis]]*Tabel1[[#This Row],[F_scale]]*Tabel1[[#This Row],[F_geom]]</f>
        <v>10.127587058714672</v>
      </c>
      <c r="AP2" s="3">
        <f>Tabel1[[#This Row],[mu]]*Tabel1[[#This Row],[d_pot_cu]]-(Tabel1[[#This Row],[pot_exit]]-Tabel1[[#This Row],[h_exit]])</f>
        <v>-3.3105269345614596</v>
      </c>
      <c r="AQ2" s="3">
        <f>Tabel1[[#This Row],[mh]]*Tabel1[[#This Row],[i_c_h]]-Tabel1[[#This Row],[i_optredend]]</f>
        <v>-0.64286785458776641</v>
      </c>
      <c r="AR2" s="3">
        <f>Tabel1[[#This Row],[mp]]*Tabel1[[#This Row],[dHc_piping]]-Tabel1[[#This Row],[dhred]]</f>
        <v>3.5275870587146727</v>
      </c>
      <c r="AS2" s="10">
        <f>MAX(Tabel1[[#This Row],[Z_u]],Tabel1[[#This Row],[Z_h]],Tabel1[[#This Row],[Z_p]])</f>
        <v>3.5275870587146727</v>
      </c>
    </row>
    <row r="3" spans="1:45">
      <c r="A3" s="2">
        <v>150</v>
      </c>
      <c r="B3" s="1">
        <v>122.44665168230701</v>
      </c>
      <c r="C3" s="1">
        <v>52.459324104803457</v>
      </c>
      <c r="D3" s="3">
        <v>2500</v>
      </c>
      <c r="E3" s="4">
        <v>0.76708787679672241</v>
      </c>
      <c r="F3" s="5">
        <v>-0.5</v>
      </c>
      <c r="G3" s="5">
        <v>-9</v>
      </c>
      <c r="H3" s="1">
        <v>15</v>
      </c>
      <c r="I3" s="1">
        <v>9.81</v>
      </c>
      <c r="J3" s="3">
        <v>2070</v>
      </c>
      <c r="K3" s="3">
        <v>50</v>
      </c>
      <c r="L3" s="6">
        <v>3.5E-4</v>
      </c>
      <c r="M3" s="3">
        <v>10</v>
      </c>
      <c r="N3" s="3">
        <v>895</v>
      </c>
      <c r="O3" s="3">
        <v>1</v>
      </c>
      <c r="P3" s="3">
        <v>1</v>
      </c>
      <c r="Q3" s="3">
        <v>1</v>
      </c>
      <c r="R3" s="3">
        <v>0.3</v>
      </c>
      <c r="S3" s="3">
        <v>0.3</v>
      </c>
      <c r="T3" s="5">
        <v>8.5</v>
      </c>
      <c r="U3" s="3">
        <f>Tabel1[[#This Row],[mv]]-Tabel1[[#This Row],[top_zand]]</f>
        <v>9.7670878767967224</v>
      </c>
      <c r="V3" s="3">
        <f>MAX(Tabel1[[#This Row],[pp]],Tabel1[[#This Row],[mv]])</f>
        <v>0.76708787679672241</v>
      </c>
      <c r="W3" s="3">
        <f>Tabel1[[#This Row],[Dcover]]*(Tabel1[[#This Row],[gamma_sat_cover]]-Tabel1[[#This Row],[gamma_w]])/Tabel1[[#This Row],[gamma_w]]</f>
        <v>5.1672972559199781</v>
      </c>
      <c r="X3" s="5">
        <f>Tabel1[[#This Row],[h]]-Tabel1[[#This Row],[h_exit]]-Tabel1[[#This Row],[rc]]*Tabel1[[#This Row],[Dcover]]</f>
        <v>4.8027857601642605</v>
      </c>
      <c r="Y3" s="3">
        <f>Tabel1[[#This Row],[kD_WVP]]/Tabel1[[#This Row],[D_zand]]</f>
        <v>41.4</v>
      </c>
      <c r="Z3" s="3">
        <f>Tabel1[[#This Row],[DIST_L_GEOM]]-Tabel1[[#This Row],[DIST_BUT]]</f>
        <v>27.553348317692993</v>
      </c>
      <c r="AA3" s="3">
        <f>Tabel1[[#This Row],[DIST_BUT]]-Tabel1[[#This Row],[DIST_BIT]]</f>
        <v>69.987327577503549</v>
      </c>
      <c r="AB3" s="3">
        <f>SQRT(Tabel1[[#This Row],[kD_WVP]]*Tabel1[[#This Row],[c_1]])</f>
        <v>143.87494569938158</v>
      </c>
      <c r="AC3" s="3">
        <f>SQRT(Tabel1[[#This Row],[kD_WVP]]*Tabel1[[#This Row],[c_3]])</f>
        <v>1361.1208616430797</v>
      </c>
      <c r="AD3" s="3">
        <f>Tabel1[[#This Row],[Lambda_1]]*TANH(Tabel1[[#This Row],[L1]]/Tabel1[[#This Row],[Lambda_1]])</f>
        <v>27.221371542552543</v>
      </c>
      <c r="AE3" s="3">
        <f>Tabel1[[#This Row],[Lambda_3]]*TANH(Tabel1[[#This Row],[L3_geom]]/Tabel1[[#This Row],[Lambda_3]])</f>
        <v>1293.7174286170302</v>
      </c>
      <c r="AF3" s="3">
        <f>Tabel1[[#This Row],[W_3]]/(Tabel1[[#This Row],[W_1]]+Tabel1[[#This Row],[L2]]+Tabel1[[#This Row],[W_3]])</f>
        <v>0.93011224882359067</v>
      </c>
      <c r="AG3" s="3">
        <f>Tabel1[[#This Row],[r_bit]]*SINH((Tabel1[[#This Row],[L3_geom]]-Tabel1[[#This Row],[DIST_BIT]])/Tabel1[[#This Row],[Lambda_3]])/SINH(Tabel1[[#This Row],[L3_geom]]/Tabel1[[#This Row],[Lambda_3]])</f>
        <v>0.89307841243777519</v>
      </c>
      <c r="AH3" s="3">
        <f>Tabel1[[#This Row],[pp]]+(Tabel1[[#This Row],[h]]-Tabel1[[#This Row],[pp]])*Tabel1[[#This Row],[r]]</f>
        <v>7.5377057119399762</v>
      </c>
      <c r="AI3" s="3">
        <f>Tabel1[[#This Row],[DIST_BUT]]+Tabel1[[#This Row],[W_1]]</f>
        <v>149.66802322485955</v>
      </c>
      <c r="AJ3" s="3">
        <f>(Tabel1[[#This Row],[pot_exit]]-Tabel1[[#This Row],[h_exit]])/Tabel1[[#This Row],[Dcover]]</f>
        <v>0.69320742482802244</v>
      </c>
      <c r="AK3" s="7">
        <f>0.00000133/9.81*(Tabel1[[#This Row],[k]]/(24*3600))</f>
        <v>6.4963472646958871E-11</v>
      </c>
      <c r="AL3" s="7">
        <f>0.25*((26-Tabel1[[#This Row],[gamma_w]])/Tabel1[[#This Row],[gamma_w]])*TAN(37*PI()/180)</f>
        <v>0.31090825869429756</v>
      </c>
      <c r="AM3" s="7">
        <f>(0.000208/POWER(Tabel1[[#This Row],[k_intr]]*Tabel1[[#This Row],[L_kwelweg]],1/3))*POWER(Tabel1[[#This Row],[D70]]/0.000208,0.4)</f>
        <v>0.12000494265868691</v>
      </c>
      <c r="AN3" s="7">
        <f>0.91*POWER(Tabel1[[#This Row],[D_zand]]/Tabel1[[#This Row],[L_kwelweg]],(0.28/(POWER(Tabel1[[#This Row],[D_zand]]/Tabel1[[#This Row],[L_kwelweg]],2.8)-1))+0.04)</f>
        <v>1.20174004666204</v>
      </c>
      <c r="AO3" s="8">
        <f>Tabel1[[#This Row],[L_kwelweg]]*Tabel1[[#This Row],[F_resis]]*Tabel1[[#This Row],[F_scale]]*Tabel1[[#This Row],[F_geom]]</f>
        <v>6.7107482780661201</v>
      </c>
      <c r="AP3" s="3">
        <f>Tabel1[[#This Row],[mu]]*Tabel1[[#This Row],[d_pot_cu]]-(Tabel1[[#This Row],[pot_exit]]-Tabel1[[#This Row],[h_exit]])</f>
        <v>-1.6033205792232756</v>
      </c>
      <c r="AQ3" s="3">
        <f>Tabel1[[#This Row],[mh]]*Tabel1[[#This Row],[i_c_h]]-Tabel1[[#This Row],[i_optredend]]</f>
        <v>-0.39320742482802246</v>
      </c>
      <c r="AR3" s="3">
        <f>Tabel1[[#This Row],[mp]]*Tabel1[[#This Row],[dHc_piping]]-Tabel1[[#This Row],[dhred]]</f>
        <v>1.9079625179018596</v>
      </c>
      <c r="AS3" s="10">
        <f>MAX(Tabel1[[#This Row],[Z_u]],Tabel1[[#This Row],[Z_h]],Tabel1[[#This Row],[Z_p]])</f>
        <v>1.9079625179018596</v>
      </c>
    </row>
    <row r="4" spans="1:45">
      <c r="A4" s="2">
        <v>250</v>
      </c>
      <c r="B4" s="1">
        <v>228.92869908338361</v>
      </c>
      <c r="C4" s="1">
        <v>133.69022608030619</v>
      </c>
      <c r="D4" s="3">
        <v>2500</v>
      </c>
      <c r="E4" s="4">
        <v>-0.5</v>
      </c>
      <c r="F4" s="5">
        <v>0.35</v>
      </c>
      <c r="G4" s="5">
        <v>-5.5</v>
      </c>
      <c r="H4" s="1">
        <v>15.5</v>
      </c>
      <c r="I4" s="1">
        <v>9.81</v>
      </c>
      <c r="J4" s="3">
        <v>1750</v>
      </c>
      <c r="K4" s="3">
        <v>50</v>
      </c>
      <c r="L4" s="6">
        <v>3.5E-4</v>
      </c>
      <c r="M4" s="3">
        <v>10</v>
      </c>
      <c r="N4" s="3">
        <v>565</v>
      </c>
      <c r="O4" s="3">
        <v>1</v>
      </c>
      <c r="P4" s="3">
        <v>1</v>
      </c>
      <c r="Q4" s="3">
        <v>1</v>
      </c>
      <c r="R4" s="3">
        <v>0.3</v>
      </c>
      <c r="S4" s="3">
        <v>0.3</v>
      </c>
      <c r="T4" s="5">
        <v>9.4</v>
      </c>
      <c r="U4" s="3">
        <f>Tabel1[[#This Row],[mv]]-Tabel1[[#This Row],[top_zand]]</f>
        <v>5</v>
      </c>
      <c r="V4" s="3">
        <f>MAX(Tabel1[[#This Row],[pp]],Tabel1[[#This Row],[mv]])</f>
        <v>0.35</v>
      </c>
      <c r="W4" s="3">
        <f>Tabel1[[#This Row],[Dcover]]*(Tabel1[[#This Row],[gamma_sat_cover]]-Tabel1[[#This Row],[gamma_w]])/Tabel1[[#This Row],[gamma_w]]</f>
        <v>2.9001019367991838</v>
      </c>
      <c r="X4" s="5">
        <f>Tabel1[[#This Row],[h]]-Tabel1[[#This Row],[h_exit]]-Tabel1[[#This Row],[rc]]*Tabel1[[#This Row],[Dcover]]</f>
        <v>7.5500000000000007</v>
      </c>
      <c r="Y4" s="3">
        <f>Tabel1[[#This Row],[kD_WVP]]/Tabel1[[#This Row],[D_zand]]</f>
        <v>35</v>
      </c>
      <c r="Z4" s="3">
        <f>Tabel1[[#This Row],[DIST_L_GEOM]]-Tabel1[[#This Row],[DIST_BUT]]</f>
        <v>21.071300916616394</v>
      </c>
      <c r="AA4" s="3">
        <f>Tabel1[[#This Row],[DIST_BUT]]-Tabel1[[#This Row],[DIST_BIT]]</f>
        <v>95.238473003077416</v>
      </c>
      <c r="AB4" s="3">
        <f>SQRT(Tabel1[[#This Row],[kD_WVP]]*Tabel1[[#This Row],[c_1]])</f>
        <v>132.28756555322954</v>
      </c>
      <c r="AC4" s="3">
        <f>SQRT(Tabel1[[#This Row],[kD_WVP]]*Tabel1[[#This Row],[c_3]])</f>
        <v>994.35909006756708</v>
      </c>
      <c r="AD4" s="3">
        <f>Tabel1[[#This Row],[Lambda_1]]*TANH(Tabel1[[#This Row],[L1]]/Tabel1[[#This Row],[Lambda_1]])</f>
        <v>20.894888146449535</v>
      </c>
      <c r="AE4" s="3">
        <f>Tabel1[[#This Row],[Lambda_3]]*TANH(Tabel1[[#This Row],[L3_geom]]/Tabel1[[#This Row],[Lambda_3]])</f>
        <v>981.41870728844276</v>
      </c>
      <c r="AF4" s="3">
        <f>Tabel1[[#This Row],[W_3]]/(Tabel1[[#This Row],[W_1]]+Tabel1[[#This Row],[L2]]+Tabel1[[#This Row],[W_3]])</f>
        <v>0.89418874558287953</v>
      </c>
      <c r="AG4" s="3">
        <f>Tabel1[[#This Row],[r_bit]]*SINH((Tabel1[[#This Row],[L3_geom]]-Tabel1[[#This Row],[DIST_BIT]])/Tabel1[[#This Row],[Lambda_3]])/SINH(Tabel1[[#This Row],[L3_geom]]/Tabel1[[#This Row],[Lambda_3]])</f>
        <v>0.78010785478465527</v>
      </c>
      <c r="AH4" s="3">
        <f>Tabel1[[#This Row],[pp]]+(Tabel1[[#This Row],[h]]-Tabel1[[#This Row],[pp]])*Tabel1[[#This Row],[r]]</f>
        <v>7.4099760858011301</v>
      </c>
      <c r="AI4" s="3">
        <f>Tabel1[[#This Row],[DIST_BUT]]+Tabel1[[#This Row],[W_1]]</f>
        <v>249.82358722983315</v>
      </c>
      <c r="AJ4" s="3">
        <f>(Tabel1[[#This Row],[pot_exit]]-Tabel1[[#This Row],[h_exit]])/Tabel1[[#This Row],[Dcover]]</f>
        <v>1.4119952171602261</v>
      </c>
      <c r="AK4" s="7">
        <f>0.00000133/9.81*(Tabel1[[#This Row],[k]]/(24*3600))</f>
        <v>5.4920810208781658E-11</v>
      </c>
      <c r="AL4" s="7">
        <f>0.25*((26-Tabel1[[#This Row],[gamma_w]])/Tabel1[[#This Row],[gamma_w]])*TAN(37*PI()/180)</f>
        <v>0.31090825869429756</v>
      </c>
      <c r="AM4" s="7">
        <f>(0.000208/POWER(Tabel1[[#This Row],[k_intr]]*Tabel1[[#This Row],[L_kwelweg]],1/3))*POWER(Tabel1[[#This Row],[D70]]/0.000208,0.4)</f>
        <v>0.10698964837303965</v>
      </c>
      <c r="AN4" s="7">
        <f>0.91*POWER(Tabel1[[#This Row],[D_zand]]/Tabel1[[#This Row],[L_kwelweg]],(0.28/(POWER(Tabel1[[#This Row],[D_zand]]/Tabel1[[#This Row],[L_kwelweg]],2.8)-1))+0.04)</f>
        <v>1.3455764270294874</v>
      </c>
      <c r="AO4" s="8">
        <f>Tabel1[[#This Row],[L_kwelweg]]*Tabel1[[#This Row],[F_resis]]*Tabel1[[#This Row],[F_scale]]*Tabel1[[#This Row],[F_geom]]</f>
        <v>11.181905789754721</v>
      </c>
      <c r="AP4" s="3">
        <f>Tabel1[[#This Row],[mu]]*Tabel1[[#This Row],[d_pot_cu]]-(Tabel1[[#This Row],[pot_exit]]-Tabel1[[#This Row],[h_exit]])</f>
        <v>-4.1598741490019471</v>
      </c>
      <c r="AQ4" s="3">
        <f>Tabel1[[#This Row],[mh]]*Tabel1[[#This Row],[i_c_h]]-Tabel1[[#This Row],[i_optredend]]</f>
        <v>-1.1119952171602261</v>
      </c>
      <c r="AR4" s="3">
        <f>Tabel1[[#This Row],[mp]]*Tabel1[[#This Row],[dHc_piping]]-Tabel1[[#This Row],[dhred]]</f>
        <v>3.63190578975472</v>
      </c>
      <c r="AS4" s="10">
        <f>MAX(Tabel1[[#This Row],[Z_u]],Tabel1[[#This Row],[Z_h]],Tabel1[[#This Row],[Z_p]])</f>
        <v>3.63190578975472</v>
      </c>
    </row>
    <row r="5" spans="1:45">
      <c r="A5" s="2">
        <v>200</v>
      </c>
      <c r="B5" s="1">
        <v>114.940110239167</v>
      </c>
      <c r="C5" s="1">
        <v>20.463714348099209</v>
      </c>
      <c r="D5" s="3">
        <v>2500</v>
      </c>
      <c r="E5" s="4">
        <v>2.4669041633605961</v>
      </c>
      <c r="F5" s="5">
        <v>0.35</v>
      </c>
      <c r="G5" s="5">
        <v>-5.5</v>
      </c>
      <c r="H5" s="1">
        <v>15.5</v>
      </c>
      <c r="I5" s="1">
        <v>9.81</v>
      </c>
      <c r="J5" s="3">
        <v>1750</v>
      </c>
      <c r="K5" s="3">
        <v>50</v>
      </c>
      <c r="L5" s="6">
        <v>3.5E-4</v>
      </c>
      <c r="M5" s="3">
        <v>10</v>
      </c>
      <c r="N5" s="3">
        <v>565</v>
      </c>
      <c r="O5" s="3">
        <v>1</v>
      </c>
      <c r="P5" s="3">
        <v>1</v>
      </c>
      <c r="Q5" s="3">
        <v>1</v>
      </c>
      <c r="R5" s="3">
        <v>0.3</v>
      </c>
      <c r="S5" s="3">
        <v>0.3</v>
      </c>
      <c r="T5" s="5">
        <v>8.0399999999999991</v>
      </c>
      <c r="U5" s="3">
        <f>Tabel1[[#This Row],[mv]]-Tabel1[[#This Row],[top_zand]]</f>
        <v>7.9669041633605957</v>
      </c>
      <c r="V5" s="3">
        <f>MAX(Tabel1[[#This Row],[pp]],Tabel1[[#This Row],[mv]])</f>
        <v>2.4669041633605961</v>
      </c>
      <c r="W5" s="3">
        <f>Tabel1[[#This Row],[Dcover]]*(Tabel1[[#This Row],[gamma_sat_cover]]-Tabel1[[#This Row],[gamma_w]])/Tabel1[[#This Row],[gamma_w]]</f>
        <v>4.6209668388911096</v>
      </c>
      <c r="X5" s="5">
        <f>Tabel1[[#This Row],[h]]-Tabel1[[#This Row],[h_exit]]-Tabel1[[#This Row],[rc]]*Tabel1[[#This Row],[Dcover]]</f>
        <v>3.1830245876312246</v>
      </c>
      <c r="Y5" s="3">
        <f>Tabel1[[#This Row],[kD_WVP]]/Tabel1[[#This Row],[D_zand]]</f>
        <v>35</v>
      </c>
      <c r="Z5" s="3">
        <f>Tabel1[[#This Row],[DIST_L_GEOM]]-Tabel1[[#This Row],[DIST_BUT]]</f>
        <v>85.059889760833002</v>
      </c>
      <c r="AA5" s="3">
        <f>Tabel1[[#This Row],[DIST_BUT]]-Tabel1[[#This Row],[DIST_BIT]]</f>
        <v>94.476395891067796</v>
      </c>
      <c r="AB5" s="3">
        <f>SQRT(Tabel1[[#This Row],[kD_WVP]]*Tabel1[[#This Row],[c_1]])</f>
        <v>132.28756555322954</v>
      </c>
      <c r="AC5" s="3">
        <f>SQRT(Tabel1[[#This Row],[kD_WVP]]*Tabel1[[#This Row],[c_3]])</f>
        <v>994.35909006756708</v>
      </c>
      <c r="AD5" s="3">
        <f>Tabel1[[#This Row],[Lambda_1]]*TANH(Tabel1[[#This Row],[L1]]/Tabel1[[#This Row],[Lambda_1]])</f>
        <v>74.998259211682409</v>
      </c>
      <c r="AE5" s="3">
        <f>Tabel1[[#This Row],[Lambda_3]]*TANH(Tabel1[[#This Row],[L3_geom]]/Tabel1[[#This Row],[Lambda_3]])</f>
        <v>981.41870728844276</v>
      </c>
      <c r="AF5" s="3">
        <f>Tabel1[[#This Row],[W_3]]/(Tabel1[[#This Row],[W_1]]+Tabel1[[#This Row],[L2]]+Tabel1[[#This Row],[W_3]])</f>
        <v>0.85274512770615396</v>
      </c>
      <c r="AG5" s="3">
        <f>Tabel1[[#This Row],[r_bit]]*SINH((Tabel1[[#This Row],[L3_geom]]-Tabel1[[#This Row],[DIST_BIT]])/Tabel1[[#This Row],[Lambda_3]])/SINH(Tabel1[[#This Row],[L3_geom]]/Tabel1[[#This Row],[Lambda_3]])</f>
        <v>0.83514373829718846</v>
      </c>
      <c r="AH5" s="3">
        <f>Tabel1[[#This Row],[pp]]+(Tabel1[[#This Row],[h]]-Tabel1[[#This Row],[pp]])*Tabel1[[#This Row],[r]]</f>
        <v>6.7722553475053786</v>
      </c>
      <c r="AI5" s="3">
        <f>Tabel1[[#This Row],[DIST_BUT]]+Tabel1[[#This Row],[W_1]]</f>
        <v>189.93836945084939</v>
      </c>
      <c r="AJ5" s="3">
        <f>(Tabel1[[#This Row],[pot_exit]]-Tabel1[[#This Row],[h_exit]])/Tabel1[[#This Row],[Dcover]]</f>
        <v>0.5404045405673239</v>
      </c>
      <c r="AK5" s="7">
        <f>0.00000133/9.81*(Tabel1[[#This Row],[k]]/(24*3600))</f>
        <v>5.4920810208781658E-11</v>
      </c>
      <c r="AL5" s="7">
        <f>0.25*((26-Tabel1[[#This Row],[gamma_w]])/Tabel1[[#This Row],[gamma_w]])*TAN(37*PI()/180)</f>
        <v>0.31090825869429756</v>
      </c>
      <c r="AM5" s="7">
        <f>(0.000208/POWER(Tabel1[[#This Row],[k_intr]]*Tabel1[[#This Row],[L_kwelweg]],1/3))*POWER(Tabel1[[#This Row],[D70]]/0.000208,0.4)</f>
        <v>0.11722367658998584</v>
      </c>
      <c r="AN5" s="7">
        <f>0.91*POWER(Tabel1[[#This Row],[D_zand]]/Tabel1[[#This Row],[L_kwelweg]],(0.28/(POWER(Tabel1[[#This Row],[D_zand]]/Tabel1[[#This Row],[L_kwelweg]],2.8)-1))+0.04)</f>
        <v>1.2650756848970997</v>
      </c>
      <c r="AO5" s="8">
        <f>Tabel1[[#This Row],[L_kwelweg]]*Tabel1[[#This Row],[F_resis]]*Tabel1[[#This Row],[F_scale]]*Tabel1[[#This Row],[F_geom]]</f>
        <v>8.7574327469474955</v>
      </c>
      <c r="AP5" s="3">
        <f>Tabel1[[#This Row],[mu]]*Tabel1[[#This Row],[d_pot_cu]]-(Tabel1[[#This Row],[pot_exit]]-Tabel1[[#This Row],[h_exit]])</f>
        <v>0.31561565474632669</v>
      </c>
      <c r="AQ5" s="3">
        <f>Tabel1[[#This Row],[mh]]*Tabel1[[#This Row],[i_c_h]]-Tabel1[[#This Row],[i_optredend]]</f>
        <v>-0.24040454056732391</v>
      </c>
      <c r="AR5" s="3">
        <f>Tabel1[[#This Row],[mp]]*Tabel1[[#This Row],[dHc_piping]]-Tabel1[[#This Row],[dhred]]</f>
        <v>5.5744081593162704</v>
      </c>
      <c r="AS5" s="10">
        <f>MAX(Tabel1[[#This Row],[Z_u]],Tabel1[[#This Row],[Z_h]],Tabel1[[#This Row],[Z_p]])</f>
        <v>5.5744081593162704</v>
      </c>
    </row>
    <row r="6" spans="1:45">
      <c r="A6" s="2">
        <v>258.23925355040132</v>
      </c>
      <c r="B6" s="1">
        <v>141.8153031594282</v>
      </c>
      <c r="C6" s="1">
        <v>72.206973453775262</v>
      </c>
      <c r="D6" s="3">
        <v>2500</v>
      </c>
      <c r="E6" s="4">
        <v>-1</v>
      </c>
      <c r="F6" s="5">
        <v>-0.5</v>
      </c>
      <c r="G6" s="5">
        <v>-4.5</v>
      </c>
      <c r="H6" s="1">
        <v>16</v>
      </c>
      <c r="I6" s="1">
        <v>9.81</v>
      </c>
      <c r="J6" s="3">
        <v>1970</v>
      </c>
      <c r="K6" s="3">
        <v>50</v>
      </c>
      <c r="L6" s="6">
        <v>2.5999999999999998E-4</v>
      </c>
      <c r="M6" s="3">
        <v>10</v>
      </c>
      <c r="N6" s="3">
        <v>445</v>
      </c>
      <c r="O6" s="3">
        <v>1</v>
      </c>
      <c r="P6" s="3">
        <v>1</v>
      </c>
      <c r="Q6" s="3">
        <v>1</v>
      </c>
      <c r="R6" s="3">
        <v>0.3</v>
      </c>
      <c r="S6" s="3">
        <v>0.3</v>
      </c>
      <c r="T6" s="5">
        <v>8.5</v>
      </c>
      <c r="U6" s="3">
        <f>Tabel1[[#This Row],[mv]]-Tabel1[[#This Row],[top_zand]]</f>
        <v>3.5</v>
      </c>
      <c r="V6" s="3">
        <f>MAX(Tabel1[[#This Row],[pp]],Tabel1[[#This Row],[mv]])</f>
        <v>-0.5</v>
      </c>
      <c r="W6" s="3">
        <f>Tabel1[[#This Row],[Dcover]]*(Tabel1[[#This Row],[gamma_sat_cover]]-Tabel1[[#This Row],[gamma_w]])/Tabel1[[#This Row],[gamma_w]]</f>
        <v>2.2084607543323136</v>
      </c>
      <c r="X6" s="5">
        <f>Tabel1[[#This Row],[h]]-Tabel1[[#This Row],[h_exit]]-Tabel1[[#This Row],[rc]]*Tabel1[[#This Row],[Dcover]]</f>
        <v>7.95</v>
      </c>
      <c r="Y6" s="3">
        <f>Tabel1[[#This Row],[kD_WVP]]/Tabel1[[#This Row],[D_zand]]</f>
        <v>39.4</v>
      </c>
      <c r="Z6" s="3">
        <f>Tabel1[[#This Row],[DIST_L_GEOM]]-Tabel1[[#This Row],[DIST_BUT]]</f>
        <v>116.42395039097312</v>
      </c>
      <c r="AA6" s="3">
        <f>Tabel1[[#This Row],[DIST_BUT]]-Tabel1[[#This Row],[DIST_BIT]]</f>
        <v>69.608329705652935</v>
      </c>
      <c r="AB6" s="3">
        <f>SQRT(Tabel1[[#This Row],[kD_WVP]]*Tabel1[[#This Row],[c_1]])</f>
        <v>140.356688476182</v>
      </c>
      <c r="AC6" s="3">
        <f>SQRT(Tabel1[[#This Row],[kD_WVP]]*Tabel1[[#This Row],[c_3]])</f>
        <v>936.29589340122607</v>
      </c>
      <c r="AD6" s="3">
        <f>Tabel1[[#This Row],[Lambda_1]]*TANH(Tabel1[[#This Row],[L1]]/Tabel1[[#This Row],[Lambda_1]])</f>
        <v>95.470630441881113</v>
      </c>
      <c r="AE6" s="3">
        <f>Tabel1[[#This Row],[Lambda_3]]*TANH(Tabel1[[#This Row],[L3_geom]]/Tabel1[[#This Row],[Lambda_3]])</f>
        <v>927.35975927636537</v>
      </c>
      <c r="AF6" s="3">
        <f>Tabel1[[#This Row],[W_3]]/(Tabel1[[#This Row],[W_1]]+Tabel1[[#This Row],[L2]]+Tabel1[[#This Row],[W_3]])</f>
        <v>0.848889500882403</v>
      </c>
      <c r="AG6" s="3">
        <f>Tabel1[[#This Row],[r_bit]]*SINH((Tabel1[[#This Row],[L3_geom]]-Tabel1[[#This Row],[DIST_BIT]])/Tabel1[[#This Row],[Lambda_3]])/SINH(Tabel1[[#This Row],[L3_geom]]/Tabel1[[#This Row],[Lambda_3]])</f>
        <v>0.78525253855860921</v>
      </c>
      <c r="AH6" s="3">
        <f>Tabel1[[#This Row],[pp]]+(Tabel1[[#This Row],[h]]-Tabel1[[#This Row],[pp]])*Tabel1[[#This Row],[r]]</f>
        <v>6.5672728470274828</v>
      </c>
      <c r="AI6" s="3">
        <f>Tabel1[[#This Row],[DIST_BUT]]+Tabel1[[#This Row],[W_1]]</f>
        <v>237.2859336013093</v>
      </c>
      <c r="AJ6" s="3">
        <f>(Tabel1[[#This Row],[pot_exit]]-Tabel1[[#This Row],[h_exit]])/Tabel1[[#This Row],[Dcover]]</f>
        <v>2.0192208134364238</v>
      </c>
      <c r="AK6" s="7">
        <f>0.00000133/9.81*(Tabel1[[#This Row],[k]]/(24*3600))</f>
        <v>6.1825140635028502E-11</v>
      </c>
      <c r="AL6" s="7">
        <f>0.25*((26-Tabel1[[#This Row],[gamma_w]])/Tabel1[[#This Row],[gamma_w]])*TAN(37*PI()/180)</f>
        <v>0.31090825869429756</v>
      </c>
      <c r="AM6" s="7">
        <f>(0.000208/POWER(Tabel1[[#This Row],[k_intr]]*Tabel1[[#This Row],[L_kwelweg]],1/3))*POWER(Tabel1[[#This Row],[D70]]/0.000208,0.4)</f>
        <v>9.2899841117780602E-2</v>
      </c>
      <c r="AN6" s="7">
        <f>0.91*POWER(Tabel1[[#This Row],[D_zand]]/Tabel1[[#This Row],[L_kwelweg]],(0.28/(POWER(Tabel1[[#This Row],[D_zand]]/Tabel1[[#This Row],[L_kwelweg]],2.8)-1))+0.04)</f>
        <v>1.3298549351524178</v>
      </c>
      <c r="AO6" s="8">
        <f>Tabel1[[#This Row],[L_kwelweg]]*Tabel1[[#This Row],[F_resis]]*Tabel1[[#This Row],[F_scale]]*Tabel1[[#This Row],[F_geom]]</f>
        <v>9.1143036388739951</v>
      </c>
      <c r="AP6" s="3">
        <f>Tabel1[[#This Row],[mu]]*Tabel1[[#This Row],[d_pot_cu]]-(Tabel1[[#This Row],[pot_exit]]-Tabel1[[#This Row],[h_exit]])</f>
        <v>-4.8588120926951692</v>
      </c>
      <c r="AQ6" s="3">
        <f>Tabel1[[#This Row],[mh]]*Tabel1[[#This Row],[i_c_h]]-Tabel1[[#This Row],[i_optredend]]</f>
        <v>-1.7192208134364237</v>
      </c>
      <c r="AR6" s="3">
        <f>Tabel1[[#This Row],[mp]]*Tabel1[[#This Row],[dHc_piping]]-Tabel1[[#This Row],[dhred]]</f>
        <v>1.1643036388739949</v>
      </c>
      <c r="AS6" s="10">
        <f>MAX(Tabel1[[#This Row],[Z_u]],Tabel1[[#This Row],[Z_h]],Tabel1[[#This Row],[Z_p]])</f>
        <v>1.1643036388739949</v>
      </c>
    </row>
    <row r="7" spans="1:45">
      <c r="A7" s="2">
        <v>150</v>
      </c>
      <c r="B7" s="1">
        <v>122.44665168230701</v>
      </c>
      <c r="C7" s="1">
        <v>52.459324104803457</v>
      </c>
      <c r="D7" s="3">
        <v>2500</v>
      </c>
      <c r="E7" s="4">
        <v>0.76708787679672241</v>
      </c>
      <c r="F7" s="5">
        <v>-0.5</v>
      </c>
      <c r="G7" s="5">
        <v>-4.5</v>
      </c>
      <c r="H7" s="1">
        <v>16</v>
      </c>
      <c r="I7" s="1">
        <v>9.81</v>
      </c>
      <c r="J7" s="3">
        <v>1970</v>
      </c>
      <c r="K7" s="3">
        <v>50</v>
      </c>
      <c r="L7" s="6">
        <v>2.5999999999999998E-4</v>
      </c>
      <c r="M7" s="3">
        <v>10</v>
      </c>
      <c r="N7" s="3">
        <v>445</v>
      </c>
      <c r="O7" s="3">
        <v>1</v>
      </c>
      <c r="P7" s="3">
        <v>1</v>
      </c>
      <c r="Q7" s="3">
        <v>1</v>
      </c>
      <c r="R7" s="3">
        <v>0.3</v>
      </c>
      <c r="S7" s="3">
        <v>0.3</v>
      </c>
      <c r="T7" s="5">
        <v>8.5</v>
      </c>
      <c r="U7" s="3">
        <f>Tabel1[[#This Row],[mv]]-Tabel1[[#This Row],[top_zand]]</f>
        <v>5.2670878767967224</v>
      </c>
      <c r="V7" s="3">
        <f>MAX(Tabel1[[#This Row],[pp]],Tabel1[[#This Row],[mv]])</f>
        <v>0.76708787679672241</v>
      </c>
      <c r="W7" s="3">
        <f>Tabel1[[#This Row],[Dcover]]*(Tabel1[[#This Row],[gamma_sat_cover]]-Tabel1[[#This Row],[gamma_w]])/Tabel1[[#This Row],[gamma_w]]</f>
        <v>3.3234733901500215</v>
      </c>
      <c r="X7" s="5">
        <f>Tabel1[[#This Row],[h]]-Tabel1[[#This Row],[h_exit]]-Tabel1[[#This Row],[rc]]*Tabel1[[#This Row],[Dcover]]</f>
        <v>6.152785760164261</v>
      </c>
      <c r="Y7" s="3">
        <f>Tabel1[[#This Row],[kD_WVP]]/Tabel1[[#This Row],[D_zand]]</f>
        <v>39.4</v>
      </c>
      <c r="Z7" s="3">
        <f>Tabel1[[#This Row],[DIST_L_GEOM]]-Tabel1[[#This Row],[DIST_BUT]]</f>
        <v>27.553348317692993</v>
      </c>
      <c r="AA7" s="3">
        <f>Tabel1[[#This Row],[DIST_BUT]]-Tabel1[[#This Row],[DIST_BIT]]</f>
        <v>69.987327577503549</v>
      </c>
      <c r="AB7" s="3">
        <f>SQRT(Tabel1[[#This Row],[kD_WVP]]*Tabel1[[#This Row],[c_1]])</f>
        <v>140.356688476182</v>
      </c>
      <c r="AC7" s="3">
        <f>SQRT(Tabel1[[#This Row],[kD_WVP]]*Tabel1[[#This Row],[c_3]])</f>
        <v>936.29589340122607</v>
      </c>
      <c r="AD7" s="3">
        <f>Tabel1[[#This Row],[Lambda_1]]*TANH(Tabel1[[#This Row],[L1]]/Tabel1[[#This Row],[Lambda_1]])</f>
        <v>27.204775662422318</v>
      </c>
      <c r="AE7" s="3">
        <f>Tabel1[[#This Row],[Lambda_3]]*TANH(Tabel1[[#This Row],[L3_geom]]/Tabel1[[#This Row],[Lambda_3]])</f>
        <v>927.35975927636537</v>
      </c>
      <c r="AF7" s="3">
        <f>Tabel1[[#This Row],[W_3]]/(Tabel1[[#This Row],[W_1]]+Tabel1[[#This Row],[L2]]+Tabel1[[#This Row],[W_3]])</f>
        <v>0.90513696105024599</v>
      </c>
      <c r="AG7" s="3">
        <f>Tabel1[[#This Row],[r_bit]]*SINH((Tabel1[[#This Row],[L3_geom]]-Tabel1[[#This Row],[DIST_BIT]])/Tabel1[[#This Row],[Lambda_3]])/SINH(Tabel1[[#This Row],[L3_geom]]/Tabel1[[#This Row],[Lambda_3]])</f>
        <v>0.85532902864811533</v>
      </c>
      <c r="AH7" s="3">
        <f>Tabel1[[#This Row],[pp]]+(Tabel1[[#This Row],[h]]-Tabel1[[#This Row],[pp]])*Tabel1[[#This Row],[r]]</f>
        <v>7.1979612578330379</v>
      </c>
      <c r="AI7" s="3">
        <f>Tabel1[[#This Row],[DIST_BUT]]+Tabel1[[#This Row],[W_1]]</f>
        <v>149.65142734472931</v>
      </c>
      <c r="AJ7" s="3">
        <f>(Tabel1[[#This Row],[pot_exit]]-Tabel1[[#This Row],[h_exit]])/Tabel1[[#This Row],[Dcover]]</f>
        <v>1.220954260012721</v>
      </c>
      <c r="AK7" s="7">
        <f>0.00000133/9.81*(Tabel1[[#This Row],[k]]/(24*3600))</f>
        <v>6.1825140635028502E-11</v>
      </c>
      <c r="AL7" s="7">
        <f>0.25*((26-Tabel1[[#This Row],[gamma_w]])/Tabel1[[#This Row],[gamma_w]])*TAN(37*PI()/180)</f>
        <v>0.31090825869429756</v>
      </c>
      <c r="AM7" s="7">
        <f>(0.000208/POWER(Tabel1[[#This Row],[k_intr]]*Tabel1[[#This Row],[L_kwelweg]],1/3))*POWER(Tabel1[[#This Row],[D70]]/0.000208,0.4)</f>
        <v>0.10832915313420277</v>
      </c>
      <c r="AN7" s="7">
        <f>0.91*POWER(Tabel1[[#This Row],[D_zand]]/Tabel1[[#This Row],[L_kwelweg]],(0.28/(POWER(Tabel1[[#This Row],[D_zand]]/Tabel1[[#This Row],[L_kwelweg]],2.8)-1))+0.04)</f>
        <v>1.2017120962970593</v>
      </c>
      <c r="AO7" s="8">
        <f>Tabel1[[#This Row],[L_kwelweg]]*Tabel1[[#This Row],[F_resis]]*Tabel1[[#This Row],[F_scale]]*Tabel1[[#This Row],[F_geom]]</f>
        <v>6.0570185347674448</v>
      </c>
      <c r="AP7" s="3">
        <f>Tabel1[[#This Row],[mu]]*Tabel1[[#This Row],[d_pot_cu]]-(Tabel1[[#This Row],[pot_exit]]-Tabel1[[#This Row],[h_exit]])</f>
        <v>-3.1073999908862939</v>
      </c>
      <c r="AQ7" s="3">
        <f>Tabel1[[#This Row],[mh]]*Tabel1[[#This Row],[i_c_h]]-Tabel1[[#This Row],[i_optredend]]</f>
        <v>-0.92095426001272096</v>
      </c>
      <c r="AR7" s="3">
        <f>Tabel1[[#This Row],[mp]]*Tabel1[[#This Row],[dHc_piping]]-Tabel1[[#This Row],[dhred]]</f>
        <v>-9.5767225396816258E-2</v>
      </c>
      <c r="AS7" s="10">
        <f>MAX(Tabel1[[#This Row],[Z_u]],Tabel1[[#This Row],[Z_h]],Tabel1[[#This Row],[Z_p]])</f>
        <v>-9.5767225396816258E-2</v>
      </c>
    </row>
    <row r="8" spans="1:45">
      <c r="A8" s="2">
        <v>250</v>
      </c>
      <c r="B8" s="1">
        <v>228.92869908338361</v>
      </c>
      <c r="C8" s="1">
        <v>133.69022608030619</v>
      </c>
      <c r="D8" s="3">
        <v>2500</v>
      </c>
      <c r="E8" s="4">
        <v>-0.5</v>
      </c>
      <c r="F8" s="5">
        <v>0.35</v>
      </c>
      <c r="G8" s="5">
        <v>-1</v>
      </c>
      <c r="H8" s="1">
        <v>16.5</v>
      </c>
      <c r="I8" s="1">
        <v>9.81</v>
      </c>
      <c r="J8" s="3">
        <v>1630</v>
      </c>
      <c r="K8" s="3">
        <v>50</v>
      </c>
      <c r="L8" s="6">
        <v>2.7999999999999998E-4</v>
      </c>
      <c r="M8" s="3">
        <v>10</v>
      </c>
      <c r="N8" s="3">
        <v>115</v>
      </c>
      <c r="O8" s="3">
        <v>1</v>
      </c>
      <c r="P8" s="3">
        <v>1</v>
      </c>
      <c r="Q8" s="3">
        <v>1</v>
      </c>
      <c r="R8" s="3">
        <v>0.3</v>
      </c>
      <c r="S8" s="3">
        <v>0.3</v>
      </c>
      <c r="T8" s="5">
        <v>9.4</v>
      </c>
      <c r="U8" s="3">
        <f>Tabel1[[#This Row],[mv]]-Tabel1[[#This Row],[top_zand]]</f>
        <v>0.5</v>
      </c>
      <c r="V8" s="3">
        <f>MAX(Tabel1[[#This Row],[pp]],Tabel1[[#This Row],[mv]])</f>
        <v>0.35</v>
      </c>
      <c r="W8" s="3">
        <f>Tabel1[[#This Row],[Dcover]]*(Tabel1[[#This Row],[gamma_sat_cover]]-Tabel1[[#This Row],[gamma_w]])/Tabel1[[#This Row],[gamma_w]]</f>
        <v>0.34097859327217123</v>
      </c>
      <c r="X8" s="5">
        <f>Tabel1[[#This Row],[h]]-Tabel1[[#This Row],[h_exit]]-Tabel1[[#This Row],[rc]]*Tabel1[[#This Row],[Dcover]]</f>
        <v>8.9</v>
      </c>
      <c r="Y8" s="3">
        <f>Tabel1[[#This Row],[kD_WVP]]/Tabel1[[#This Row],[D_zand]]</f>
        <v>32.6</v>
      </c>
      <c r="Z8" s="3">
        <f>Tabel1[[#This Row],[DIST_L_GEOM]]-Tabel1[[#This Row],[DIST_BUT]]</f>
        <v>21.071300916616394</v>
      </c>
      <c r="AA8" s="3">
        <f>Tabel1[[#This Row],[DIST_BUT]]-Tabel1[[#This Row],[DIST_BIT]]</f>
        <v>95.238473003077416</v>
      </c>
      <c r="AB8" s="3">
        <f>SQRT(Tabel1[[#This Row],[kD_WVP]]*Tabel1[[#This Row],[c_1]])</f>
        <v>127.67145334803705</v>
      </c>
      <c r="AC8" s="3">
        <f>SQRT(Tabel1[[#This Row],[kD_WVP]]*Tabel1[[#This Row],[c_3]])</f>
        <v>432.95496301578527</v>
      </c>
      <c r="AD8" s="3">
        <f>Tabel1[[#This Row],[Lambda_1]]*TANH(Tabel1[[#This Row],[L1]]/Tabel1[[#This Row],[Lambda_1]])</f>
        <v>20.882040650500322</v>
      </c>
      <c r="AE8" s="3">
        <f>Tabel1[[#This Row],[Lambda_3]]*TANH(Tabel1[[#This Row],[L3_geom]]/Tabel1[[#This Row],[Lambda_3]])</f>
        <v>432.94660700421719</v>
      </c>
      <c r="AF8" s="3">
        <f>Tabel1[[#This Row],[W_3]]/(Tabel1[[#This Row],[W_1]]+Tabel1[[#This Row],[L2]]+Tabel1[[#This Row],[W_3]])</f>
        <v>0.78851308103376738</v>
      </c>
      <c r="AG8" s="3">
        <f>Tabel1[[#This Row],[r_bit]]*SINH((Tabel1[[#This Row],[L3_geom]]-Tabel1[[#This Row],[DIST_BIT]])/Tabel1[[#This Row],[Lambda_3]])/SINH(Tabel1[[#This Row],[L3_geom]]/Tabel1[[#This Row],[Lambda_3]])</f>
        <v>0.57903054128459508</v>
      </c>
      <c r="AH8" s="3">
        <f>Tabel1[[#This Row],[pp]]+(Tabel1[[#This Row],[h]]-Tabel1[[#This Row],[pp]])*Tabel1[[#This Row],[r]]</f>
        <v>5.5902263986255853</v>
      </c>
      <c r="AI8" s="3">
        <f>Tabel1[[#This Row],[DIST_BUT]]+Tabel1[[#This Row],[W_1]]</f>
        <v>249.81073973388393</v>
      </c>
      <c r="AJ8" s="3">
        <f>(Tabel1[[#This Row],[pot_exit]]-Tabel1[[#This Row],[h_exit]])/Tabel1[[#This Row],[Dcover]]</f>
        <v>10.480452797251171</v>
      </c>
      <c r="AK8" s="7">
        <f>0.00000133/9.81*(Tabel1[[#This Row],[k]]/(24*3600))</f>
        <v>5.1154811794465203E-11</v>
      </c>
      <c r="AL8" s="7">
        <f>0.25*((26-Tabel1[[#This Row],[gamma_w]])/Tabel1[[#This Row],[gamma_w]])*TAN(37*PI()/180)</f>
        <v>0.31090825869429756</v>
      </c>
      <c r="AM8" s="7">
        <f>(0.000208/POWER(Tabel1[[#This Row],[k_intr]]*Tabel1[[#This Row],[L_kwelweg]],1/3))*POWER(Tabel1[[#This Row],[D70]]/0.000208,0.4)</f>
        <v>0.10020022144213257</v>
      </c>
      <c r="AN8" s="7">
        <f>0.91*POWER(Tabel1[[#This Row],[D_zand]]/Tabel1[[#This Row],[L_kwelweg]],(0.28/(POWER(Tabel1[[#This Row],[D_zand]]/Tabel1[[#This Row],[L_kwelweg]],2.8)-1))+0.04)</f>
        <v>1.3455605895093528</v>
      </c>
      <c r="AO8" s="8">
        <f>Tabel1[[#This Row],[L_kwelweg]]*Tabel1[[#This Row],[F_resis]]*Tabel1[[#This Row],[F_scale]]*Tabel1[[#This Row],[F_geom]]</f>
        <v>10.471654472727607</v>
      </c>
      <c r="AP8" s="3">
        <f>Tabel1[[#This Row],[mu]]*Tabel1[[#This Row],[d_pot_cu]]-(Tabel1[[#This Row],[pot_exit]]-Tabel1[[#This Row],[h_exit]])</f>
        <v>-4.8992478053534141</v>
      </c>
      <c r="AQ8" s="3">
        <f>Tabel1[[#This Row],[mh]]*Tabel1[[#This Row],[i_c_h]]-Tabel1[[#This Row],[i_optredend]]</f>
        <v>-10.180452797251171</v>
      </c>
      <c r="AR8" s="3">
        <f>Tabel1[[#This Row],[mp]]*Tabel1[[#This Row],[dHc_piping]]-Tabel1[[#This Row],[dhred]]</f>
        <v>1.5716544727276069</v>
      </c>
      <c r="AS8" s="10">
        <f>MAX(Tabel1[[#This Row],[Z_u]],Tabel1[[#This Row],[Z_h]],Tabel1[[#This Row],[Z_p]])</f>
        <v>1.5716544727276069</v>
      </c>
    </row>
    <row r="9" spans="1:45">
      <c r="A9" s="2">
        <v>200</v>
      </c>
      <c r="B9" s="1">
        <v>114.940110239167</v>
      </c>
      <c r="C9" s="1">
        <v>20.463714348099209</v>
      </c>
      <c r="D9" s="3">
        <v>2500</v>
      </c>
      <c r="E9" s="4">
        <v>2.4669041633605961</v>
      </c>
      <c r="F9" s="5">
        <v>0.35</v>
      </c>
      <c r="G9" s="5">
        <v>-1</v>
      </c>
      <c r="H9" s="1">
        <v>16.5</v>
      </c>
      <c r="I9" s="1">
        <v>9.81</v>
      </c>
      <c r="J9" s="3">
        <v>1630</v>
      </c>
      <c r="K9" s="3">
        <v>50</v>
      </c>
      <c r="L9" s="6">
        <v>2.7999999999999998E-4</v>
      </c>
      <c r="M9" s="3">
        <v>10</v>
      </c>
      <c r="N9" s="3">
        <v>115</v>
      </c>
      <c r="O9" s="3">
        <v>1</v>
      </c>
      <c r="P9" s="3">
        <v>1</v>
      </c>
      <c r="Q9" s="3">
        <v>1</v>
      </c>
      <c r="R9" s="3">
        <v>0.3</v>
      </c>
      <c r="S9" s="3">
        <v>0.3</v>
      </c>
      <c r="T9" s="5">
        <v>8.0399999999999991</v>
      </c>
      <c r="U9" s="3">
        <f>Tabel1[[#This Row],[mv]]-Tabel1[[#This Row],[top_zand]]</f>
        <v>3.4669041633605961</v>
      </c>
      <c r="V9" s="3">
        <f>MAX(Tabel1[[#This Row],[pp]],Tabel1[[#This Row],[mv]])</f>
        <v>2.4669041633605961</v>
      </c>
      <c r="W9" s="3">
        <f>Tabel1[[#This Row],[Dcover]]*(Tabel1[[#This Row],[gamma_sat_cover]]-Tabel1[[#This Row],[gamma_w]])/Tabel1[[#This Row],[gamma_w]]</f>
        <v>2.3642802092642592</v>
      </c>
      <c r="X9" s="5">
        <f>Tabel1[[#This Row],[h]]-Tabel1[[#This Row],[h_exit]]-Tabel1[[#This Row],[rc]]*Tabel1[[#This Row],[Dcover]]</f>
        <v>4.5330245876312247</v>
      </c>
      <c r="Y9" s="3">
        <f>Tabel1[[#This Row],[kD_WVP]]/Tabel1[[#This Row],[D_zand]]</f>
        <v>32.6</v>
      </c>
      <c r="Z9" s="3">
        <f>Tabel1[[#This Row],[DIST_L_GEOM]]-Tabel1[[#This Row],[DIST_BUT]]</f>
        <v>85.059889760833002</v>
      </c>
      <c r="AA9" s="3">
        <f>Tabel1[[#This Row],[DIST_BUT]]-Tabel1[[#This Row],[DIST_BIT]]</f>
        <v>94.476395891067796</v>
      </c>
      <c r="AB9" s="3">
        <f>SQRT(Tabel1[[#This Row],[kD_WVP]]*Tabel1[[#This Row],[c_1]])</f>
        <v>127.67145334803705</v>
      </c>
      <c r="AC9" s="3">
        <f>SQRT(Tabel1[[#This Row],[kD_WVP]]*Tabel1[[#This Row],[c_3]])</f>
        <v>432.95496301578527</v>
      </c>
      <c r="AD9" s="3">
        <f>Tabel1[[#This Row],[Lambda_1]]*TANH(Tabel1[[#This Row],[L1]]/Tabel1[[#This Row],[Lambda_1]])</f>
        <v>74.368804655055484</v>
      </c>
      <c r="AE9" s="3">
        <f>Tabel1[[#This Row],[Lambda_3]]*TANH(Tabel1[[#This Row],[L3_geom]]/Tabel1[[#This Row],[Lambda_3]])</f>
        <v>432.94660700421719</v>
      </c>
      <c r="AF9" s="3">
        <f>Tabel1[[#This Row],[W_3]]/(Tabel1[[#This Row],[W_1]]+Tabel1[[#This Row],[L2]]+Tabel1[[#This Row],[W_3]])</f>
        <v>0.71942921384485736</v>
      </c>
      <c r="AG9" s="3">
        <f>Tabel1[[#This Row],[r_bit]]*SINH((Tabel1[[#This Row],[L3_geom]]-Tabel1[[#This Row],[DIST_BIT]])/Tabel1[[#This Row],[Lambda_3]])/SINH(Tabel1[[#This Row],[L3_geom]]/Tabel1[[#This Row],[Lambda_3]])</f>
        <v>0.68621566303288339</v>
      </c>
      <c r="AH9" s="3">
        <f>Tabel1[[#This Row],[pp]]+(Tabel1[[#This Row],[h]]-Tabel1[[#This Row],[pp]])*Tabel1[[#This Row],[r]]</f>
        <v>5.6269984487228726</v>
      </c>
      <c r="AI9" s="3">
        <f>Tabel1[[#This Row],[DIST_BUT]]+Tabel1[[#This Row],[W_1]]</f>
        <v>189.30891489422248</v>
      </c>
      <c r="AJ9" s="3">
        <f>(Tabel1[[#This Row],[pot_exit]]-Tabel1[[#This Row],[h_exit]])/Tabel1[[#This Row],[Dcover]]</f>
        <v>0.91150321337382523</v>
      </c>
      <c r="AK9" s="7">
        <f>0.00000133/9.81*(Tabel1[[#This Row],[k]]/(24*3600))</f>
        <v>5.1154811794465203E-11</v>
      </c>
      <c r="AL9" s="7">
        <f>0.25*((26-Tabel1[[#This Row],[gamma_w]])/Tabel1[[#This Row],[gamma_w]])*TAN(37*PI()/180)</f>
        <v>0.31090825869429756</v>
      </c>
      <c r="AM9" s="7">
        <f>(0.000208/POWER(Tabel1[[#This Row],[k_intr]]*Tabel1[[#This Row],[L_kwelweg]],1/3))*POWER(Tabel1[[#This Row],[D70]]/0.000208,0.4)</f>
        <v>0.10990447121533863</v>
      </c>
      <c r="AN9" s="7">
        <f>0.91*POWER(Tabel1[[#This Row],[D_zand]]/Tabel1[[#This Row],[L_kwelweg]],(0.28/(POWER(Tabel1[[#This Row],[D_zand]]/Tabel1[[#This Row],[L_kwelweg]],2.8)-1))+0.04)</f>
        <v>1.2641495874596611</v>
      </c>
      <c r="AO9" s="8">
        <f>Tabel1[[#This Row],[L_kwelweg]]*Tabel1[[#This Row],[F_resis]]*Tabel1[[#This Row],[F_scale]]*Tabel1[[#This Row],[F_geom]]</f>
        <v>8.1774359823973484</v>
      </c>
      <c r="AP9" s="3">
        <f>Tabel1[[#This Row],[mu]]*Tabel1[[#This Row],[d_pot_cu]]-(Tabel1[[#This Row],[pot_exit]]-Tabel1[[#This Row],[h_exit]])</f>
        <v>-0.79581407609801724</v>
      </c>
      <c r="AQ9" s="3">
        <f>Tabel1[[#This Row],[mh]]*Tabel1[[#This Row],[i_c_h]]-Tabel1[[#This Row],[i_optredend]]</f>
        <v>-0.61150321337382518</v>
      </c>
      <c r="AR9" s="3">
        <f>Tabel1[[#This Row],[mp]]*Tabel1[[#This Row],[dHc_piping]]-Tabel1[[#This Row],[dhred]]</f>
        <v>3.6444113947661236</v>
      </c>
      <c r="AS9" s="10">
        <f>MAX(Tabel1[[#This Row],[Z_u]],Tabel1[[#This Row],[Z_h]],Tabel1[[#This Row],[Z_p]])</f>
        <v>3.6444113947661236</v>
      </c>
    </row>
    <row r="10" spans="1:45">
      <c r="A10" s="2">
        <v>258.23925355040132</v>
      </c>
      <c r="B10" s="1">
        <v>141.8153031594282</v>
      </c>
      <c r="C10" s="1">
        <v>72.206973453775262</v>
      </c>
      <c r="D10" s="3">
        <v>2500</v>
      </c>
      <c r="E10" s="4">
        <v>-1</v>
      </c>
      <c r="F10" s="5">
        <v>-0.5</v>
      </c>
      <c r="G10" s="5">
        <v>-2</v>
      </c>
      <c r="H10" s="1">
        <v>16</v>
      </c>
      <c r="I10" s="1">
        <v>9.81</v>
      </c>
      <c r="J10" s="3">
        <v>97.5</v>
      </c>
      <c r="K10" s="3">
        <v>6.5</v>
      </c>
      <c r="L10" s="6">
        <v>2.5999999999999998E-4</v>
      </c>
      <c r="M10" s="3">
        <v>10</v>
      </c>
      <c r="N10" s="3">
        <v>195</v>
      </c>
      <c r="O10" s="3">
        <v>1</v>
      </c>
      <c r="P10" s="3">
        <v>1</v>
      </c>
      <c r="Q10" s="3">
        <v>1</v>
      </c>
      <c r="R10" s="3">
        <v>0.3</v>
      </c>
      <c r="S10" s="3">
        <v>0.3</v>
      </c>
      <c r="T10" s="5">
        <v>8.5</v>
      </c>
      <c r="U10" s="3">
        <f>Tabel1[[#This Row],[mv]]-Tabel1[[#This Row],[top_zand]]</f>
        <v>1</v>
      </c>
      <c r="V10" s="3">
        <f>MAX(Tabel1[[#This Row],[pp]],Tabel1[[#This Row],[mv]])</f>
        <v>-0.5</v>
      </c>
      <c r="W10" s="3">
        <f>Tabel1[[#This Row],[Dcover]]*(Tabel1[[#This Row],[gamma_sat_cover]]-Tabel1[[#This Row],[gamma_w]])/Tabel1[[#This Row],[gamma_w]]</f>
        <v>0.6309887869520896</v>
      </c>
      <c r="X10" s="5">
        <f>Tabel1[[#This Row],[h]]-Tabel1[[#This Row],[h_exit]]-Tabel1[[#This Row],[rc]]*Tabel1[[#This Row],[Dcover]]</f>
        <v>8.6999999999999993</v>
      </c>
      <c r="Y10" s="3">
        <f>Tabel1[[#This Row],[kD_WVP]]/Tabel1[[#This Row],[D_zand]]</f>
        <v>15</v>
      </c>
      <c r="Z10" s="3">
        <f>Tabel1[[#This Row],[DIST_L_GEOM]]-Tabel1[[#This Row],[DIST_BUT]]</f>
        <v>116.42395039097312</v>
      </c>
      <c r="AA10" s="3">
        <f>Tabel1[[#This Row],[DIST_BUT]]-Tabel1[[#This Row],[DIST_BIT]]</f>
        <v>69.608329705652935</v>
      </c>
      <c r="AB10" s="3">
        <f>SQRT(Tabel1[[#This Row],[kD_WVP]]*Tabel1[[#This Row],[c_1]])</f>
        <v>31.22498999199199</v>
      </c>
      <c r="AC10" s="3">
        <f>SQRT(Tabel1[[#This Row],[kD_WVP]]*Tabel1[[#This Row],[c_3]])</f>
        <v>137.88582233137677</v>
      </c>
      <c r="AD10" s="3">
        <f>Tabel1[[#This Row],[Lambda_1]]*TANH(Tabel1[[#This Row],[L1]]/Tabel1[[#This Row],[Lambda_1]])</f>
        <v>31.188956705348765</v>
      </c>
      <c r="AE10" s="3">
        <f>Tabel1[[#This Row],[Lambda_3]]*TANH(Tabel1[[#This Row],[L3_geom]]/Tabel1[[#This Row],[Lambda_3]])</f>
        <v>137.88582233137672</v>
      </c>
      <c r="AF10" s="3">
        <f>Tabel1[[#This Row],[W_3]]/(Tabel1[[#This Row],[W_1]]+Tabel1[[#This Row],[L2]]+Tabel1[[#This Row],[W_3]])</f>
        <v>0.57769409430729002</v>
      </c>
      <c r="AG10" s="3">
        <f>Tabel1[[#This Row],[r_bit]]*SINH((Tabel1[[#This Row],[L3_geom]]-Tabel1[[#This Row],[DIST_BIT]])/Tabel1[[#This Row],[Lambda_3]])/SINH(Tabel1[[#This Row],[L3_geom]]/Tabel1[[#This Row],[Lambda_3]])</f>
        <v>0.34219209782126364</v>
      </c>
      <c r="AH10" s="3">
        <f>Tabel1[[#This Row],[pp]]+(Tabel1[[#This Row],[h]]-Tabel1[[#This Row],[pp]])*Tabel1[[#This Row],[r]]</f>
        <v>2.5797288803913729</v>
      </c>
      <c r="AI10" s="3">
        <f>Tabel1[[#This Row],[DIST_BUT]]+Tabel1[[#This Row],[W_1]]</f>
        <v>173.00425986477697</v>
      </c>
      <c r="AJ10" s="3">
        <f>(Tabel1[[#This Row],[pot_exit]]-Tabel1[[#This Row],[h_exit]])/Tabel1[[#This Row],[Dcover]]</f>
        <v>3.0797288803913729</v>
      </c>
      <c r="AK10" s="7">
        <f>0.00000133/9.81*(Tabel1[[#This Row],[k]]/(24*3600))</f>
        <v>2.3537490089477858E-11</v>
      </c>
      <c r="AL10" s="7">
        <f>0.25*((26-Tabel1[[#This Row],[gamma_w]])/Tabel1[[#This Row],[gamma_w]])*TAN(37*PI()/180)</f>
        <v>0.31090825869429756</v>
      </c>
      <c r="AM10" s="7">
        <f>(0.000208/POWER(Tabel1[[#This Row],[k_intr]]*Tabel1[[#This Row],[L_kwelweg]],1/3))*POWER(Tabel1[[#This Row],[D70]]/0.000208,0.4)</f>
        <v>0.14241476727105973</v>
      </c>
      <c r="AN10" s="7">
        <f>0.91*POWER(Tabel1[[#This Row],[D_zand]]/Tabel1[[#This Row],[L_kwelweg]],(0.28/(POWER(Tabel1[[#This Row],[D_zand]]/Tabel1[[#This Row],[L_kwelweg]],2.8)-1))+0.04)</f>
        <v>2.0003989499056729</v>
      </c>
      <c r="AO10" s="8">
        <f>Tabel1[[#This Row],[L_kwelweg]]*Tabel1[[#This Row],[F_resis]]*Tabel1[[#This Row],[F_scale]]*Tabel1[[#This Row],[F_geom]]</f>
        <v>15.323596147367592</v>
      </c>
      <c r="AP10" s="3">
        <f>Tabel1[[#This Row],[mu]]*Tabel1[[#This Row],[d_pot_cu]]-(Tabel1[[#This Row],[pot_exit]]-Tabel1[[#This Row],[h_exit]])</f>
        <v>-2.4487400934392833</v>
      </c>
      <c r="AQ10" s="3">
        <f>Tabel1[[#This Row],[mh]]*Tabel1[[#This Row],[i_c_h]]-Tabel1[[#This Row],[i_optredend]]</f>
        <v>-2.7797288803913731</v>
      </c>
      <c r="AR10" s="3">
        <f>Tabel1[[#This Row],[mp]]*Tabel1[[#This Row],[dHc_piping]]-Tabel1[[#This Row],[dhred]]</f>
        <v>6.6235961473675928</v>
      </c>
      <c r="AS10" s="10">
        <f>MAX(Tabel1[[#This Row],[Z_u]],Tabel1[[#This Row],[Z_h]],Tabel1[[#This Row],[Z_p]])</f>
        <v>6.6235961473675928</v>
      </c>
    </row>
    <row r="11" spans="1:45">
      <c r="A11" s="2">
        <v>150</v>
      </c>
      <c r="B11" s="1">
        <v>122.44665168230701</v>
      </c>
      <c r="C11" s="1">
        <v>52.459324104803457</v>
      </c>
      <c r="D11" s="3">
        <v>2500</v>
      </c>
      <c r="E11" s="4">
        <v>0.76708787679672241</v>
      </c>
      <c r="F11" s="5">
        <v>-0.5</v>
      </c>
      <c r="G11" s="5">
        <v>-2</v>
      </c>
      <c r="H11" s="1">
        <v>16</v>
      </c>
      <c r="I11" s="1">
        <v>9.81</v>
      </c>
      <c r="J11" s="3">
        <v>97.5</v>
      </c>
      <c r="K11" s="3">
        <v>6.5</v>
      </c>
      <c r="L11" s="6">
        <v>2.5999999999999998E-4</v>
      </c>
      <c r="M11" s="3">
        <v>10</v>
      </c>
      <c r="N11" s="3">
        <v>195</v>
      </c>
      <c r="O11" s="3">
        <v>1</v>
      </c>
      <c r="P11" s="3">
        <v>1</v>
      </c>
      <c r="Q11" s="3">
        <v>1</v>
      </c>
      <c r="R11" s="3">
        <v>0.3</v>
      </c>
      <c r="S11" s="3">
        <v>0.3</v>
      </c>
      <c r="T11" s="5">
        <v>8.5</v>
      </c>
      <c r="U11" s="3">
        <f>Tabel1[[#This Row],[mv]]-Tabel1[[#This Row],[top_zand]]</f>
        <v>2.7670878767967224</v>
      </c>
      <c r="V11" s="3">
        <f>MAX(Tabel1[[#This Row],[pp]],Tabel1[[#This Row],[mv]])</f>
        <v>0.76708787679672241</v>
      </c>
      <c r="W11" s="3">
        <f>Tabel1[[#This Row],[Dcover]]*(Tabel1[[#This Row],[gamma_sat_cover]]-Tabel1[[#This Row],[gamma_w]])/Tabel1[[#This Row],[gamma_w]]</f>
        <v>1.7460014227697971</v>
      </c>
      <c r="X11" s="5">
        <f>Tabel1[[#This Row],[h]]-Tabel1[[#This Row],[h_exit]]-Tabel1[[#This Row],[rc]]*Tabel1[[#This Row],[Dcover]]</f>
        <v>6.902785760164261</v>
      </c>
      <c r="Y11" s="3">
        <f>Tabel1[[#This Row],[kD_WVP]]/Tabel1[[#This Row],[D_zand]]</f>
        <v>15</v>
      </c>
      <c r="Z11" s="3">
        <f>Tabel1[[#This Row],[DIST_L_GEOM]]-Tabel1[[#This Row],[DIST_BUT]]</f>
        <v>27.553348317692993</v>
      </c>
      <c r="AA11" s="3">
        <f>Tabel1[[#This Row],[DIST_BUT]]-Tabel1[[#This Row],[DIST_BIT]]</f>
        <v>69.987327577503549</v>
      </c>
      <c r="AB11" s="3">
        <f>SQRT(Tabel1[[#This Row],[kD_WVP]]*Tabel1[[#This Row],[c_1]])</f>
        <v>31.22498999199199</v>
      </c>
      <c r="AC11" s="3">
        <f>SQRT(Tabel1[[#This Row],[kD_WVP]]*Tabel1[[#This Row],[c_3]])</f>
        <v>137.88582233137677</v>
      </c>
      <c r="AD11" s="3">
        <f>Tabel1[[#This Row],[Lambda_1]]*TANH(Tabel1[[#This Row],[L1]]/Tabel1[[#This Row],[Lambda_1]])</f>
        <v>22.095623675331947</v>
      </c>
      <c r="AE11" s="3">
        <f>Tabel1[[#This Row],[Lambda_3]]*TANH(Tabel1[[#This Row],[L3_geom]]/Tabel1[[#This Row],[Lambda_3]])</f>
        <v>137.88582233137672</v>
      </c>
      <c r="AF11" s="3">
        <f>Tabel1[[#This Row],[W_3]]/(Tabel1[[#This Row],[W_1]]+Tabel1[[#This Row],[L2]]+Tabel1[[#This Row],[W_3]])</f>
        <v>0.59958497922277409</v>
      </c>
      <c r="AG11" s="3">
        <f>Tabel1[[#This Row],[r_bit]]*SINH((Tabel1[[#This Row],[L3_geom]]-Tabel1[[#This Row],[DIST_BIT]])/Tabel1[[#This Row],[Lambda_3]])/SINH(Tabel1[[#This Row],[L3_geom]]/Tabel1[[#This Row],[Lambda_3]])</f>
        <v>0.40984658480319092</v>
      </c>
      <c r="AH11" s="3">
        <f>Tabel1[[#This Row],[pp]]+(Tabel1[[#This Row],[h]]-Tabel1[[#This Row],[pp]])*Tabel1[[#This Row],[r]]</f>
        <v>3.188619263228718</v>
      </c>
      <c r="AI11" s="3">
        <f>Tabel1[[#This Row],[DIST_BUT]]+Tabel1[[#This Row],[W_1]]</f>
        <v>144.54227535763894</v>
      </c>
      <c r="AJ11" s="3">
        <f>(Tabel1[[#This Row],[pot_exit]]-Tabel1[[#This Row],[h_exit]])/Tabel1[[#This Row],[Dcover]]</f>
        <v>0.87511907617305051</v>
      </c>
      <c r="AK11" s="7">
        <f>0.00000133/9.81*(Tabel1[[#This Row],[k]]/(24*3600))</f>
        <v>2.3537490089477858E-11</v>
      </c>
      <c r="AL11" s="7">
        <f>0.25*((26-Tabel1[[#This Row],[gamma_w]])/Tabel1[[#This Row],[gamma_w]])*TAN(37*PI()/180)</f>
        <v>0.31090825869429756</v>
      </c>
      <c r="AM11" s="7">
        <f>(0.000208/POWER(Tabel1[[#This Row],[k_intr]]*Tabel1[[#This Row],[L_kwelweg]],1/3))*POWER(Tabel1[[#This Row],[D70]]/0.000208,0.4)</f>
        <v>0.15120831056862452</v>
      </c>
      <c r="AN11" s="7">
        <f>0.91*POWER(Tabel1[[#This Row],[D_zand]]/Tabel1[[#This Row],[L_kwelweg]],(0.28/(POWER(Tabel1[[#This Row],[D_zand]]/Tabel1[[#This Row],[L_kwelweg]],2.8)-1))+0.04)</f>
        <v>1.9160408153349258</v>
      </c>
      <c r="AO11" s="8">
        <f>Tabel1[[#This Row],[L_kwelweg]]*Tabel1[[#This Row],[F_resis]]*Tabel1[[#This Row],[F_scale]]*Tabel1[[#This Row],[F_geom]]</f>
        <v>13.019897423512134</v>
      </c>
      <c r="AP11" s="3">
        <f>Tabel1[[#This Row],[mu]]*Tabel1[[#This Row],[d_pot_cu]]-(Tabel1[[#This Row],[pot_exit]]-Tabel1[[#This Row],[h_exit]])</f>
        <v>-0.67552996366219853</v>
      </c>
      <c r="AQ11" s="3">
        <f>Tabel1[[#This Row],[mh]]*Tabel1[[#This Row],[i_c_h]]-Tabel1[[#This Row],[i_optredend]]</f>
        <v>-0.57511907617305047</v>
      </c>
      <c r="AR11" s="3">
        <f>Tabel1[[#This Row],[mp]]*Tabel1[[#This Row],[dHc_piping]]-Tabel1[[#This Row],[dhred]]</f>
        <v>6.117111663347873</v>
      </c>
      <c r="AS11" s="10">
        <f>MAX(Tabel1[[#This Row],[Z_u]],Tabel1[[#This Row],[Z_h]],Tabel1[[#This Row],[Z_p]])</f>
        <v>6.117111663347873</v>
      </c>
    </row>
    <row r="12" spans="1:45">
      <c r="A12" s="2">
        <v>250</v>
      </c>
      <c r="B12" s="1">
        <v>228.92869908338361</v>
      </c>
      <c r="C12" s="1">
        <v>133.69022608030619</v>
      </c>
      <c r="D12" s="3">
        <v>2500</v>
      </c>
      <c r="E12" s="4">
        <v>-0.5</v>
      </c>
      <c r="F12" s="5">
        <v>0.35</v>
      </c>
      <c r="G12" s="5">
        <v>-1</v>
      </c>
      <c r="H12" s="1">
        <v>16.5</v>
      </c>
      <c r="I12" s="1">
        <v>9.81</v>
      </c>
      <c r="J12" s="3">
        <v>90</v>
      </c>
      <c r="K12" s="3">
        <v>6</v>
      </c>
      <c r="L12" s="6">
        <v>2.7999999999999998E-4</v>
      </c>
      <c r="M12" s="3">
        <v>10</v>
      </c>
      <c r="N12" s="3">
        <v>115</v>
      </c>
      <c r="O12" s="3">
        <v>1</v>
      </c>
      <c r="P12" s="3">
        <v>1</v>
      </c>
      <c r="Q12" s="3">
        <v>1</v>
      </c>
      <c r="R12" s="3">
        <v>0.3</v>
      </c>
      <c r="S12" s="3">
        <v>0.3</v>
      </c>
      <c r="T12" s="5">
        <v>9.4</v>
      </c>
      <c r="U12" s="3">
        <f>Tabel1[[#This Row],[mv]]-Tabel1[[#This Row],[top_zand]]</f>
        <v>0.5</v>
      </c>
      <c r="V12" s="3">
        <f>MAX(Tabel1[[#This Row],[pp]],Tabel1[[#This Row],[mv]])</f>
        <v>0.35</v>
      </c>
      <c r="W12" s="3">
        <f>Tabel1[[#This Row],[Dcover]]*(Tabel1[[#This Row],[gamma_sat_cover]]-Tabel1[[#This Row],[gamma_w]])/Tabel1[[#This Row],[gamma_w]]</f>
        <v>0.34097859327217123</v>
      </c>
      <c r="X12" s="5">
        <f>Tabel1[[#This Row],[h]]-Tabel1[[#This Row],[h_exit]]-Tabel1[[#This Row],[rc]]*Tabel1[[#This Row],[Dcover]]</f>
        <v>8.9</v>
      </c>
      <c r="Y12" s="3">
        <f>Tabel1[[#This Row],[kD_WVP]]/Tabel1[[#This Row],[D_zand]]</f>
        <v>15</v>
      </c>
      <c r="Z12" s="3">
        <f>Tabel1[[#This Row],[DIST_L_GEOM]]-Tabel1[[#This Row],[DIST_BUT]]</f>
        <v>21.071300916616394</v>
      </c>
      <c r="AA12" s="3">
        <f>Tabel1[[#This Row],[DIST_BUT]]-Tabel1[[#This Row],[DIST_BIT]]</f>
        <v>95.238473003077416</v>
      </c>
      <c r="AB12" s="3">
        <f>SQRT(Tabel1[[#This Row],[kD_WVP]]*Tabel1[[#This Row],[c_1]])</f>
        <v>30</v>
      </c>
      <c r="AC12" s="3">
        <f>SQRT(Tabel1[[#This Row],[kD_WVP]]*Tabel1[[#This Row],[c_3]])</f>
        <v>101.73494974687902</v>
      </c>
      <c r="AD12" s="3">
        <f>Tabel1[[#This Row],[Lambda_1]]*TANH(Tabel1[[#This Row],[L1]]/Tabel1[[#This Row],[Lambda_1]])</f>
        <v>18.176225828507462</v>
      </c>
      <c r="AE12" s="3">
        <f>Tabel1[[#This Row],[Lambda_3]]*TANH(Tabel1[[#This Row],[L3_geom]]/Tabel1[[#This Row],[Lambda_3]])</f>
        <v>101.73494974687902</v>
      </c>
      <c r="AF12" s="3">
        <f>Tabel1[[#This Row],[W_3]]/(Tabel1[[#This Row],[W_1]]+Tabel1[[#This Row],[L2]]+Tabel1[[#This Row],[W_3]])</f>
        <v>0.47285668565606259</v>
      </c>
      <c r="AG12" s="3">
        <f>Tabel1[[#This Row],[r_bit]]*SINH((Tabel1[[#This Row],[L3_geom]]-Tabel1[[#This Row],[DIST_BIT]])/Tabel1[[#This Row],[Lambda_3]])/SINH(Tabel1[[#This Row],[L3_geom]]/Tabel1[[#This Row],[Lambda_3]])</f>
        <v>0.12706377455739609</v>
      </c>
      <c r="AH12" s="3">
        <f>Tabel1[[#This Row],[pp]]+(Tabel1[[#This Row],[h]]-Tabel1[[#This Row],[pp]])*Tabel1[[#This Row],[r]]</f>
        <v>1.4999271597444346</v>
      </c>
      <c r="AI12" s="3">
        <f>Tabel1[[#This Row],[DIST_BUT]]+Tabel1[[#This Row],[W_1]]</f>
        <v>247.10492491189106</v>
      </c>
      <c r="AJ12" s="3">
        <f>(Tabel1[[#This Row],[pot_exit]]-Tabel1[[#This Row],[h_exit]])/Tabel1[[#This Row],[Dcover]]</f>
        <v>2.299854319488869</v>
      </c>
      <c r="AK12" s="7">
        <f>0.00000133/9.81*(Tabel1[[#This Row],[k]]/(24*3600))</f>
        <v>2.3537490089477858E-11</v>
      </c>
      <c r="AL12" s="7">
        <f>0.25*((26-Tabel1[[#This Row],[gamma_w]])/Tabel1[[#This Row],[gamma_w]])*TAN(37*PI()/180)</f>
        <v>0.31090825869429756</v>
      </c>
      <c r="AM12" s="7">
        <f>(0.000208/POWER(Tabel1[[#This Row],[k_intr]]*Tabel1[[#This Row],[L_kwelweg]],1/3))*POWER(Tabel1[[#This Row],[D70]]/0.000208,0.4)</f>
        <v>0.13026288617330295</v>
      </c>
      <c r="AN12" s="7">
        <f>0.91*POWER(Tabel1[[#This Row],[D_zand]]/Tabel1[[#This Row],[L_kwelweg]],(0.28/(POWER(Tabel1[[#This Row],[D_zand]]/Tabel1[[#This Row],[L_kwelweg]],2.8)-1))+0.04)</f>
        <v>2.2212131902979033</v>
      </c>
      <c r="AO12" s="8">
        <f>Tabel1[[#This Row],[L_kwelweg]]*Tabel1[[#This Row],[F_resis]]*Tabel1[[#This Row],[F_scale]]*Tabel1[[#This Row],[F_geom]]</f>
        <v>22.229239232763195</v>
      </c>
      <c r="AP12" s="3">
        <f>Tabel1[[#This Row],[mu]]*Tabel1[[#This Row],[d_pot_cu]]-(Tabel1[[#This Row],[pot_exit]]-Tabel1[[#This Row],[h_exit]])</f>
        <v>-0.80894856647226332</v>
      </c>
      <c r="AQ12" s="3">
        <f>Tabel1[[#This Row],[mh]]*Tabel1[[#This Row],[i_c_h]]-Tabel1[[#This Row],[i_optredend]]</f>
        <v>-1.9998543194888689</v>
      </c>
      <c r="AR12" s="3">
        <f>Tabel1[[#This Row],[mp]]*Tabel1[[#This Row],[dHc_piping]]-Tabel1[[#This Row],[dhred]]</f>
        <v>13.329239232763195</v>
      </c>
      <c r="AS12" s="10">
        <f>MAX(Tabel1[[#This Row],[Z_u]],Tabel1[[#This Row],[Z_h]],Tabel1[[#This Row],[Z_p]])</f>
        <v>13.329239232763195</v>
      </c>
    </row>
    <row r="13" spans="1:45">
      <c r="A13" s="2">
        <v>200</v>
      </c>
      <c r="B13" s="1">
        <v>114.940110239167</v>
      </c>
      <c r="C13" s="1">
        <v>20.463714348099209</v>
      </c>
      <c r="D13" s="3">
        <v>2500</v>
      </c>
      <c r="E13" s="4">
        <v>2.4669041633605961</v>
      </c>
      <c r="F13" s="5">
        <v>0.35</v>
      </c>
      <c r="G13" s="5">
        <v>-1</v>
      </c>
      <c r="H13" s="1">
        <v>16.5</v>
      </c>
      <c r="I13" s="1">
        <v>9.81</v>
      </c>
      <c r="J13" s="3">
        <v>90</v>
      </c>
      <c r="K13" s="3">
        <v>6</v>
      </c>
      <c r="L13" s="6">
        <v>2.7999999999999998E-4</v>
      </c>
      <c r="M13" s="3">
        <v>10</v>
      </c>
      <c r="N13" s="3">
        <v>115</v>
      </c>
      <c r="O13" s="3">
        <v>1</v>
      </c>
      <c r="P13" s="3">
        <v>1</v>
      </c>
      <c r="Q13" s="3">
        <v>1</v>
      </c>
      <c r="R13" s="3">
        <v>0.3</v>
      </c>
      <c r="S13" s="3">
        <v>0.3</v>
      </c>
      <c r="T13" s="5">
        <v>8.0399999999999991</v>
      </c>
      <c r="U13" s="3">
        <f>Tabel1[[#This Row],[mv]]-Tabel1[[#This Row],[top_zand]]</f>
        <v>3.4669041633605961</v>
      </c>
      <c r="V13" s="3">
        <f>MAX(Tabel1[[#This Row],[pp]],Tabel1[[#This Row],[mv]])</f>
        <v>2.4669041633605961</v>
      </c>
      <c r="W13" s="3">
        <f>Tabel1[[#This Row],[Dcover]]*(Tabel1[[#This Row],[gamma_sat_cover]]-Tabel1[[#This Row],[gamma_w]])/Tabel1[[#This Row],[gamma_w]]</f>
        <v>2.3642802092642592</v>
      </c>
      <c r="X13" s="5">
        <f>Tabel1[[#This Row],[h]]-Tabel1[[#This Row],[h_exit]]-Tabel1[[#This Row],[rc]]*Tabel1[[#This Row],[Dcover]]</f>
        <v>4.5330245876312247</v>
      </c>
      <c r="Y13" s="3">
        <f>Tabel1[[#This Row],[kD_WVP]]/Tabel1[[#This Row],[D_zand]]</f>
        <v>15</v>
      </c>
      <c r="Z13" s="3">
        <f>Tabel1[[#This Row],[DIST_L_GEOM]]-Tabel1[[#This Row],[DIST_BUT]]</f>
        <v>85.059889760833002</v>
      </c>
      <c r="AA13" s="3">
        <f>Tabel1[[#This Row],[DIST_BUT]]-Tabel1[[#This Row],[DIST_BIT]]</f>
        <v>94.476395891067796</v>
      </c>
      <c r="AB13" s="3">
        <f>SQRT(Tabel1[[#This Row],[kD_WVP]]*Tabel1[[#This Row],[c_1]])</f>
        <v>30</v>
      </c>
      <c r="AC13" s="3">
        <f>SQRT(Tabel1[[#This Row],[kD_WVP]]*Tabel1[[#This Row],[c_3]])</f>
        <v>101.73494974687902</v>
      </c>
      <c r="AD13" s="3">
        <f>Tabel1[[#This Row],[Lambda_1]]*TANH(Tabel1[[#This Row],[L1]]/Tabel1[[#This Row],[Lambda_1]])</f>
        <v>29.793974313352017</v>
      </c>
      <c r="AE13" s="3">
        <f>Tabel1[[#This Row],[Lambda_3]]*TANH(Tabel1[[#This Row],[L3_geom]]/Tabel1[[#This Row],[Lambda_3]])</f>
        <v>101.73494974687902</v>
      </c>
      <c r="AF13" s="3">
        <f>Tabel1[[#This Row],[W_3]]/(Tabel1[[#This Row],[W_1]]+Tabel1[[#This Row],[L2]]+Tabel1[[#This Row],[W_3]])</f>
        <v>0.45014404868346275</v>
      </c>
      <c r="AG13" s="3">
        <f>Tabel1[[#This Row],[r_bit]]*SINH((Tabel1[[#This Row],[L3_geom]]-Tabel1[[#This Row],[DIST_BIT]])/Tabel1[[#This Row],[Lambda_3]])/SINH(Tabel1[[#This Row],[L3_geom]]/Tabel1[[#This Row],[Lambda_3]])</f>
        <v>0.36812417064293468</v>
      </c>
      <c r="AH13" s="3">
        <f>Tabel1[[#This Row],[pp]]+(Tabel1[[#This Row],[h]]-Tabel1[[#This Row],[pp]])*Tabel1[[#This Row],[r]]</f>
        <v>3.1808748722441678</v>
      </c>
      <c r="AI13" s="3">
        <f>Tabel1[[#This Row],[DIST_BUT]]+Tabel1[[#This Row],[W_1]]</f>
        <v>144.73408455251902</v>
      </c>
      <c r="AJ13" s="3">
        <f>(Tabel1[[#This Row],[pot_exit]]-Tabel1[[#This Row],[h_exit]])/Tabel1[[#This Row],[Dcover]]</f>
        <v>0.2059389804970824</v>
      </c>
      <c r="AK13" s="7">
        <f>0.00000133/9.81*(Tabel1[[#This Row],[k]]/(24*3600))</f>
        <v>2.3537490089477858E-11</v>
      </c>
      <c r="AL13" s="7">
        <f>0.25*((26-Tabel1[[#This Row],[gamma_w]])/Tabel1[[#This Row],[gamma_w]])*TAN(37*PI()/180)</f>
        <v>0.31090825869429756</v>
      </c>
      <c r="AM13" s="7">
        <f>(0.000208/POWER(Tabel1[[#This Row],[k_intr]]*Tabel1[[#This Row],[L_kwelweg]],1/3))*POWER(Tabel1[[#This Row],[D70]]/0.000208,0.4)</f>
        <v>0.15568886668897616</v>
      </c>
      <c r="AN13" s="7">
        <f>0.91*POWER(Tabel1[[#This Row],[D_zand]]/Tabel1[[#This Row],[L_kwelweg]],(0.28/(POWER(Tabel1[[#This Row],[D_zand]]/Tabel1[[#This Row],[L_kwelweg]],2.8)-1))+0.04)</f>
        <v>1.9537735143414083</v>
      </c>
      <c r="AO13" s="8">
        <f>Tabel1[[#This Row],[L_kwelweg]]*Tabel1[[#This Row],[F_resis]]*Tabel1[[#This Row],[F_scale]]*Tabel1[[#This Row],[F_geom]]</f>
        <v>13.687837862282208</v>
      </c>
      <c r="AP13" s="3">
        <f>Tabel1[[#This Row],[mu]]*Tabel1[[#This Row],[d_pot_cu]]-(Tabel1[[#This Row],[pot_exit]]-Tabel1[[#This Row],[h_exit]])</f>
        <v>1.6503095003806876</v>
      </c>
      <c r="AQ13" s="3">
        <f>Tabel1[[#This Row],[mh]]*Tabel1[[#This Row],[i_c_h]]-Tabel1[[#This Row],[i_optredend]]</f>
        <v>9.4061019502917592E-2</v>
      </c>
      <c r="AR13" s="3">
        <f>Tabel1[[#This Row],[mp]]*Tabel1[[#This Row],[dHc_piping]]-Tabel1[[#This Row],[dhred]]</f>
        <v>9.1548132746509836</v>
      </c>
      <c r="AS13" s="10">
        <f>MAX(Tabel1[[#This Row],[Z_u]],Tabel1[[#This Row],[Z_h]],Tabel1[[#This Row],[Z_p]])</f>
        <v>9.1548132746509836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B23C-4256-4BDA-8755-8542ACC06961}">
  <dimension ref="A1:E46"/>
  <sheetViews>
    <sheetView topLeftCell="E2" workbookViewId="0">
      <selection activeCell="E22" sqref="E22"/>
    </sheetView>
  </sheetViews>
  <sheetFormatPr defaultRowHeight="13.5"/>
  <cols>
    <col min="1" max="1" width="2.6875" bestFit="1" customWidth="1"/>
    <col min="2" max="2" width="15.6875" bestFit="1" customWidth="1"/>
    <col min="3" max="3" width="5.6875" bestFit="1" customWidth="1"/>
    <col min="4" max="4" width="15.6875" bestFit="1" customWidth="1"/>
  </cols>
  <sheetData>
    <row r="1" spans="1:4">
      <c r="A1" t="s">
        <v>55</v>
      </c>
      <c r="B1" t="s">
        <v>56</v>
      </c>
      <c r="C1" t="s">
        <v>57</v>
      </c>
      <c r="D1" t="s">
        <v>58</v>
      </c>
    </row>
    <row r="2" spans="1:4">
      <c r="A2">
        <v>0</v>
      </c>
      <c r="B2" t="s">
        <v>45</v>
      </c>
      <c r="C2" t="s">
        <v>48</v>
      </c>
      <c r="D2" t="s">
        <v>0</v>
      </c>
    </row>
    <row r="3" spans="1:4">
      <c r="A3">
        <v>1</v>
      </c>
      <c r="B3" t="s">
        <v>46</v>
      </c>
      <c r="C3" t="s">
        <v>48</v>
      </c>
      <c r="D3" t="s">
        <v>1</v>
      </c>
    </row>
    <row r="4" spans="1:4">
      <c r="A4">
        <v>2</v>
      </c>
      <c r="B4" t="s">
        <v>47</v>
      </c>
      <c r="C4" t="s">
        <v>48</v>
      </c>
      <c r="D4" t="s">
        <v>2</v>
      </c>
    </row>
    <row r="5" spans="1:4">
      <c r="A5">
        <v>3</v>
      </c>
      <c r="B5" t="s">
        <v>3</v>
      </c>
      <c r="C5" t="s">
        <v>48</v>
      </c>
      <c r="D5" t="s">
        <v>3</v>
      </c>
    </row>
    <row r="6" spans="1:4">
      <c r="A6">
        <v>4</v>
      </c>
      <c r="B6" t="s">
        <v>4</v>
      </c>
      <c r="C6" t="s">
        <v>48</v>
      </c>
      <c r="D6" t="s">
        <v>4</v>
      </c>
    </row>
    <row r="7" spans="1:4">
      <c r="A7">
        <v>5</v>
      </c>
      <c r="B7" t="s">
        <v>5</v>
      </c>
      <c r="C7" t="s">
        <v>48</v>
      </c>
      <c r="D7" t="s">
        <v>5</v>
      </c>
    </row>
    <row r="8" spans="1:4">
      <c r="A8">
        <v>6</v>
      </c>
      <c r="B8" t="s">
        <v>6</v>
      </c>
      <c r="C8" t="s">
        <v>48</v>
      </c>
      <c r="D8" t="s">
        <v>6</v>
      </c>
    </row>
    <row r="9" spans="1:4">
      <c r="A9">
        <v>7</v>
      </c>
      <c r="B9" t="s">
        <v>7</v>
      </c>
      <c r="C9" t="s">
        <v>48</v>
      </c>
      <c r="D9" t="s">
        <v>7</v>
      </c>
    </row>
    <row r="10" spans="1:4">
      <c r="A10">
        <v>8</v>
      </c>
      <c r="B10" t="s">
        <v>8</v>
      </c>
      <c r="C10" t="s">
        <v>48</v>
      </c>
      <c r="D10" t="s">
        <v>8</v>
      </c>
    </row>
    <row r="11" spans="1:4">
      <c r="A11">
        <v>9</v>
      </c>
      <c r="B11" t="s">
        <v>49</v>
      </c>
      <c r="C11" t="s">
        <v>48</v>
      </c>
      <c r="D11" t="s">
        <v>9</v>
      </c>
    </row>
    <row r="12" spans="1:4">
      <c r="A12">
        <v>10</v>
      </c>
      <c r="B12" t="s">
        <v>50</v>
      </c>
      <c r="C12" t="s">
        <v>48</v>
      </c>
      <c r="D12" t="s">
        <v>43</v>
      </c>
    </row>
    <row r="13" spans="1:4">
      <c r="A13">
        <v>11</v>
      </c>
      <c r="B13" t="s">
        <v>10</v>
      </c>
      <c r="C13" t="s">
        <v>48</v>
      </c>
      <c r="D13" t="s">
        <v>10</v>
      </c>
    </row>
    <row r="14" spans="1:4">
      <c r="A14">
        <v>12</v>
      </c>
      <c r="B14" t="s">
        <v>11</v>
      </c>
      <c r="C14" t="s">
        <v>48</v>
      </c>
      <c r="D14" t="s">
        <v>11</v>
      </c>
    </row>
    <row r="15" spans="1:4">
      <c r="A15">
        <v>13</v>
      </c>
      <c r="B15" t="s">
        <v>12</v>
      </c>
      <c r="C15" t="s">
        <v>48</v>
      </c>
      <c r="D15" t="s">
        <v>12</v>
      </c>
    </row>
    <row r="16" spans="1:4">
      <c r="A16">
        <v>14</v>
      </c>
      <c r="B16" t="s">
        <v>14</v>
      </c>
      <c r="C16" t="s">
        <v>48</v>
      </c>
      <c r="D16" t="s">
        <v>14</v>
      </c>
    </row>
    <row r="17" spans="1:5">
      <c r="A17">
        <v>15</v>
      </c>
      <c r="B17" t="s">
        <v>15</v>
      </c>
      <c r="C17" t="s">
        <v>48</v>
      </c>
      <c r="D17" t="s">
        <v>15</v>
      </c>
    </row>
    <row r="18" spans="1:5">
      <c r="A18">
        <v>16</v>
      </c>
      <c r="B18" t="s">
        <v>13</v>
      </c>
      <c r="C18" t="s">
        <v>48</v>
      </c>
      <c r="D18" t="s">
        <v>13</v>
      </c>
    </row>
    <row r="19" spans="1:5">
      <c r="A19">
        <v>17</v>
      </c>
      <c r="B19" t="s">
        <v>16</v>
      </c>
      <c r="C19" t="s">
        <v>48</v>
      </c>
      <c r="D19" t="s">
        <v>16</v>
      </c>
    </row>
    <row r="20" spans="1:5">
      <c r="A20">
        <v>18</v>
      </c>
      <c r="B20" t="s">
        <v>17</v>
      </c>
      <c r="C20" t="s">
        <v>48</v>
      </c>
      <c r="D20" t="s">
        <v>17</v>
      </c>
    </row>
    <row r="21" spans="1:5">
      <c r="A21">
        <v>19</v>
      </c>
      <c r="B21" t="s">
        <v>18</v>
      </c>
      <c r="C21" t="s">
        <v>48</v>
      </c>
      <c r="D21" t="s">
        <v>18</v>
      </c>
    </row>
    <row r="22" spans="1:5">
      <c r="A22">
        <v>20</v>
      </c>
      <c r="B22" t="s">
        <v>19</v>
      </c>
      <c r="C22" t="s">
        <v>51</v>
      </c>
      <c r="D22" t="s">
        <v>19</v>
      </c>
      <c r="E22">
        <v>0</v>
      </c>
    </row>
    <row r="23" spans="1:5">
      <c r="A23">
        <v>21</v>
      </c>
      <c r="B23" t="s">
        <v>21</v>
      </c>
      <c r="C23" t="s">
        <v>51</v>
      </c>
      <c r="D23" t="s">
        <v>21</v>
      </c>
      <c r="E23">
        <v>1</v>
      </c>
    </row>
    <row r="24" spans="1:5">
      <c r="A24">
        <v>22</v>
      </c>
      <c r="B24" t="s">
        <v>52</v>
      </c>
      <c r="C24" t="s">
        <v>51</v>
      </c>
      <c r="D24" t="s">
        <v>36</v>
      </c>
      <c r="E24">
        <v>2</v>
      </c>
    </row>
    <row r="25" spans="1:5">
      <c r="A25">
        <v>23</v>
      </c>
      <c r="B25" t="s">
        <v>20</v>
      </c>
      <c r="C25" t="s">
        <v>51</v>
      </c>
      <c r="D25" t="s">
        <v>20</v>
      </c>
      <c r="E25">
        <v>3</v>
      </c>
    </row>
    <row r="26" spans="1:5">
      <c r="A26">
        <v>24</v>
      </c>
      <c r="B26" t="s">
        <v>22</v>
      </c>
      <c r="C26" t="s">
        <v>51</v>
      </c>
      <c r="D26" t="s">
        <v>22</v>
      </c>
      <c r="E26">
        <v>4</v>
      </c>
    </row>
    <row r="27" spans="1:5">
      <c r="A27">
        <v>25</v>
      </c>
      <c r="D27" t="s">
        <v>30</v>
      </c>
    </row>
    <row r="28" spans="1:5">
      <c r="A28">
        <v>26</v>
      </c>
      <c r="D28" t="s">
        <v>31</v>
      </c>
    </row>
    <row r="29" spans="1:5">
      <c r="A29">
        <v>27</v>
      </c>
      <c r="D29" t="s">
        <v>32</v>
      </c>
    </row>
    <row r="30" spans="1:5">
      <c r="A30">
        <v>28</v>
      </c>
      <c r="D30" t="s">
        <v>33</v>
      </c>
    </row>
    <row r="31" spans="1:5">
      <c r="A31">
        <v>29</v>
      </c>
      <c r="D31" t="s">
        <v>34</v>
      </c>
    </row>
    <row r="32" spans="1:5">
      <c r="A32">
        <v>30</v>
      </c>
      <c r="D32" t="s">
        <v>35</v>
      </c>
    </row>
    <row r="33" spans="1:5">
      <c r="A33">
        <v>31</v>
      </c>
      <c r="D33" t="s">
        <v>37</v>
      </c>
    </row>
    <row r="34" spans="1:5">
      <c r="A34">
        <v>32</v>
      </c>
      <c r="B34" t="s">
        <v>53</v>
      </c>
      <c r="C34" t="s">
        <v>51</v>
      </c>
      <c r="D34" t="s">
        <v>23</v>
      </c>
      <c r="E34">
        <v>5</v>
      </c>
    </row>
    <row r="35" spans="1:5">
      <c r="A35">
        <v>33</v>
      </c>
      <c r="B35" t="s">
        <v>24</v>
      </c>
      <c r="C35" t="s">
        <v>51</v>
      </c>
      <c r="D35" t="s">
        <v>24</v>
      </c>
      <c r="E35">
        <v>6</v>
      </c>
    </row>
    <row r="36" spans="1:5">
      <c r="A36">
        <v>34</v>
      </c>
      <c r="B36" t="s">
        <v>25</v>
      </c>
      <c r="C36" t="s">
        <v>51</v>
      </c>
      <c r="D36" t="s">
        <v>25</v>
      </c>
      <c r="E36">
        <v>7</v>
      </c>
    </row>
    <row r="37" spans="1:5">
      <c r="A37">
        <v>35</v>
      </c>
      <c r="B37" t="s">
        <v>26</v>
      </c>
      <c r="C37" t="s">
        <v>51</v>
      </c>
      <c r="D37" t="s">
        <v>26</v>
      </c>
      <c r="E37">
        <v>8</v>
      </c>
    </row>
    <row r="38" spans="1:5">
      <c r="A38">
        <v>36</v>
      </c>
      <c r="D38" t="s">
        <v>38</v>
      </c>
    </row>
    <row r="39" spans="1:5">
      <c r="A39">
        <v>37</v>
      </c>
      <c r="D39" t="s">
        <v>39</v>
      </c>
    </row>
    <row r="40" spans="1:5">
      <c r="A40">
        <v>38</v>
      </c>
      <c r="D40" t="s">
        <v>40</v>
      </c>
    </row>
    <row r="41" spans="1:5">
      <c r="A41">
        <v>39</v>
      </c>
      <c r="D41" t="s">
        <v>41</v>
      </c>
    </row>
    <row r="42" spans="1:5">
      <c r="A42">
        <v>40</v>
      </c>
      <c r="B42" t="s">
        <v>54</v>
      </c>
      <c r="C42" t="s">
        <v>51</v>
      </c>
      <c r="D42" t="s">
        <v>42</v>
      </c>
      <c r="E42">
        <v>9</v>
      </c>
    </row>
    <row r="43" spans="1:5">
      <c r="A43">
        <v>41</v>
      </c>
      <c r="B43" t="s">
        <v>27</v>
      </c>
      <c r="C43" t="s">
        <v>51</v>
      </c>
      <c r="D43" t="s">
        <v>27</v>
      </c>
      <c r="E43">
        <v>10</v>
      </c>
    </row>
    <row r="44" spans="1:5">
      <c r="A44">
        <v>42</v>
      </c>
      <c r="B44" t="s">
        <v>28</v>
      </c>
      <c r="C44" t="s">
        <v>51</v>
      </c>
      <c r="D44" t="s">
        <v>28</v>
      </c>
      <c r="E44">
        <v>11</v>
      </c>
    </row>
    <row r="45" spans="1:5">
      <c r="A45">
        <v>43</v>
      </c>
      <c r="B45" t="s">
        <v>29</v>
      </c>
      <c r="C45" t="s">
        <v>51</v>
      </c>
      <c r="D45" t="s">
        <v>29</v>
      </c>
      <c r="E45">
        <v>12</v>
      </c>
    </row>
    <row r="46" spans="1:5">
      <c r="A46">
        <v>44</v>
      </c>
      <c r="B46" t="s">
        <v>44</v>
      </c>
      <c r="C46" t="s">
        <v>51</v>
      </c>
      <c r="D46" t="s">
        <v>44</v>
      </c>
      <c r="E4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Kolommen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Kapinga</dc:creator>
  <cp:lastModifiedBy>Sander Kapinga</cp:lastModifiedBy>
  <dcterms:created xsi:type="dcterms:W3CDTF">2025-01-06T07:37:14Z</dcterms:created>
  <dcterms:modified xsi:type="dcterms:W3CDTF">2025-01-07T18:46:58Z</dcterms:modified>
</cp:coreProperties>
</file>