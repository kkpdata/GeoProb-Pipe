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tests/testset/"/>
    </mc:Choice>
  </mc:AlternateContent>
  <xr:revisionPtr revIDLastSave="187" documentId="11_D709BDC6D67AC1AB68F334F2FD2633F9D67FD393" xr6:coauthVersionLast="47" xr6:coauthVersionMax="47" xr10:uidLastSave="{EA605F6C-0260-42DC-B934-B1F386A9CD4D}"/>
  <bookViews>
    <workbookView xWindow="-120" yWindow="-120" windowWidth="29040" windowHeight="15720" tabRatio="500" xr2:uid="{00000000-000D-0000-FFFF-FFFF00000000}"/>
  </bookViews>
  <sheets>
    <sheet name="Blad1" sheetId="1" r:id="rId1"/>
    <sheet name="Kolom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4" i="1" l="1"/>
  <c r="Z14" i="1"/>
  <c r="AB14" i="1" s="1"/>
  <c r="AA14" i="1"/>
  <c r="AC14" i="1"/>
  <c r="AD14" i="1"/>
  <c r="AE14" i="1"/>
  <c r="AF14" i="1"/>
  <c r="AH14" i="1" s="1"/>
  <c r="AM14" i="1" s="1"/>
  <c r="AG14" i="1"/>
  <c r="AI14" i="1"/>
  <c r="AJ14" i="1" s="1"/>
  <c r="AK14" i="1" s="1"/>
  <c r="AL14" i="1" s="1"/>
  <c r="AN14" i="1" s="1"/>
  <c r="BA14" i="1" s="1"/>
  <c r="AU14" i="1"/>
  <c r="AV14" i="1"/>
  <c r="AW3" i="1"/>
  <c r="AW4" i="1"/>
  <c r="AW5" i="1"/>
  <c r="AW6" i="1"/>
  <c r="AW7" i="1"/>
  <c r="AW8" i="1"/>
  <c r="AW9" i="1"/>
  <c r="AW10" i="1"/>
  <c r="AW11" i="1"/>
  <c r="AW12" i="1"/>
  <c r="AW13" i="1"/>
  <c r="AW2" i="1"/>
  <c r="AV2" i="1"/>
  <c r="AV3" i="1"/>
  <c r="AV4" i="1"/>
  <c r="AV5" i="1"/>
  <c r="AV6" i="1"/>
  <c r="AV7" i="1"/>
  <c r="AV8" i="1"/>
  <c r="AV9" i="1"/>
  <c r="AV10" i="1"/>
  <c r="AV11" i="1"/>
  <c r="AV12" i="1"/>
  <c r="AV13" i="1"/>
  <c r="AU2" i="1"/>
  <c r="AU3" i="1"/>
  <c r="AU4" i="1"/>
  <c r="AU5" i="1"/>
  <c r="AU6" i="1"/>
  <c r="AU7" i="1"/>
  <c r="AU8" i="1"/>
  <c r="AU9" i="1"/>
  <c r="AU10" i="1"/>
  <c r="AU11" i="1"/>
  <c r="AU12" i="1"/>
  <c r="AU13" i="1"/>
  <c r="AG13" i="1"/>
  <c r="AI13" i="1" s="1"/>
  <c r="AF13" i="1"/>
  <c r="AE13" i="1"/>
  <c r="AD13" i="1"/>
  <c r="AH13" i="1" s="1"/>
  <c r="AM13" i="1" s="1"/>
  <c r="AC13" i="1"/>
  <c r="Z13" i="1"/>
  <c r="Y13" i="1"/>
  <c r="AA13" i="1" s="1"/>
  <c r="AG12" i="1"/>
  <c r="AI12" i="1" s="1"/>
  <c r="AF12" i="1"/>
  <c r="AE12" i="1"/>
  <c r="AD12" i="1"/>
  <c r="AC12" i="1"/>
  <c r="Z12" i="1"/>
  <c r="Y12" i="1"/>
  <c r="AA12" i="1" s="1"/>
  <c r="AG11" i="1"/>
  <c r="AI11" i="1" s="1"/>
  <c r="AF11" i="1"/>
  <c r="AE11" i="1"/>
  <c r="AD11" i="1"/>
  <c r="AC11" i="1"/>
  <c r="Z11" i="1"/>
  <c r="Y11" i="1"/>
  <c r="AA11" i="1" s="1"/>
  <c r="AG10" i="1"/>
  <c r="AI10" i="1" s="1"/>
  <c r="AF10" i="1"/>
  <c r="AE10" i="1"/>
  <c r="AD10" i="1"/>
  <c r="AC10" i="1"/>
  <c r="Z10" i="1"/>
  <c r="Y10" i="1"/>
  <c r="AG9" i="1"/>
  <c r="AI9" i="1" s="1"/>
  <c r="AF9" i="1"/>
  <c r="AE9" i="1"/>
  <c r="AD9" i="1"/>
  <c r="AC9" i="1"/>
  <c r="Z9" i="1"/>
  <c r="Y9" i="1"/>
  <c r="AA9" i="1" s="1"/>
  <c r="AG8" i="1"/>
  <c r="AI8" i="1" s="1"/>
  <c r="AF8" i="1"/>
  <c r="AE8" i="1"/>
  <c r="AD8" i="1"/>
  <c r="AC8" i="1"/>
  <c r="Z8" i="1"/>
  <c r="Y8" i="1"/>
  <c r="AA8" i="1" s="1"/>
  <c r="AG7" i="1"/>
  <c r="AI7" i="1" s="1"/>
  <c r="AF7" i="1"/>
  <c r="AE7" i="1"/>
  <c r="AD7" i="1"/>
  <c r="AC7" i="1"/>
  <c r="Z7" i="1"/>
  <c r="Y7" i="1"/>
  <c r="AA7" i="1" s="1"/>
  <c r="AG6" i="1"/>
  <c r="AI6" i="1" s="1"/>
  <c r="AF6" i="1"/>
  <c r="AE6" i="1"/>
  <c r="AD6" i="1"/>
  <c r="AC6" i="1"/>
  <c r="Z6" i="1"/>
  <c r="Y6" i="1"/>
  <c r="AA6" i="1" s="1"/>
  <c r="AG5" i="1"/>
  <c r="AI5" i="1" s="1"/>
  <c r="AF5" i="1"/>
  <c r="AE5" i="1"/>
  <c r="AD5" i="1"/>
  <c r="AC5" i="1"/>
  <c r="Z5" i="1"/>
  <c r="Y5" i="1"/>
  <c r="AA5" i="1" s="1"/>
  <c r="AG4" i="1"/>
  <c r="AI4" i="1" s="1"/>
  <c r="AF4" i="1"/>
  <c r="AE4" i="1"/>
  <c r="AD4" i="1"/>
  <c r="AC4" i="1"/>
  <c r="Z4" i="1"/>
  <c r="Y4" i="1"/>
  <c r="AA4" i="1" s="1"/>
  <c r="AG3" i="1"/>
  <c r="AI3" i="1" s="1"/>
  <c r="AF3" i="1"/>
  <c r="AE3" i="1"/>
  <c r="AD3" i="1"/>
  <c r="AC3" i="1"/>
  <c r="Z3" i="1"/>
  <c r="Y3" i="1"/>
  <c r="AA3" i="1" s="1"/>
  <c r="AG2" i="1"/>
  <c r="AI2" i="1" s="1"/>
  <c r="AF2" i="1"/>
  <c r="AE2" i="1"/>
  <c r="AD2" i="1"/>
  <c r="AC2" i="1"/>
  <c r="Z2" i="1"/>
  <c r="Y2" i="1"/>
  <c r="AA2" i="1" s="1"/>
  <c r="AW14" i="1" l="1"/>
  <c r="AX14" i="1"/>
  <c r="AY14" i="1"/>
  <c r="BB14" i="1" s="1"/>
  <c r="AZ14" i="1"/>
  <c r="BC14" i="1" s="1"/>
  <c r="AB7" i="1"/>
  <c r="AH8" i="1"/>
  <c r="AM8" i="1" s="1"/>
  <c r="AX8" i="1" s="1"/>
  <c r="AH11" i="1"/>
  <c r="AM11" i="1" s="1"/>
  <c r="AB6" i="1"/>
  <c r="AH7" i="1"/>
  <c r="AM7" i="1" s="1"/>
  <c r="AX7" i="1" s="1"/>
  <c r="AB5" i="1"/>
  <c r="AH6" i="1"/>
  <c r="AM6" i="1" s="1"/>
  <c r="AX6" i="1" s="1"/>
  <c r="AB11" i="1"/>
  <c r="AJ6" i="1"/>
  <c r="AK6" i="1" s="1"/>
  <c r="AL6" i="1" s="1"/>
  <c r="AN6" i="1" s="1"/>
  <c r="BA6" i="1" s="1"/>
  <c r="AJ8" i="1"/>
  <c r="AK8" i="1" s="1"/>
  <c r="AL8" i="1" s="1"/>
  <c r="AN8" i="1" s="1"/>
  <c r="BA8" i="1" s="1"/>
  <c r="AH2" i="1"/>
  <c r="AM2" i="1" s="1"/>
  <c r="AB4" i="1"/>
  <c r="AH5" i="1"/>
  <c r="AM5" i="1" s="1"/>
  <c r="AB9" i="1"/>
  <c r="AB3" i="1"/>
  <c r="AH4" i="1"/>
  <c r="AM4" i="1" s="1"/>
  <c r="AX4" i="1" s="1"/>
  <c r="AB8" i="1"/>
  <c r="AH9" i="1"/>
  <c r="AM9" i="1" s="1"/>
  <c r="AH3" i="1"/>
  <c r="AM3" i="1" s="1"/>
  <c r="AX3" i="1" s="1"/>
  <c r="AB10" i="1"/>
  <c r="AB13" i="1"/>
  <c r="AH10" i="1"/>
  <c r="AM10" i="1" s="1"/>
  <c r="AB12" i="1"/>
  <c r="AH12" i="1"/>
  <c r="AM12" i="1" s="1"/>
  <c r="AX12" i="1" s="1"/>
  <c r="AB2" i="1"/>
  <c r="AX11" i="1"/>
  <c r="AX13" i="1"/>
  <c r="AJ13" i="1"/>
  <c r="AK13" i="1" s="1"/>
  <c r="AL13" i="1" s="1"/>
  <c r="AN13" i="1" s="1"/>
  <c r="BA13" i="1" s="1"/>
  <c r="AA10" i="1"/>
  <c r="AJ5" i="1" l="1"/>
  <c r="AK5" i="1" s="1"/>
  <c r="AL5" i="1" s="1"/>
  <c r="AN5" i="1" s="1"/>
  <c r="BA5" i="1" s="1"/>
  <c r="AJ7" i="1"/>
  <c r="AK7" i="1" s="1"/>
  <c r="AL7" i="1" s="1"/>
  <c r="AN7" i="1" s="1"/>
  <c r="BA7" i="1" s="1"/>
  <c r="AJ11" i="1"/>
  <c r="AK11" i="1" s="1"/>
  <c r="AL11" i="1" s="1"/>
  <c r="AN11" i="1" s="1"/>
  <c r="BA11" i="1" s="1"/>
  <c r="AJ3" i="1"/>
  <c r="AK3" i="1" s="1"/>
  <c r="AL3" i="1" s="1"/>
  <c r="AN3" i="1" s="1"/>
  <c r="BA3" i="1" s="1"/>
  <c r="AX10" i="1"/>
  <c r="AY10" i="1" s="1"/>
  <c r="BB10" i="1" s="1"/>
  <c r="AY6" i="1"/>
  <c r="BB6" i="1" s="1"/>
  <c r="AX9" i="1"/>
  <c r="AY9" i="1" s="1"/>
  <c r="BB9" i="1" s="1"/>
  <c r="AJ9" i="1"/>
  <c r="AK9" i="1" s="1"/>
  <c r="AL9" i="1" s="1"/>
  <c r="AN9" i="1" s="1"/>
  <c r="BA9" i="1" s="1"/>
  <c r="AJ10" i="1"/>
  <c r="AK10" i="1" s="1"/>
  <c r="AL10" i="1" s="1"/>
  <c r="AN10" i="1" s="1"/>
  <c r="BA10" i="1" s="1"/>
  <c r="AY7" i="1"/>
  <c r="BB7" i="1" s="1"/>
  <c r="AY8" i="1"/>
  <c r="BB8" i="1" s="1"/>
  <c r="AZ8" i="1"/>
  <c r="AY3" i="1"/>
  <c r="BB3" i="1" s="1"/>
  <c r="AZ6" i="1"/>
  <c r="AY13" i="1"/>
  <c r="BB13" i="1" s="1"/>
  <c r="AY12" i="1"/>
  <c r="BB12" i="1" s="1"/>
  <c r="AJ4" i="1"/>
  <c r="AK4" i="1" s="1"/>
  <c r="AL4" i="1" s="1"/>
  <c r="AY4" i="1"/>
  <c r="BB4" i="1" s="1"/>
  <c r="AJ12" i="1"/>
  <c r="AK12" i="1" s="1"/>
  <c r="AL12" i="1" s="1"/>
  <c r="AJ2" i="1"/>
  <c r="AK2" i="1" s="1"/>
  <c r="AL2" i="1" s="1"/>
  <c r="AX5" i="1"/>
  <c r="AY5" i="1" s="1"/>
  <c r="BB5" i="1" s="1"/>
  <c r="AY11" i="1"/>
  <c r="BB11" i="1" s="1"/>
  <c r="AX2" i="1"/>
  <c r="AY2" i="1" s="1"/>
  <c r="BB2" i="1" s="1"/>
  <c r="AZ13" i="1"/>
  <c r="AZ11" i="1" l="1"/>
  <c r="BC8" i="1"/>
  <c r="AZ7" i="1"/>
  <c r="BC7" i="1" s="1"/>
  <c r="AZ5" i="1"/>
  <c r="BC5" i="1" s="1"/>
  <c r="AZ3" i="1"/>
  <c r="AZ9" i="1"/>
  <c r="BC9" i="1" s="1"/>
  <c r="BC6" i="1"/>
  <c r="BC11" i="1"/>
  <c r="BC13" i="1"/>
  <c r="AZ10" i="1"/>
  <c r="BC10" i="1" s="1"/>
  <c r="AN12" i="1"/>
  <c r="BA12" i="1" s="1"/>
  <c r="AZ12" i="1"/>
  <c r="BC12" i="1" s="1"/>
  <c r="AN2" i="1"/>
  <c r="BA2" i="1" s="1"/>
  <c r="AZ2" i="1"/>
  <c r="AN4" i="1"/>
  <c r="BA4" i="1" s="1"/>
  <c r="AZ4" i="1"/>
  <c r="BC4" i="1" s="1"/>
  <c r="BC3" i="1"/>
  <c r="BC2" i="1" l="1"/>
</calcChain>
</file>

<file path=xl/sharedStrings.xml><?xml version="1.0" encoding="utf-8"?>
<sst xmlns="http://schemas.openxmlformats.org/spreadsheetml/2006/main" count="172" uniqueCount="103">
  <si>
    <t>DIST_L_GEOM</t>
  </si>
  <si>
    <t>DIST_BUT</t>
  </si>
  <si>
    <t>DIST_BIT</t>
  </si>
  <si>
    <t>L3_geom</t>
  </si>
  <si>
    <t>mv</t>
  </si>
  <si>
    <t>pp</t>
  </si>
  <si>
    <t>top_zand</t>
  </si>
  <si>
    <t>gamma_sat_cover</t>
  </si>
  <si>
    <t>gamma_w</t>
  </si>
  <si>
    <t>kD_WVP</t>
  </si>
  <si>
    <t>D_zand</t>
  </si>
  <si>
    <t>D70</t>
  </si>
  <si>
    <t>c_1</t>
  </si>
  <si>
    <t>c_3</t>
  </si>
  <si>
    <t>mu</t>
  </si>
  <si>
    <t>mh</t>
  </si>
  <si>
    <t>mp</t>
  </si>
  <si>
    <t>i_c_h</t>
  </si>
  <si>
    <t>rc</t>
  </si>
  <si>
    <t>h</t>
  </si>
  <si>
    <t>Dcover</t>
  </si>
  <si>
    <t>h_exit</t>
  </si>
  <si>
    <t>d_pot_cu</t>
  </si>
  <si>
    <t>dhred</t>
  </si>
  <si>
    <t>k</t>
  </si>
  <si>
    <t>L1</t>
  </si>
  <si>
    <t>L2</t>
  </si>
  <si>
    <t>Lambda_1</t>
  </si>
  <si>
    <t>Lambda_3</t>
  </si>
  <si>
    <t>W_1</t>
  </si>
  <si>
    <t>W_3</t>
  </si>
  <si>
    <t>r_bit</t>
  </si>
  <si>
    <t>r</t>
  </si>
  <si>
    <t>pot_exit</t>
  </si>
  <si>
    <t>L_kwelweg</t>
  </si>
  <si>
    <t>i_optredend</t>
  </si>
  <si>
    <t>k_intr</t>
  </si>
  <si>
    <t>F_resis</t>
  </si>
  <si>
    <t>F_scale</t>
  </si>
  <si>
    <t>F_geom</t>
  </si>
  <si>
    <t>dHc_piping</t>
  </si>
  <si>
    <t>Z_u</t>
  </si>
  <si>
    <t>Z_h</t>
  </si>
  <si>
    <t>Z_p</t>
  </si>
  <si>
    <t>Z_combin</t>
  </si>
  <si>
    <t>##</t>
  </si>
  <si>
    <t>param_func</t>
  </si>
  <si>
    <t>type</t>
  </si>
  <si>
    <t>df_column_name</t>
  </si>
  <si>
    <t>dist_L_geom</t>
  </si>
  <si>
    <t>input</t>
  </si>
  <si>
    <t>dist_BUT</t>
  </si>
  <si>
    <t>dist_BIT</t>
  </si>
  <si>
    <t>kD</t>
  </si>
  <si>
    <t>D</t>
  </si>
  <si>
    <t>output</t>
  </si>
  <si>
    <t>d_pot_c_u</t>
  </si>
  <si>
    <t>r_exit</t>
  </si>
  <si>
    <t>dhc</t>
  </si>
  <si>
    <t>L_intrede</t>
  </si>
  <si>
    <t>L_but</t>
  </si>
  <si>
    <t>L_bit</t>
  </si>
  <si>
    <t>L_achterland</t>
  </si>
  <si>
    <t>mv_exit</t>
  </si>
  <si>
    <t>polderpeil</t>
  </si>
  <si>
    <t>gamma_sat_deklaag</t>
  </si>
  <si>
    <t>gamma_water</t>
  </si>
  <si>
    <t>kD_wvp</t>
  </si>
  <si>
    <t>D_wvp</t>
  </si>
  <si>
    <t>d70</t>
  </si>
  <si>
    <t>c_voorland</t>
  </si>
  <si>
    <t>c_achterland</t>
  </si>
  <si>
    <t>modelfactor_u</t>
  </si>
  <si>
    <t>modelfactor_h</t>
  </si>
  <si>
    <t>modelfactor_p</t>
  </si>
  <si>
    <t>modelfactor_ff</t>
  </si>
  <si>
    <t>modelfactor_3d</t>
  </si>
  <si>
    <t>modelfactor_aniso</t>
  </si>
  <si>
    <t>modelfactor_ml</t>
  </si>
  <si>
    <t>r_c_deklaag</t>
  </si>
  <si>
    <t>buitenwaterstand</t>
  </si>
  <si>
    <t>d_deklaag</t>
  </si>
  <si>
    <t>dphi_c_u</t>
  </si>
  <si>
    <t>dh_red</t>
  </si>
  <si>
    <t>k_wvp</t>
  </si>
  <si>
    <t>L_voorland</t>
  </si>
  <si>
    <t>lambda_voorland</t>
  </si>
  <si>
    <t>lambda_achterland</t>
  </si>
  <si>
    <t>W_voorland</t>
  </si>
  <si>
    <t>W_achterland</t>
  </si>
  <si>
    <t>phi_exit</t>
  </si>
  <si>
    <t>i_exit</t>
  </si>
  <si>
    <t>z_u</t>
  </si>
  <si>
    <t>z_h</t>
  </si>
  <si>
    <t>z_p</t>
  </si>
  <si>
    <t>z_combin</t>
  </si>
  <si>
    <t>dh_c</t>
  </si>
  <si>
    <t>d70_m</t>
  </si>
  <si>
    <t>gamma_korrel</t>
  </si>
  <si>
    <t>v</t>
  </si>
  <si>
    <t>theta</t>
  </si>
  <si>
    <t>eta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</si>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</sst>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"/>
    <numFmt numFmtId="165" formatCode="0.000000"/>
    <numFmt numFmtId="166" formatCode="0.000"/>
    <numFmt numFmtId="167" formatCode="0.000E+00"/>
    <numFmt numFmtId="168" formatCode="0.0000E+00"/>
    <numFmt numFmtId="169" formatCode="0.00000"/>
    <numFmt numFmtId="170" formatCode="0.000000000"/>
    <numFmt numFmtId="172" formatCode="0.00000000"/>
  </numFmts>
  <fonts count="2" x14ac:knownFonts="1">
    <font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1" fontId="1" fillId="0" borderId="0" xfId="0" applyNumberFormat="1" applyFont="1"/>
    <xf numFmtId="170" fontId="1" fillId="0" borderId="0" xfId="0" applyNumberFormat="1" applyFont="1"/>
    <xf numFmtId="172" fontId="1" fillId="0" borderId="0" xfId="0" applyNumberFormat="1" applyFont="1"/>
  </cellXfs>
  <cellStyles count="1">
    <cellStyle name="Standaard" xfId="0" builtinId="0"/>
  </cellStyles>
  <dxfs count="12">
    <dxf>
      <numFmt numFmtId="168" formatCode="0.0000E+00"/>
    </dxf>
    <dxf>
      <numFmt numFmtId="168" formatCode="0.0000E+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BC10001" totalsRowShown="0">
  <autoFilter ref="A1:BC10001" xr:uid="{00000000-0009-0000-0100-000001000000}"/>
  <tableColumns count="55">
    <tableColumn id="1" xr3:uid="{00000000-0010-0000-0000-000001000000}" name="L_intrede"/>
    <tableColumn id="2" xr3:uid="{00000000-0010-0000-0000-000002000000}" name="L_but"/>
    <tableColumn id="3" xr3:uid="{00000000-0010-0000-0000-000003000000}" name="L_bit"/>
    <tableColumn id="4" xr3:uid="{00000000-0010-0000-0000-000004000000}" name="L_achterland"/>
    <tableColumn id="5" xr3:uid="{00000000-0010-0000-0000-000005000000}" name="mv_exit"/>
    <tableColumn id="6" xr3:uid="{00000000-0010-0000-0000-000006000000}" name="polderpeil"/>
    <tableColumn id="7" xr3:uid="{00000000-0010-0000-0000-000007000000}" name="top_zand"/>
    <tableColumn id="8" xr3:uid="{00000000-0010-0000-0000-000008000000}" name="gamma_sat_deklaag"/>
    <tableColumn id="9" xr3:uid="{00000000-0010-0000-0000-000009000000}" name="gamma_water"/>
    <tableColumn id="10" xr3:uid="{00000000-0010-0000-0000-00000A000000}" name="kD_wvp"/>
    <tableColumn id="11" xr3:uid="{00000000-0010-0000-0000-00000B000000}" name="D_wvp"/>
    <tableColumn id="12" xr3:uid="{00000000-0010-0000-0000-00000C000000}" name="d70"/>
    <tableColumn id="13" xr3:uid="{00000000-0010-0000-0000-00000D000000}" name="c_voorland"/>
    <tableColumn id="14" xr3:uid="{00000000-0010-0000-0000-00000E000000}" name="c_achterland"/>
    <tableColumn id="15" xr3:uid="{00000000-0010-0000-0000-00000F000000}" name="modelfactor_u"/>
    <tableColumn id="16" xr3:uid="{00000000-0010-0000-0000-000010000000}" name="modelfactor_h"/>
    <tableColumn id="17" xr3:uid="{00000000-0010-0000-0000-000011000000}" name="modelfactor_p"/>
    <tableColumn id="49" xr3:uid="{713897C9-91D7-4E03-9973-C22EEF9668D9}" name="modelfactor_ff" dataDxfId="11"/>
    <tableColumn id="48" xr3:uid="{2C9A1EA5-2407-418B-8C4B-BF453F60B00B}" name="modelfactor_3d" dataDxfId="10"/>
    <tableColumn id="47" xr3:uid="{16E10118-007A-4B15-97B0-C137C1D9BEA7}" name="modelfactor_aniso" dataDxfId="9"/>
    <tableColumn id="46" xr3:uid="{41A54231-2F30-42BB-8CD0-F14BC4484ED3}" name="modelfactor_ml" dataDxfId="8"/>
    <tableColumn id="18" xr3:uid="{00000000-0010-0000-0000-000012000000}" name="i_c_h"/>
    <tableColumn id="19" xr3:uid="{00000000-0010-0000-0000-000013000000}" name="r_c_deklaag"/>
    <tableColumn id="20" xr3:uid="{00000000-0010-0000-0000-000014000000}" name="buitenwaterstand"/>
    <tableColumn id="21" xr3:uid="{00000000-0010-0000-0000-000015000000}" name="d_deklaag"/>
    <tableColumn id="22" xr3:uid="{00000000-0010-0000-0000-000016000000}" name="h_exit"/>
    <tableColumn id="23" xr3:uid="{00000000-0010-0000-0000-000017000000}" name="dphi_c_u"/>
    <tableColumn id="24" xr3:uid="{00000000-0010-0000-0000-000018000000}" name="dh_red"/>
    <tableColumn id="25" xr3:uid="{00000000-0010-0000-0000-000019000000}" name="k_wvp"/>
    <tableColumn id="26" xr3:uid="{00000000-0010-0000-0000-00001A000000}" name="L_voorland"/>
    <tableColumn id="27" xr3:uid="{00000000-0010-0000-0000-00001B000000}" name="L2"/>
    <tableColumn id="28" xr3:uid="{00000000-0010-0000-0000-00001C000000}" name="lambda_voorland"/>
    <tableColumn id="29" xr3:uid="{00000000-0010-0000-0000-00001D000000}" name="lambda_achterland"/>
    <tableColumn id="30" xr3:uid="{00000000-0010-0000-0000-00001E000000}" name="W_voorland"/>
    <tableColumn id="31" xr3:uid="{00000000-0010-0000-0000-00001F000000}" name="W_achterland"/>
    <tableColumn id="32" xr3:uid="{00000000-0010-0000-0000-000020000000}" name="r_bit"/>
    <tableColumn id="33" xr3:uid="{00000000-0010-0000-0000-000021000000}" name="r_exit"/>
    <tableColumn id="34" xr3:uid="{00000000-0010-0000-0000-000022000000}" name="phi_exit"/>
    <tableColumn id="35" xr3:uid="{00000000-0010-0000-0000-000023000000}" name="L_kwelweg"/>
    <tableColumn id="36" xr3:uid="{00000000-0010-0000-0000-000024000000}" name="i_exit"/>
    <tableColumn id="55" xr3:uid="{FB27B0D5-E12C-45E7-9D50-547E55221754}" name="d70_m" dataDxfId="7"/>
    <tableColumn id="54" xr3:uid="{850B6557-2E83-49C8-A2A8-5959CD941DC7}" name="gamma_korrel" dataDxfId="6"/>
    <tableColumn id="53" xr3:uid="{F49594E6-B1EF-484C-837D-A18F0FAD0E16}" name="v" dataDxfId="5"/>
    <tableColumn id="52" xr3:uid="{27C17B27-85EC-4E13-B5ED-A9B3F50E7644}" name="theta" dataDxfId="4"/>
    <tableColumn id="51" xr3:uid="{5368AD84-ADE8-43B7-B60D-F38B96433E75}" name="eta" dataDxfId="3"/>
    <tableColumn id="50" xr3:uid="{34B71CBE-149A-419E-931B-04E1EC224232}" name="g" dataDxfId="2"/>
    <tableColumn id="37" xr3:uid="{00000000-0010-0000-0000-000025000000}" name="k_intr" dataDxfId="1">
      <calculatedColumnFormula>Tabel1[[#This Row],[v]]/Tabel1[[#This Row],[g]]*(Tabel1[[#This Row],[k_wvp]]/(24*3600))</calculatedColumnFormula>
    </tableColumn>
    <tableColumn id="38" xr3:uid="{00000000-0010-0000-0000-000026000000}" name="F_resis" dataDxfId="0">
      <calculatedColumnFormula>Tabel1[[#This Row],[eta]]*((Tabel1[[#This Row],[gamma_korrel]]-Tabel1[[#This Row],[gamma_water]])/Tabel1[[#This Row],[gamma_water]])*TAN(Tabel1[[#This Row],[theta]]*PI()/180)</calculatedColumnFormula>
    </tableColumn>
    <tableColumn id="39" xr3:uid="{00000000-0010-0000-0000-000027000000}" name="F_scale"/>
    <tableColumn id="40" xr3:uid="{00000000-0010-0000-0000-000028000000}" name="F_geom"/>
    <tableColumn id="41" xr3:uid="{00000000-0010-0000-0000-000029000000}" name="dh_c"/>
    <tableColumn id="42" xr3:uid="{00000000-0010-0000-0000-00002A000000}" name="z_u"/>
    <tableColumn id="43" xr3:uid="{00000000-0010-0000-0000-00002B000000}" name="z_h"/>
    <tableColumn id="44" xr3:uid="{00000000-0010-0000-0000-00002C000000}" name="z_p"/>
    <tableColumn id="45" xr3:uid="{00000000-0010-0000-0000-00002D000000}" name="z_combi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001"/>
  <sheetViews>
    <sheetView tabSelected="1" topLeftCell="AL1" zoomScaleNormal="100" workbookViewId="0">
      <selection activeCell="AZ14" sqref="AZ14"/>
    </sheetView>
  </sheetViews>
  <sheetFormatPr defaultColWidth="14.7109375" defaultRowHeight="15" x14ac:dyDescent="0.25"/>
  <cols>
    <col min="1" max="1" width="16" style="1" customWidth="1"/>
    <col min="2" max="7" width="14.7109375" style="1"/>
    <col min="8" max="8" width="21.42578125" style="1" bestFit="1" customWidth="1"/>
    <col min="9" max="9" width="16" style="1" bestFit="1" customWidth="1"/>
    <col min="10" max="14" width="14.7109375" style="1"/>
    <col min="15" max="17" width="16.42578125" style="1" bestFit="1" customWidth="1"/>
    <col min="18" max="18" width="16.7109375" style="1" bestFit="1" customWidth="1"/>
    <col min="19" max="19" width="17.42578125" style="1" bestFit="1" customWidth="1"/>
    <col min="20" max="20" width="20.140625" style="1" bestFit="1" customWidth="1"/>
    <col min="21" max="21" width="17.5703125" style="1" bestFit="1" customWidth="1"/>
    <col min="22" max="23" width="14.7109375" style="1"/>
    <col min="24" max="24" width="19.28515625" style="1" bestFit="1" customWidth="1"/>
    <col min="25" max="16384" width="14.7109375" style="1"/>
  </cols>
  <sheetData>
    <row r="1" spans="1:55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73</v>
      </c>
      <c r="Q1" s="1" t="s">
        <v>74</v>
      </c>
      <c r="R1" s="1" t="s">
        <v>75</v>
      </c>
      <c r="S1" s="1" t="s">
        <v>76</v>
      </c>
      <c r="T1" s="1" t="s">
        <v>77</v>
      </c>
      <c r="U1" s="1" t="s">
        <v>78</v>
      </c>
      <c r="V1" s="1" t="s">
        <v>17</v>
      </c>
      <c r="W1" s="1" t="s">
        <v>79</v>
      </c>
      <c r="X1" s="1" t="s">
        <v>80</v>
      </c>
      <c r="Y1" s="1" t="s">
        <v>81</v>
      </c>
      <c r="Z1" s="1" t="s">
        <v>21</v>
      </c>
      <c r="AA1" s="1" t="s">
        <v>82</v>
      </c>
      <c r="AB1" s="1" t="s">
        <v>83</v>
      </c>
      <c r="AC1" s="1" t="s">
        <v>84</v>
      </c>
      <c r="AD1" s="1" t="s">
        <v>85</v>
      </c>
      <c r="AE1" s="1" t="s">
        <v>26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31</v>
      </c>
      <c r="AK1" s="1" t="s">
        <v>57</v>
      </c>
      <c r="AL1" s="1" t="s">
        <v>90</v>
      </c>
      <c r="AM1" s="1" t="s">
        <v>34</v>
      </c>
      <c r="AN1" s="1" t="s">
        <v>91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36</v>
      </c>
      <c r="AV1" s="1" t="s">
        <v>37</v>
      </c>
      <c r="AW1" s="1" t="s">
        <v>38</v>
      </c>
      <c r="AX1" s="1" t="s">
        <v>39</v>
      </c>
      <c r="AY1" s="1" t="s">
        <v>96</v>
      </c>
      <c r="AZ1" s="1" t="s">
        <v>92</v>
      </c>
      <c r="BA1" s="1" t="s">
        <v>93</v>
      </c>
      <c r="BB1" s="1" t="s">
        <v>94</v>
      </c>
      <c r="BC1" s="1" t="s">
        <v>95</v>
      </c>
    </row>
    <row r="2" spans="1:55" x14ac:dyDescent="0.25">
      <c r="A2" s="2">
        <v>258.23925355040097</v>
      </c>
      <c r="B2" s="1">
        <v>141.815303159428</v>
      </c>
      <c r="C2" s="1">
        <v>72.206973453775305</v>
      </c>
      <c r="D2" s="3">
        <v>2500</v>
      </c>
      <c r="E2" s="4">
        <v>-1</v>
      </c>
      <c r="F2" s="5">
        <v>-0.5</v>
      </c>
      <c r="G2" s="5">
        <v>-9</v>
      </c>
      <c r="H2" s="1">
        <v>15</v>
      </c>
      <c r="I2" s="1">
        <v>9.81</v>
      </c>
      <c r="J2" s="3">
        <v>2070</v>
      </c>
      <c r="K2" s="3">
        <v>50</v>
      </c>
      <c r="L2" s="6">
        <v>3.5E-4</v>
      </c>
      <c r="M2" s="3">
        <v>10</v>
      </c>
      <c r="N2" s="3">
        <v>895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0.3</v>
      </c>
      <c r="W2" s="3">
        <v>0.3</v>
      </c>
      <c r="X2" s="5">
        <v>8.5</v>
      </c>
      <c r="Y2" s="3">
        <f>MAX(Tabel1[[#This Row],[mv_exit]]-Tabel1[[#This Row],[top_zand]],0.1)</f>
        <v>8</v>
      </c>
      <c r="Z2" s="3">
        <f>MAX(Tabel1[[#This Row],[polderpeil]],Tabel1[[#This Row],[mv_exit]])</f>
        <v>-0.5</v>
      </c>
      <c r="AA2" s="3">
        <f>Tabel1[[#This Row],[d_deklaag]]*(Tabel1[[#This Row],[gamma_sat_deklaag]]-Tabel1[[#This Row],[gamma_water]])/Tabel1[[#This Row],[gamma_water]]</f>
        <v>4.232415902140672</v>
      </c>
      <c r="AB2" s="5">
        <f>Tabel1[[#This Row],[buitenwaterstand]]-Tabel1[[#This Row],[h_exit]]-Tabel1[[#This Row],[r_c_deklaag]]*Tabel1[[#This Row],[d_deklaag]]</f>
        <v>6.6</v>
      </c>
      <c r="AC2" s="3">
        <f>Tabel1[[#This Row],[kD_wvp]]/Tabel1[[#This Row],[D_wvp]]</f>
        <v>41.4</v>
      </c>
      <c r="AD2" s="3">
        <f>Tabel1[[#This Row],[L_intrede]]-Tabel1[[#This Row],[L_but]]</f>
        <v>116.42395039097298</v>
      </c>
      <c r="AE2" s="3">
        <f>Tabel1[[#This Row],[L_but]]-Tabel1[[#This Row],[L_bit]]</f>
        <v>69.608329705652693</v>
      </c>
      <c r="AF2" s="3">
        <f>SQRT(Tabel1[[#This Row],[kD_wvp]]*Tabel1[[#This Row],[c_voorland]])</f>
        <v>143.87494569938158</v>
      </c>
      <c r="AG2" s="3">
        <f>SQRT(Tabel1[[#This Row],[kD_wvp]]*Tabel1[[#This Row],[c_achterland]])</f>
        <v>1361.1208616430797</v>
      </c>
      <c r="AH2" s="3">
        <f>Tabel1[[#This Row],[lambda_voorland]]*TANH(Tabel1[[#This Row],[L_voorland]]/Tabel1[[#This Row],[lambda_voorland]])</f>
        <v>96.273923616895814</v>
      </c>
      <c r="AI2" s="3">
        <f>Tabel1[[#This Row],[lambda_achterland]]*TANH(Tabel1[[#This Row],[L_achterland]]/Tabel1[[#This Row],[lambda_achterland]])</f>
        <v>1293.7174286170302</v>
      </c>
      <c r="AJ2" s="3">
        <f>Tabel1[[#This Row],[W_achterland]]/(Tabel1[[#This Row],[W_voorland]]+Tabel1[[#This Row],[L2]]+Tabel1[[#This Row],[W_achterland]])</f>
        <v>0.88635085676223435</v>
      </c>
      <c r="AK2" s="3">
        <f>Tabel1[[#This Row],[r_bit]]*SINH((Tabel1[[#This Row],[L_achterland]]-Tabel1[[#This Row],[L_bit]])/Tabel1[[#This Row],[lambda_achterland]])/SINH(Tabel1[[#This Row],[L_achterland]]/Tabel1[[#This Row],[lambda_achterland]])</f>
        <v>0.83810475963357067</v>
      </c>
      <c r="AL2" s="3">
        <f>Tabel1[[#This Row],[polderpeil]]+(Tabel1[[#This Row],[buitenwaterstand]]-Tabel1[[#This Row],[polderpeil]])*Tabel1[[#This Row],[r_exit]]</f>
        <v>7.0429428367021361</v>
      </c>
      <c r="AM2" s="3">
        <f>Tabel1[[#This Row],[L_but]]+Tabel1[[#This Row],[W_voorland]]</f>
        <v>238.08922677632381</v>
      </c>
      <c r="AN2" s="3">
        <f>(Tabel1[[#This Row],[phi_exit]]-Tabel1[[#This Row],[h_exit]])/Tabel1[[#This Row],[d_deklaag]]</f>
        <v>0.94286785458776701</v>
      </c>
      <c r="AO2" s="9">
        <v>2.0799999999999999E-4</v>
      </c>
      <c r="AP2" s="3">
        <v>26</v>
      </c>
      <c r="AQ2" s="9">
        <v>1.33E-6</v>
      </c>
      <c r="AR2" s="3">
        <v>37</v>
      </c>
      <c r="AS2" s="3">
        <v>0.25</v>
      </c>
      <c r="AT2" s="3">
        <v>9.81</v>
      </c>
      <c r="AU2" s="7">
        <f>Tabel1[[#This Row],[v]]/Tabel1[[#This Row],[g]]*(Tabel1[[#This Row],[k_wvp]]/(24*3600))</f>
        <v>6.4963472646958871E-11</v>
      </c>
      <c r="AV2" s="7">
        <f>Tabel1[[#This Row],[eta]]*((Tabel1[[#This Row],[gamma_korrel]]-Tabel1[[#This Row],[gamma_water]])/Tabel1[[#This Row],[gamma_water]])*TAN(Tabel1[[#This Row],[theta]]*PI()/180)</f>
        <v>0.31090825869429756</v>
      </c>
      <c r="AW2" s="7">
        <f>(Tabel1[[#This Row],[d70_m]]/POWER(Tabel1[[#This Row],[k_intr]]*Tabel1[[#This Row],[L_kwelweg]],1/3))*POWER(Tabel1[[#This Row],[d70]]/Tabel1[[#This Row],[d70_m]],0.4)</f>
        <v>0.10280057877477947</v>
      </c>
      <c r="AX2" s="7">
        <f>0.91*POWER(Tabel1[[#This Row],[D_wvp]]/Tabel1[[#This Row],[L_kwelweg]],(0.28/(POWER(Tabel1[[#This Row],[D_wvp]]/Tabel1[[#This Row],[L_kwelweg]],2.8)-1))+0.04)</f>
        <v>1.3308785403361827</v>
      </c>
      <c r="AY2" s="8">
        <f>Tabel1[[#This Row],[L_kwelweg]]*Tabel1[[#This Row],[F_resis]]*Tabel1[[#This Row],[F_scale]]*Tabel1[[#This Row],[F_geom]]</f>
        <v>10.127587058714658</v>
      </c>
      <c r="AZ2" s="3">
        <f>Tabel1[[#This Row],[modelfactor_u]]*Tabel1[[#This Row],[dphi_c_u]]-(Tabel1[[#This Row],[phi_exit]]-Tabel1[[#This Row],[h_exit]])</f>
        <v>-3.3105269345614641</v>
      </c>
      <c r="BA2" s="3">
        <f>Tabel1[[#This Row],[modelfactor_h]]*Tabel1[[#This Row],[i_c_h]]-Tabel1[[#This Row],[i_exit]]</f>
        <v>-0.64286785458776707</v>
      </c>
      <c r="BB2" s="3">
        <f>Tabel1[[#This Row],[modelfactor_p]]*Tabel1[[#This Row],[dh_c]]-Tabel1[[#This Row],[dh_red]]</f>
        <v>3.5275870587146585</v>
      </c>
      <c r="BC2" s="3">
        <f>MAX(Tabel1[[#This Row],[z_u]],Tabel1[[#This Row],[z_h]],Tabel1[[#This Row],[z_p]])</f>
        <v>3.5275870587146585</v>
      </c>
    </row>
    <row r="3" spans="1:55" x14ac:dyDescent="0.25">
      <c r="A3" s="2">
        <v>150</v>
      </c>
      <c r="B3" s="1">
        <v>122.44665168230701</v>
      </c>
      <c r="C3" s="1">
        <v>52.4593241048035</v>
      </c>
      <c r="D3" s="3">
        <v>2500</v>
      </c>
      <c r="E3" s="4">
        <v>0.76708787679672197</v>
      </c>
      <c r="F3" s="5">
        <v>-0.5</v>
      </c>
      <c r="G3" s="5">
        <v>-9</v>
      </c>
      <c r="H3" s="1">
        <v>15</v>
      </c>
      <c r="I3" s="1">
        <v>9.81</v>
      </c>
      <c r="J3" s="3">
        <v>2070</v>
      </c>
      <c r="K3" s="3">
        <v>50</v>
      </c>
      <c r="L3" s="6">
        <v>3.5E-4</v>
      </c>
      <c r="M3" s="3">
        <v>10</v>
      </c>
      <c r="N3" s="3">
        <v>895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0.3</v>
      </c>
      <c r="W3" s="3">
        <v>0.3</v>
      </c>
      <c r="X3" s="5">
        <v>8.5</v>
      </c>
      <c r="Y3" s="3">
        <f>MAX(Tabel1[[#This Row],[mv_exit]]-Tabel1[[#This Row],[top_zand]],0.1)</f>
        <v>9.7670878767967224</v>
      </c>
      <c r="Z3" s="3">
        <f>MAX(Tabel1[[#This Row],[polderpeil]],Tabel1[[#This Row],[mv_exit]])</f>
        <v>0.76708787679672197</v>
      </c>
      <c r="AA3" s="3">
        <f>Tabel1[[#This Row],[d_deklaag]]*(Tabel1[[#This Row],[gamma_sat_deklaag]]-Tabel1[[#This Row],[gamma_water]])/Tabel1[[#This Row],[gamma_water]]</f>
        <v>5.1672972559199781</v>
      </c>
      <c r="AB3" s="5">
        <f>Tabel1[[#This Row],[buitenwaterstand]]-Tabel1[[#This Row],[h_exit]]-Tabel1[[#This Row],[r_c_deklaag]]*Tabel1[[#This Row],[d_deklaag]]</f>
        <v>4.8027857601642605</v>
      </c>
      <c r="AC3" s="3">
        <f>Tabel1[[#This Row],[kD_wvp]]/Tabel1[[#This Row],[D_wvp]]</f>
        <v>41.4</v>
      </c>
      <c r="AD3" s="3">
        <f>Tabel1[[#This Row],[L_intrede]]-Tabel1[[#This Row],[L_but]]</f>
        <v>27.553348317692993</v>
      </c>
      <c r="AE3" s="3">
        <f>Tabel1[[#This Row],[L_but]]-Tabel1[[#This Row],[L_bit]]</f>
        <v>69.987327577503507</v>
      </c>
      <c r="AF3" s="3">
        <f>SQRT(Tabel1[[#This Row],[kD_wvp]]*Tabel1[[#This Row],[c_voorland]])</f>
        <v>143.87494569938158</v>
      </c>
      <c r="AG3" s="3">
        <f>SQRT(Tabel1[[#This Row],[kD_wvp]]*Tabel1[[#This Row],[c_achterland]])</f>
        <v>1361.1208616430797</v>
      </c>
      <c r="AH3" s="3">
        <f>Tabel1[[#This Row],[lambda_voorland]]*TANH(Tabel1[[#This Row],[L_voorland]]/Tabel1[[#This Row],[lambda_voorland]])</f>
        <v>27.221371542552543</v>
      </c>
      <c r="AI3" s="3">
        <f>Tabel1[[#This Row],[lambda_achterland]]*TANH(Tabel1[[#This Row],[L_achterland]]/Tabel1[[#This Row],[lambda_achterland]])</f>
        <v>1293.7174286170302</v>
      </c>
      <c r="AJ3" s="3">
        <f>Tabel1[[#This Row],[W_achterland]]/(Tabel1[[#This Row],[W_voorland]]+Tabel1[[#This Row],[L2]]+Tabel1[[#This Row],[W_achterland]])</f>
        <v>0.93011224882359067</v>
      </c>
      <c r="AK3" s="3">
        <f>Tabel1[[#This Row],[r_bit]]*SINH((Tabel1[[#This Row],[L_achterland]]-Tabel1[[#This Row],[L_bit]])/Tabel1[[#This Row],[lambda_achterland]])/SINH(Tabel1[[#This Row],[L_achterland]]/Tabel1[[#This Row],[lambda_achterland]])</f>
        <v>0.89307841243777519</v>
      </c>
      <c r="AL3" s="3">
        <f>Tabel1[[#This Row],[polderpeil]]+(Tabel1[[#This Row],[buitenwaterstand]]-Tabel1[[#This Row],[polderpeil]])*Tabel1[[#This Row],[r_exit]]</f>
        <v>7.5377057119399762</v>
      </c>
      <c r="AM3" s="3">
        <f>Tabel1[[#This Row],[L_but]]+Tabel1[[#This Row],[W_voorland]]</f>
        <v>149.66802322485955</v>
      </c>
      <c r="AN3" s="3">
        <f>(Tabel1[[#This Row],[phi_exit]]-Tabel1[[#This Row],[h_exit]])/Tabel1[[#This Row],[d_deklaag]]</f>
        <v>0.69320742482802244</v>
      </c>
      <c r="AO3" s="9">
        <v>2.0799999999999999E-4</v>
      </c>
      <c r="AP3" s="3">
        <v>26</v>
      </c>
      <c r="AQ3" s="9">
        <v>1.33E-6</v>
      </c>
      <c r="AR3" s="3">
        <v>37</v>
      </c>
      <c r="AS3" s="3">
        <v>0.25</v>
      </c>
      <c r="AT3" s="3">
        <v>9.81</v>
      </c>
      <c r="AU3" s="7">
        <f>Tabel1[[#This Row],[v]]/Tabel1[[#This Row],[g]]*(Tabel1[[#This Row],[k_wvp]]/(24*3600))</f>
        <v>6.4963472646958871E-11</v>
      </c>
      <c r="AV3" s="7">
        <f>Tabel1[[#This Row],[eta]]*((Tabel1[[#This Row],[gamma_korrel]]-Tabel1[[#This Row],[gamma_water]])/Tabel1[[#This Row],[gamma_water]])*TAN(Tabel1[[#This Row],[theta]]*PI()/180)</f>
        <v>0.31090825869429756</v>
      </c>
      <c r="AW3" s="7">
        <f>(Tabel1[[#This Row],[d70_m]]/POWER(Tabel1[[#This Row],[k_intr]]*Tabel1[[#This Row],[L_kwelweg]],1/3))*POWER(Tabel1[[#This Row],[d70]]/Tabel1[[#This Row],[d70_m]],0.4)</f>
        <v>0.12000494265868691</v>
      </c>
      <c r="AX3" s="7">
        <f>0.91*POWER(Tabel1[[#This Row],[D_wvp]]/Tabel1[[#This Row],[L_kwelweg]],(0.28/(POWER(Tabel1[[#This Row],[D_wvp]]/Tabel1[[#This Row],[L_kwelweg]],2.8)-1))+0.04)</f>
        <v>1.20174004666204</v>
      </c>
      <c r="AY3" s="8">
        <f>Tabel1[[#This Row],[L_kwelweg]]*Tabel1[[#This Row],[F_resis]]*Tabel1[[#This Row],[F_scale]]*Tabel1[[#This Row],[F_geom]]</f>
        <v>6.7107482780661201</v>
      </c>
      <c r="AZ3" s="3">
        <f>Tabel1[[#This Row],[modelfactor_u]]*Tabel1[[#This Row],[dphi_c_u]]-(Tabel1[[#This Row],[phi_exit]]-Tabel1[[#This Row],[h_exit]])</f>
        <v>-1.6033205792232756</v>
      </c>
      <c r="BA3" s="3">
        <f>Tabel1[[#This Row],[modelfactor_h]]*Tabel1[[#This Row],[i_c_h]]-Tabel1[[#This Row],[i_exit]]</f>
        <v>-0.39320742482802246</v>
      </c>
      <c r="BB3" s="3">
        <f>Tabel1[[#This Row],[modelfactor_p]]*Tabel1[[#This Row],[dh_c]]-Tabel1[[#This Row],[dh_red]]</f>
        <v>1.9079625179018596</v>
      </c>
      <c r="BC3" s="3">
        <f>MAX(Tabel1[[#This Row],[z_u]],Tabel1[[#This Row],[z_h]],Tabel1[[#This Row],[z_p]])</f>
        <v>1.9079625179018596</v>
      </c>
    </row>
    <row r="4" spans="1:55" x14ac:dyDescent="0.25">
      <c r="A4" s="2">
        <v>250</v>
      </c>
      <c r="B4" s="1">
        <v>228.928699083384</v>
      </c>
      <c r="C4" s="1">
        <v>133.69022608030599</v>
      </c>
      <c r="D4" s="3">
        <v>2500</v>
      </c>
      <c r="E4" s="4">
        <v>-0.5</v>
      </c>
      <c r="F4" s="5">
        <v>0.35</v>
      </c>
      <c r="G4" s="5">
        <v>-5.5</v>
      </c>
      <c r="H4" s="1">
        <v>15.5</v>
      </c>
      <c r="I4" s="1">
        <v>9.81</v>
      </c>
      <c r="J4" s="3">
        <v>1750</v>
      </c>
      <c r="K4" s="3">
        <v>50</v>
      </c>
      <c r="L4" s="6">
        <v>3.5E-4</v>
      </c>
      <c r="M4" s="3">
        <v>10</v>
      </c>
      <c r="N4" s="3">
        <v>565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0.3</v>
      </c>
      <c r="W4" s="3">
        <v>0.3</v>
      </c>
      <c r="X4" s="5">
        <v>9.4</v>
      </c>
      <c r="Y4" s="3">
        <f>MAX(Tabel1[[#This Row],[mv_exit]]-Tabel1[[#This Row],[top_zand]],0.1)</f>
        <v>5</v>
      </c>
      <c r="Z4" s="3">
        <f>MAX(Tabel1[[#This Row],[polderpeil]],Tabel1[[#This Row],[mv_exit]])</f>
        <v>0.35</v>
      </c>
      <c r="AA4" s="3">
        <f>Tabel1[[#This Row],[d_deklaag]]*(Tabel1[[#This Row],[gamma_sat_deklaag]]-Tabel1[[#This Row],[gamma_water]])/Tabel1[[#This Row],[gamma_water]]</f>
        <v>2.9001019367991838</v>
      </c>
      <c r="AB4" s="5">
        <f>Tabel1[[#This Row],[buitenwaterstand]]-Tabel1[[#This Row],[h_exit]]-Tabel1[[#This Row],[r_c_deklaag]]*Tabel1[[#This Row],[d_deklaag]]</f>
        <v>7.5500000000000007</v>
      </c>
      <c r="AC4" s="3">
        <f>Tabel1[[#This Row],[kD_wvp]]/Tabel1[[#This Row],[D_wvp]]</f>
        <v>35</v>
      </c>
      <c r="AD4" s="3">
        <f>Tabel1[[#This Row],[L_intrede]]-Tabel1[[#This Row],[L_but]]</f>
        <v>21.071300916615996</v>
      </c>
      <c r="AE4" s="3">
        <f>Tabel1[[#This Row],[L_but]]-Tabel1[[#This Row],[L_bit]]</f>
        <v>95.238473003078013</v>
      </c>
      <c r="AF4" s="3">
        <f>SQRT(Tabel1[[#This Row],[kD_wvp]]*Tabel1[[#This Row],[c_voorland]])</f>
        <v>132.28756555322954</v>
      </c>
      <c r="AG4" s="3">
        <f>SQRT(Tabel1[[#This Row],[kD_wvp]]*Tabel1[[#This Row],[c_achterland]])</f>
        <v>994.35909006756708</v>
      </c>
      <c r="AH4" s="3">
        <f>Tabel1[[#This Row],[lambda_voorland]]*TANH(Tabel1[[#This Row],[L_voorland]]/Tabel1[[#This Row],[lambda_voorland]])</f>
        <v>20.894888146449144</v>
      </c>
      <c r="AI4" s="3">
        <f>Tabel1[[#This Row],[lambda_achterland]]*TANH(Tabel1[[#This Row],[L_achterland]]/Tabel1[[#This Row],[lambda_achterland]])</f>
        <v>981.41870728844276</v>
      </c>
      <c r="AJ4" s="3">
        <f>Tabel1[[#This Row],[W_achterland]]/(Tabel1[[#This Row],[W_voorland]]+Tabel1[[#This Row],[L2]]+Tabel1[[#This Row],[W_achterland]])</f>
        <v>0.89418874558287931</v>
      </c>
      <c r="AK4" s="3">
        <f>Tabel1[[#This Row],[r_bit]]*SINH((Tabel1[[#This Row],[L_achterland]]-Tabel1[[#This Row],[L_bit]])/Tabel1[[#This Row],[lambda_achterland]])/SINH(Tabel1[[#This Row],[L_achterland]]/Tabel1[[#This Row],[lambda_achterland]])</f>
        <v>0.7801078547846555</v>
      </c>
      <c r="AL4" s="3">
        <f>Tabel1[[#This Row],[polderpeil]]+(Tabel1[[#This Row],[buitenwaterstand]]-Tabel1[[#This Row],[polderpeil]])*Tabel1[[#This Row],[r_exit]]</f>
        <v>7.4099760858011328</v>
      </c>
      <c r="AM4" s="3">
        <f>Tabel1[[#This Row],[L_but]]+Tabel1[[#This Row],[W_voorland]]</f>
        <v>249.82358722983315</v>
      </c>
      <c r="AN4" s="3">
        <f>(Tabel1[[#This Row],[phi_exit]]-Tabel1[[#This Row],[h_exit]])/Tabel1[[#This Row],[d_deklaag]]</f>
        <v>1.4119952171602266</v>
      </c>
      <c r="AO4" s="9">
        <v>2.0799999999999999E-4</v>
      </c>
      <c r="AP4" s="3">
        <v>26</v>
      </c>
      <c r="AQ4" s="9">
        <v>1.33E-6</v>
      </c>
      <c r="AR4" s="3">
        <v>37</v>
      </c>
      <c r="AS4" s="3">
        <v>0.25</v>
      </c>
      <c r="AT4" s="3">
        <v>9.81</v>
      </c>
      <c r="AU4" s="7">
        <f>Tabel1[[#This Row],[v]]/Tabel1[[#This Row],[g]]*(Tabel1[[#This Row],[k_wvp]]/(24*3600))</f>
        <v>5.4920810208781658E-11</v>
      </c>
      <c r="AV4" s="7">
        <f>Tabel1[[#This Row],[eta]]*((Tabel1[[#This Row],[gamma_korrel]]-Tabel1[[#This Row],[gamma_water]])/Tabel1[[#This Row],[gamma_water]])*TAN(Tabel1[[#This Row],[theta]]*PI()/180)</f>
        <v>0.31090825869429756</v>
      </c>
      <c r="AW4" s="7">
        <f>(Tabel1[[#This Row],[d70_m]]/POWER(Tabel1[[#This Row],[k_intr]]*Tabel1[[#This Row],[L_kwelweg]],1/3))*POWER(Tabel1[[#This Row],[d70]]/Tabel1[[#This Row],[d70_m]],0.4)</f>
        <v>0.10698964837303965</v>
      </c>
      <c r="AX4" s="7">
        <f>0.91*POWER(Tabel1[[#This Row],[D_wvp]]/Tabel1[[#This Row],[L_kwelweg]],(0.28/(POWER(Tabel1[[#This Row],[D_wvp]]/Tabel1[[#This Row],[L_kwelweg]],2.8)-1))+0.04)</f>
        <v>1.3455764270294874</v>
      </c>
      <c r="AY4" s="8">
        <f>Tabel1[[#This Row],[L_kwelweg]]*Tabel1[[#This Row],[F_resis]]*Tabel1[[#This Row],[F_scale]]*Tabel1[[#This Row],[F_geom]]</f>
        <v>11.181905789754721</v>
      </c>
      <c r="AZ4" s="3">
        <f>Tabel1[[#This Row],[modelfactor_u]]*Tabel1[[#This Row],[dphi_c_u]]-(Tabel1[[#This Row],[phi_exit]]-Tabel1[[#This Row],[h_exit]])</f>
        <v>-4.1598741490019489</v>
      </c>
      <c r="BA4" s="3">
        <f>Tabel1[[#This Row],[modelfactor_h]]*Tabel1[[#This Row],[i_c_h]]-Tabel1[[#This Row],[i_exit]]</f>
        <v>-1.1119952171602265</v>
      </c>
      <c r="BB4" s="3">
        <f>Tabel1[[#This Row],[modelfactor_p]]*Tabel1[[#This Row],[dh_c]]-Tabel1[[#This Row],[dh_red]]</f>
        <v>3.63190578975472</v>
      </c>
      <c r="BC4" s="3">
        <f>MAX(Tabel1[[#This Row],[z_u]],Tabel1[[#This Row],[z_h]],Tabel1[[#This Row],[z_p]])</f>
        <v>3.63190578975472</v>
      </c>
    </row>
    <row r="5" spans="1:55" x14ac:dyDescent="0.25">
      <c r="A5" s="2">
        <v>200</v>
      </c>
      <c r="B5" s="1">
        <v>114.940110239167</v>
      </c>
      <c r="C5" s="1">
        <v>20.463714348099199</v>
      </c>
      <c r="D5" s="3">
        <v>2500</v>
      </c>
      <c r="E5" s="4">
        <v>2.4669041633606001</v>
      </c>
      <c r="F5" s="5">
        <v>0.35</v>
      </c>
      <c r="G5" s="5">
        <v>-5.5</v>
      </c>
      <c r="H5" s="1">
        <v>15.5</v>
      </c>
      <c r="I5" s="1">
        <v>9.81</v>
      </c>
      <c r="J5" s="3">
        <v>1750</v>
      </c>
      <c r="K5" s="3">
        <v>50</v>
      </c>
      <c r="L5" s="6">
        <v>3.5E-4</v>
      </c>
      <c r="M5" s="3">
        <v>10</v>
      </c>
      <c r="N5" s="3">
        <v>565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0.3</v>
      </c>
      <c r="W5" s="3">
        <v>0.3</v>
      </c>
      <c r="X5" s="5">
        <v>8.0399999999999991</v>
      </c>
      <c r="Y5" s="3">
        <f>MAX(Tabel1[[#This Row],[mv_exit]]-Tabel1[[#This Row],[top_zand]],0.1)</f>
        <v>7.9669041633606001</v>
      </c>
      <c r="Z5" s="3">
        <f>MAX(Tabel1[[#This Row],[polderpeil]],Tabel1[[#This Row],[mv_exit]])</f>
        <v>2.4669041633606001</v>
      </c>
      <c r="AA5" s="3">
        <f>Tabel1[[#This Row],[d_deklaag]]*(Tabel1[[#This Row],[gamma_sat_deklaag]]-Tabel1[[#This Row],[gamma_water]])/Tabel1[[#This Row],[gamma_water]]</f>
        <v>4.6209668388911114</v>
      </c>
      <c r="AB5" s="5">
        <f>Tabel1[[#This Row],[buitenwaterstand]]-Tabel1[[#This Row],[h_exit]]-Tabel1[[#This Row],[r_c_deklaag]]*Tabel1[[#This Row],[d_deklaag]]</f>
        <v>3.1830245876312189</v>
      </c>
      <c r="AC5" s="3">
        <f>Tabel1[[#This Row],[kD_wvp]]/Tabel1[[#This Row],[D_wvp]]</f>
        <v>35</v>
      </c>
      <c r="AD5" s="3">
        <f>Tabel1[[#This Row],[L_intrede]]-Tabel1[[#This Row],[L_but]]</f>
        <v>85.059889760833002</v>
      </c>
      <c r="AE5" s="3">
        <f>Tabel1[[#This Row],[L_but]]-Tabel1[[#This Row],[L_bit]]</f>
        <v>94.476395891067796</v>
      </c>
      <c r="AF5" s="3">
        <f>SQRT(Tabel1[[#This Row],[kD_wvp]]*Tabel1[[#This Row],[c_voorland]])</f>
        <v>132.28756555322954</v>
      </c>
      <c r="AG5" s="3">
        <f>SQRT(Tabel1[[#This Row],[kD_wvp]]*Tabel1[[#This Row],[c_achterland]])</f>
        <v>994.35909006756708</v>
      </c>
      <c r="AH5" s="3">
        <f>Tabel1[[#This Row],[lambda_voorland]]*TANH(Tabel1[[#This Row],[L_voorland]]/Tabel1[[#This Row],[lambda_voorland]])</f>
        <v>74.998259211682409</v>
      </c>
      <c r="AI5" s="3">
        <f>Tabel1[[#This Row],[lambda_achterland]]*TANH(Tabel1[[#This Row],[L_achterland]]/Tabel1[[#This Row],[lambda_achterland]])</f>
        <v>981.41870728844276</v>
      </c>
      <c r="AJ5" s="3">
        <f>Tabel1[[#This Row],[W_achterland]]/(Tabel1[[#This Row],[W_voorland]]+Tabel1[[#This Row],[L2]]+Tabel1[[#This Row],[W_achterland]])</f>
        <v>0.85274512770615396</v>
      </c>
      <c r="AK5" s="3">
        <f>Tabel1[[#This Row],[r_bit]]*SINH((Tabel1[[#This Row],[L_achterland]]-Tabel1[[#This Row],[L_bit]])/Tabel1[[#This Row],[lambda_achterland]])/SINH(Tabel1[[#This Row],[L_achterland]]/Tabel1[[#This Row],[lambda_achterland]])</f>
        <v>0.83514373829718846</v>
      </c>
      <c r="AL5" s="3">
        <f>Tabel1[[#This Row],[polderpeil]]+(Tabel1[[#This Row],[buitenwaterstand]]-Tabel1[[#This Row],[polderpeil]])*Tabel1[[#This Row],[r_exit]]</f>
        <v>6.7722553475053786</v>
      </c>
      <c r="AM5" s="3">
        <f>Tabel1[[#This Row],[L_but]]+Tabel1[[#This Row],[W_voorland]]</f>
        <v>189.93836945084939</v>
      </c>
      <c r="AN5" s="3">
        <f>(Tabel1[[#This Row],[phi_exit]]-Tabel1[[#This Row],[h_exit]])/Tabel1[[#This Row],[d_deklaag]]</f>
        <v>0.54040454056732301</v>
      </c>
      <c r="AO5" s="9">
        <v>2.0799999999999999E-4</v>
      </c>
      <c r="AP5" s="3">
        <v>26</v>
      </c>
      <c r="AQ5" s="9">
        <v>1.33E-6</v>
      </c>
      <c r="AR5" s="3">
        <v>37</v>
      </c>
      <c r="AS5" s="3">
        <v>0.25</v>
      </c>
      <c r="AT5" s="3">
        <v>9.81</v>
      </c>
      <c r="AU5" s="7">
        <f>Tabel1[[#This Row],[v]]/Tabel1[[#This Row],[g]]*(Tabel1[[#This Row],[k_wvp]]/(24*3600))</f>
        <v>5.4920810208781658E-11</v>
      </c>
      <c r="AV5" s="7">
        <f>Tabel1[[#This Row],[eta]]*((Tabel1[[#This Row],[gamma_korrel]]-Tabel1[[#This Row],[gamma_water]])/Tabel1[[#This Row],[gamma_water]])*TAN(Tabel1[[#This Row],[theta]]*PI()/180)</f>
        <v>0.31090825869429756</v>
      </c>
      <c r="AW5" s="7">
        <f>(Tabel1[[#This Row],[d70_m]]/POWER(Tabel1[[#This Row],[k_intr]]*Tabel1[[#This Row],[L_kwelweg]],1/3))*POWER(Tabel1[[#This Row],[d70]]/Tabel1[[#This Row],[d70_m]],0.4)</f>
        <v>0.11722367658998584</v>
      </c>
      <c r="AX5" s="7">
        <f>0.91*POWER(Tabel1[[#This Row],[D_wvp]]/Tabel1[[#This Row],[L_kwelweg]],(0.28/(POWER(Tabel1[[#This Row],[D_wvp]]/Tabel1[[#This Row],[L_kwelweg]],2.8)-1))+0.04)</f>
        <v>1.2650756848970997</v>
      </c>
      <c r="AY5" s="8">
        <f>Tabel1[[#This Row],[L_kwelweg]]*Tabel1[[#This Row],[F_resis]]*Tabel1[[#This Row],[F_scale]]*Tabel1[[#This Row],[F_geom]]</f>
        <v>8.7574327469474955</v>
      </c>
      <c r="AZ5" s="3">
        <f>Tabel1[[#This Row],[modelfactor_u]]*Tabel1[[#This Row],[dphi_c_u]]-(Tabel1[[#This Row],[phi_exit]]-Tabel1[[#This Row],[h_exit]])</f>
        <v>0.31561565474633291</v>
      </c>
      <c r="BA5" s="3">
        <f>Tabel1[[#This Row],[modelfactor_h]]*Tabel1[[#This Row],[i_c_h]]-Tabel1[[#This Row],[i_exit]]</f>
        <v>-0.24040454056732302</v>
      </c>
      <c r="BB5" s="3">
        <f>Tabel1[[#This Row],[modelfactor_p]]*Tabel1[[#This Row],[dh_c]]-Tabel1[[#This Row],[dh_red]]</f>
        <v>5.5744081593162766</v>
      </c>
      <c r="BC5" s="3">
        <f>MAX(Tabel1[[#This Row],[z_u]],Tabel1[[#This Row],[z_h]],Tabel1[[#This Row],[z_p]])</f>
        <v>5.5744081593162766</v>
      </c>
    </row>
    <row r="6" spans="1:55" x14ac:dyDescent="0.25">
      <c r="A6" s="2">
        <v>258.23925355040097</v>
      </c>
      <c r="B6" s="1">
        <v>141.815303159428</v>
      </c>
      <c r="C6" s="1">
        <v>72.206973453775305</v>
      </c>
      <c r="D6" s="3">
        <v>2500</v>
      </c>
      <c r="E6" s="4">
        <v>-1</v>
      </c>
      <c r="F6" s="5">
        <v>-0.5</v>
      </c>
      <c r="G6" s="5">
        <v>-4.5</v>
      </c>
      <c r="H6" s="1">
        <v>16</v>
      </c>
      <c r="I6" s="1">
        <v>9.81</v>
      </c>
      <c r="J6" s="3">
        <v>1970</v>
      </c>
      <c r="K6" s="3">
        <v>50</v>
      </c>
      <c r="L6" s="6">
        <v>2.5999999999999998E-4</v>
      </c>
      <c r="M6" s="3">
        <v>10</v>
      </c>
      <c r="N6" s="3">
        <v>445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0.3</v>
      </c>
      <c r="W6" s="3">
        <v>0.3</v>
      </c>
      <c r="X6" s="5">
        <v>8.5</v>
      </c>
      <c r="Y6" s="3">
        <f>MAX(Tabel1[[#This Row],[mv_exit]]-Tabel1[[#This Row],[top_zand]],0.1)</f>
        <v>3.5</v>
      </c>
      <c r="Z6" s="3">
        <f>MAX(Tabel1[[#This Row],[polderpeil]],Tabel1[[#This Row],[mv_exit]])</f>
        <v>-0.5</v>
      </c>
      <c r="AA6" s="3">
        <f>Tabel1[[#This Row],[d_deklaag]]*(Tabel1[[#This Row],[gamma_sat_deklaag]]-Tabel1[[#This Row],[gamma_water]])/Tabel1[[#This Row],[gamma_water]]</f>
        <v>2.2084607543323136</v>
      </c>
      <c r="AB6" s="5">
        <f>Tabel1[[#This Row],[buitenwaterstand]]-Tabel1[[#This Row],[h_exit]]-Tabel1[[#This Row],[r_c_deklaag]]*Tabel1[[#This Row],[d_deklaag]]</f>
        <v>7.95</v>
      </c>
      <c r="AC6" s="3">
        <f>Tabel1[[#This Row],[kD_wvp]]/Tabel1[[#This Row],[D_wvp]]</f>
        <v>39.4</v>
      </c>
      <c r="AD6" s="3">
        <f>Tabel1[[#This Row],[L_intrede]]-Tabel1[[#This Row],[L_but]]</f>
        <v>116.42395039097298</v>
      </c>
      <c r="AE6" s="3">
        <f>Tabel1[[#This Row],[L_but]]-Tabel1[[#This Row],[L_bit]]</f>
        <v>69.608329705652693</v>
      </c>
      <c r="AF6" s="3">
        <f>SQRT(Tabel1[[#This Row],[kD_wvp]]*Tabel1[[#This Row],[c_voorland]])</f>
        <v>140.356688476182</v>
      </c>
      <c r="AG6" s="3">
        <f>SQRT(Tabel1[[#This Row],[kD_wvp]]*Tabel1[[#This Row],[c_achterland]])</f>
        <v>936.29589340122607</v>
      </c>
      <c r="AH6" s="3">
        <f>Tabel1[[#This Row],[lambda_voorland]]*TANH(Tabel1[[#This Row],[L_voorland]]/Tabel1[[#This Row],[lambda_voorland]])</f>
        <v>95.470630441881028</v>
      </c>
      <c r="AI6" s="3">
        <f>Tabel1[[#This Row],[lambda_achterland]]*TANH(Tabel1[[#This Row],[L_achterland]]/Tabel1[[#This Row],[lambda_achterland]])</f>
        <v>927.35975927636537</v>
      </c>
      <c r="AJ6" s="3">
        <f>Tabel1[[#This Row],[W_achterland]]/(Tabel1[[#This Row],[W_voorland]]+Tabel1[[#This Row],[L2]]+Tabel1[[#This Row],[W_achterland]])</f>
        <v>0.84888950088240311</v>
      </c>
      <c r="AK6" s="3">
        <f>Tabel1[[#This Row],[r_bit]]*SINH((Tabel1[[#This Row],[L_achterland]]-Tabel1[[#This Row],[L_bit]])/Tabel1[[#This Row],[lambda_achterland]])/SINH(Tabel1[[#This Row],[L_achterland]]/Tabel1[[#This Row],[lambda_achterland]])</f>
        <v>0.78525253855860933</v>
      </c>
      <c r="AL6" s="3">
        <f>Tabel1[[#This Row],[polderpeil]]+(Tabel1[[#This Row],[buitenwaterstand]]-Tabel1[[#This Row],[polderpeil]])*Tabel1[[#This Row],[r_exit]]</f>
        <v>6.5672728470274837</v>
      </c>
      <c r="AM6" s="3">
        <f>Tabel1[[#This Row],[L_but]]+Tabel1[[#This Row],[W_voorland]]</f>
        <v>237.28593360130901</v>
      </c>
      <c r="AN6" s="3">
        <f>(Tabel1[[#This Row],[phi_exit]]-Tabel1[[#This Row],[h_exit]])/Tabel1[[#This Row],[d_deklaag]]</f>
        <v>2.0192208134364238</v>
      </c>
      <c r="AO6" s="9">
        <v>2.0799999999999999E-4</v>
      </c>
      <c r="AP6" s="3">
        <v>26</v>
      </c>
      <c r="AQ6" s="9">
        <v>1.33E-6</v>
      </c>
      <c r="AR6" s="3">
        <v>37</v>
      </c>
      <c r="AS6" s="3">
        <v>0.25</v>
      </c>
      <c r="AT6" s="3">
        <v>9.81</v>
      </c>
      <c r="AU6" s="7">
        <f>Tabel1[[#This Row],[v]]/Tabel1[[#This Row],[g]]*(Tabel1[[#This Row],[k_wvp]]/(24*3600))</f>
        <v>6.1825140635028502E-11</v>
      </c>
      <c r="AV6" s="7">
        <f>Tabel1[[#This Row],[eta]]*((Tabel1[[#This Row],[gamma_korrel]]-Tabel1[[#This Row],[gamma_water]])/Tabel1[[#This Row],[gamma_water]])*TAN(Tabel1[[#This Row],[theta]]*PI()/180)</f>
        <v>0.31090825869429756</v>
      </c>
      <c r="AW6" s="7">
        <f>(Tabel1[[#This Row],[d70_m]]/POWER(Tabel1[[#This Row],[k_intr]]*Tabel1[[#This Row],[L_kwelweg]],1/3))*POWER(Tabel1[[#This Row],[d70]]/Tabel1[[#This Row],[d70_m]],0.4)</f>
        <v>9.2899841117780602E-2</v>
      </c>
      <c r="AX6" s="7">
        <f>0.91*POWER(Tabel1[[#This Row],[D_wvp]]/Tabel1[[#This Row],[L_kwelweg]],(0.28/(POWER(Tabel1[[#This Row],[D_wvp]]/Tabel1[[#This Row],[L_kwelweg]],2.8)-1))+0.04)</f>
        <v>1.3298549351524174</v>
      </c>
      <c r="AY6" s="8">
        <f>Tabel1[[#This Row],[L_kwelweg]]*Tabel1[[#This Row],[F_resis]]*Tabel1[[#This Row],[F_scale]]*Tabel1[[#This Row],[F_geom]]</f>
        <v>9.1143036388739791</v>
      </c>
      <c r="AZ6" s="3">
        <f>Tabel1[[#This Row],[modelfactor_u]]*Tabel1[[#This Row],[dphi_c_u]]-(Tabel1[[#This Row],[phi_exit]]-Tabel1[[#This Row],[h_exit]])</f>
        <v>-4.8588120926951701</v>
      </c>
      <c r="BA6" s="3">
        <f>Tabel1[[#This Row],[modelfactor_h]]*Tabel1[[#This Row],[i_c_h]]-Tabel1[[#This Row],[i_exit]]</f>
        <v>-1.7192208134364237</v>
      </c>
      <c r="BB6" s="3">
        <f>Tabel1[[#This Row],[modelfactor_p]]*Tabel1[[#This Row],[dh_c]]-Tabel1[[#This Row],[dh_red]]</f>
        <v>1.1643036388739789</v>
      </c>
      <c r="BC6" s="3">
        <f>MAX(Tabel1[[#This Row],[z_u]],Tabel1[[#This Row],[z_h]],Tabel1[[#This Row],[z_p]])</f>
        <v>1.1643036388739789</v>
      </c>
    </row>
    <row r="7" spans="1:55" x14ac:dyDescent="0.25">
      <c r="A7" s="2">
        <v>150</v>
      </c>
      <c r="B7" s="1">
        <v>122.44665168230701</v>
      </c>
      <c r="C7" s="1">
        <v>52.4593241048035</v>
      </c>
      <c r="D7" s="3">
        <v>2500</v>
      </c>
      <c r="E7" s="4">
        <v>0.76708787679672197</v>
      </c>
      <c r="F7" s="5">
        <v>-0.5</v>
      </c>
      <c r="G7" s="5">
        <v>-4.5</v>
      </c>
      <c r="H7" s="1">
        <v>16</v>
      </c>
      <c r="I7" s="1">
        <v>9.81</v>
      </c>
      <c r="J7" s="3">
        <v>1970</v>
      </c>
      <c r="K7" s="3">
        <v>50</v>
      </c>
      <c r="L7" s="6">
        <v>2.5999999999999998E-4</v>
      </c>
      <c r="M7" s="3">
        <v>10</v>
      </c>
      <c r="N7" s="3">
        <v>445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0.3</v>
      </c>
      <c r="W7" s="3">
        <v>0.3</v>
      </c>
      <c r="X7" s="5">
        <v>8.5</v>
      </c>
      <c r="Y7" s="3">
        <f>MAX(Tabel1[[#This Row],[mv_exit]]-Tabel1[[#This Row],[top_zand]],0.1)</f>
        <v>5.2670878767967224</v>
      </c>
      <c r="Z7" s="3">
        <f>MAX(Tabel1[[#This Row],[polderpeil]],Tabel1[[#This Row],[mv_exit]])</f>
        <v>0.76708787679672197</v>
      </c>
      <c r="AA7" s="3">
        <f>Tabel1[[#This Row],[d_deklaag]]*(Tabel1[[#This Row],[gamma_sat_deklaag]]-Tabel1[[#This Row],[gamma_water]])/Tabel1[[#This Row],[gamma_water]]</f>
        <v>3.3234733901500215</v>
      </c>
      <c r="AB7" s="5">
        <f>Tabel1[[#This Row],[buitenwaterstand]]-Tabel1[[#This Row],[h_exit]]-Tabel1[[#This Row],[r_c_deklaag]]*Tabel1[[#This Row],[d_deklaag]]</f>
        <v>6.152785760164261</v>
      </c>
      <c r="AC7" s="3">
        <f>Tabel1[[#This Row],[kD_wvp]]/Tabel1[[#This Row],[D_wvp]]</f>
        <v>39.4</v>
      </c>
      <c r="AD7" s="3">
        <f>Tabel1[[#This Row],[L_intrede]]-Tabel1[[#This Row],[L_but]]</f>
        <v>27.553348317692993</v>
      </c>
      <c r="AE7" s="3">
        <f>Tabel1[[#This Row],[L_but]]-Tabel1[[#This Row],[L_bit]]</f>
        <v>69.987327577503507</v>
      </c>
      <c r="AF7" s="3">
        <f>SQRT(Tabel1[[#This Row],[kD_wvp]]*Tabel1[[#This Row],[c_voorland]])</f>
        <v>140.356688476182</v>
      </c>
      <c r="AG7" s="3">
        <f>SQRT(Tabel1[[#This Row],[kD_wvp]]*Tabel1[[#This Row],[c_achterland]])</f>
        <v>936.29589340122607</v>
      </c>
      <c r="AH7" s="3">
        <f>Tabel1[[#This Row],[lambda_voorland]]*TANH(Tabel1[[#This Row],[L_voorland]]/Tabel1[[#This Row],[lambda_voorland]])</f>
        <v>27.204775662422318</v>
      </c>
      <c r="AI7" s="3">
        <f>Tabel1[[#This Row],[lambda_achterland]]*TANH(Tabel1[[#This Row],[L_achterland]]/Tabel1[[#This Row],[lambda_achterland]])</f>
        <v>927.35975927636537</v>
      </c>
      <c r="AJ7" s="3">
        <f>Tabel1[[#This Row],[W_achterland]]/(Tabel1[[#This Row],[W_voorland]]+Tabel1[[#This Row],[L2]]+Tabel1[[#This Row],[W_achterland]])</f>
        <v>0.90513696105024599</v>
      </c>
      <c r="AK7" s="3">
        <f>Tabel1[[#This Row],[r_bit]]*SINH((Tabel1[[#This Row],[L_achterland]]-Tabel1[[#This Row],[L_bit]])/Tabel1[[#This Row],[lambda_achterland]])/SINH(Tabel1[[#This Row],[L_achterland]]/Tabel1[[#This Row],[lambda_achterland]])</f>
        <v>0.85532902864811533</v>
      </c>
      <c r="AL7" s="3">
        <f>Tabel1[[#This Row],[polderpeil]]+(Tabel1[[#This Row],[buitenwaterstand]]-Tabel1[[#This Row],[polderpeil]])*Tabel1[[#This Row],[r_exit]]</f>
        <v>7.1979612578330379</v>
      </c>
      <c r="AM7" s="3">
        <f>Tabel1[[#This Row],[L_but]]+Tabel1[[#This Row],[W_voorland]]</f>
        <v>149.65142734472931</v>
      </c>
      <c r="AN7" s="3">
        <f>(Tabel1[[#This Row],[phi_exit]]-Tabel1[[#This Row],[h_exit]])/Tabel1[[#This Row],[d_deklaag]]</f>
        <v>1.220954260012721</v>
      </c>
      <c r="AO7" s="9">
        <v>2.0799999999999999E-4</v>
      </c>
      <c r="AP7" s="3">
        <v>26</v>
      </c>
      <c r="AQ7" s="9">
        <v>1.33E-6</v>
      </c>
      <c r="AR7" s="3">
        <v>37</v>
      </c>
      <c r="AS7" s="3">
        <v>0.25</v>
      </c>
      <c r="AT7" s="3">
        <v>9.81</v>
      </c>
      <c r="AU7" s="7">
        <f>Tabel1[[#This Row],[v]]/Tabel1[[#This Row],[g]]*(Tabel1[[#This Row],[k_wvp]]/(24*3600))</f>
        <v>6.1825140635028502E-11</v>
      </c>
      <c r="AV7" s="7">
        <f>Tabel1[[#This Row],[eta]]*((Tabel1[[#This Row],[gamma_korrel]]-Tabel1[[#This Row],[gamma_water]])/Tabel1[[#This Row],[gamma_water]])*TAN(Tabel1[[#This Row],[theta]]*PI()/180)</f>
        <v>0.31090825869429756</v>
      </c>
      <c r="AW7" s="7">
        <f>(Tabel1[[#This Row],[d70_m]]/POWER(Tabel1[[#This Row],[k_intr]]*Tabel1[[#This Row],[L_kwelweg]],1/3))*POWER(Tabel1[[#This Row],[d70]]/Tabel1[[#This Row],[d70_m]],0.4)</f>
        <v>0.10832915313420277</v>
      </c>
      <c r="AX7" s="7">
        <f>0.91*POWER(Tabel1[[#This Row],[D_wvp]]/Tabel1[[#This Row],[L_kwelweg]],(0.28/(POWER(Tabel1[[#This Row],[D_wvp]]/Tabel1[[#This Row],[L_kwelweg]],2.8)-1))+0.04)</f>
        <v>1.2017120962970593</v>
      </c>
      <c r="AY7" s="8">
        <f>Tabel1[[#This Row],[L_kwelweg]]*Tabel1[[#This Row],[F_resis]]*Tabel1[[#This Row],[F_scale]]*Tabel1[[#This Row],[F_geom]]</f>
        <v>6.0570185347674448</v>
      </c>
      <c r="AZ7" s="3">
        <f>Tabel1[[#This Row],[modelfactor_u]]*Tabel1[[#This Row],[dphi_c_u]]-(Tabel1[[#This Row],[phi_exit]]-Tabel1[[#This Row],[h_exit]])</f>
        <v>-3.1073999908862939</v>
      </c>
      <c r="BA7" s="3">
        <f>Tabel1[[#This Row],[modelfactor_h]]*Tabel1[[#This Row],[i_c_h]]-Tabel1[[#This Row],[i_exit]]</f>
        <v>-0.92095426001272096</v>
      </c>
      <c r="BB7" s="3">
        <f>Tabel1[[#This Row],[modelfactor_p]]*Tabel1[[#This Row],[dh_c]]-Tabel1[[#This Row],[dh_red]]</f>
        <v>-9.5767225396816258E-2</v>
      </c>
      <c r="BC7" s="3">
        <f>MAX(Tabel1[[#This Row],[z_u]],Tabel1[[#This Row],[z_h]],Tabel1[[#This Row],[z_p]])</f>
        <v>-9.5767225396816258E-2</v>
      </c>
    </row>
    <row r="8" spans="1:55" x14ac:dyDescent="0.25">
      <c r="A8" s="2">
        <v>250</v>
      </c>
      <c r="B8" s="1">
        <v>228.928699083384</v>
      </c>
      <c r="C8" s="1">
        <v>133.69022608030599</v>
      </c>
      <c r="D8" s="3">
        <v>2500</v>
      </c>
      <c r="E8" s="4">
        <v>-0.5</v>
      </c>
      <c r="F8" s="5">
        <v>0.35</v>
      </c>
      <c r="G8" s="5">
        <v>-1</v>
      </c>
      <c r="H8" s="1">
        <v>16.5</v>
      </c>
      <c r="I8" s="1">
        <v>9.81</v>
      </c>
      <c r="J8" s="3">
        <v>1630</v>
      </c>
      <c r="K8" s="3">
        <v>50</v>
      </c>
      <c r="L8" s="6">
        <v>2.7999999999999998E-4</v>
      </c>
      <c r="M8" s="3">
        <v>10</v>
      </c>
      <c r="N8" s="3">
        <v>115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0.3</v>
      </c>
      <c r="W8" s="3">
        <v>0.3</v>
      </c>
      <c r="X8" s="5">
        <v>9.4</v>
      </c>
      <c r="Y8" s="3">
        <f>MAX(Tabel1[[#This Row],[mv_exit]]-Tabel1[[#This Row],[top_zand]],0.1)</f>
        <v>0.5</v>
      </c>
      <c r="Z8" s="3">
        <f>MAX(Tabel1[[#This Row],[polderpeil]],Tabel1[[#This Row],[mv_exit]])</f>
        <v>0.35</v>
      </c>
      <c r="AA8" s="3">
        <f>Tabel1[[#This Row],[d_deklaag]]*(Tabel1[[#This Row],[gamma_sat_deklaag]]-Tabel1[[#This Row],[gamma_water]])/Tabel1[[#This Row],[gamma_water]]</f>
        <v>0.34097859327217123</v>
      </c>
      <c r="AB8" s="5">
        <f>Tabel1[[#This Row],[buitenwaterstand]]-Tabel1[[#This Row],[h_exit]]-Tabel1[[#This Row],[r_c_deklaag]]*Tabel1[[#This Row],[d_deklaag]]</f>
        <v>8.9</v>
      </c>
      <c r="AC8" s="3">
        <f>Tabel1[[#This Row],[kD_wvp]]/Tabel1[[#This Row],[D_wvp]]</f>
        <v>32.6</v>
      </c>
      <c r="AD8" s="3">
        <f>Tabel1[[#This Row],[L_intrede]]-Tabel1[[#This Row],[L_but]]</f>
        <v>21.071300916615996</v>
      </c>
      <c r="AE8" s="3">
        <f>Tabel1[[#This Row],[L_but]]-Tabel1[[#This Row],[L_bit]]</f>
        <v>95.238473003078013</v>
      </c>
      <c r="AF8" s="3">
        <f>SQRT(Tabel1[[#This Row],[kD_wvp]]*Tabel1[[#This Row],[c_voorland]])</f>
        <v>127.67145334803705</v>
      </c>
      <c r="AG8" s="3">
        <f>SQRT(Tabel1[[#This Row],[kD_wvp]]*Tabel1[[#This Row],[c_achterland]])</f>
        <v>432.95496301578527</v>
      </c>
      <c r="AH8" s="3">
        <f>Tabel1[[#This Row],[lambda_voorland]]*TANH(Tabel1[[#This Row],[L_voorland]]/Tabel1[[#This Row],[lambda_voorland]])</f>
        <v>20.882040650499938</v>
      </c>
      <c r="AI8" s="3">
        <f>Tabel1[[#This Row],[lambda_achterland]]*TANH(Tabel1[[#This Row],[L_achterland]]/Tabel1[[#This Row],[lambda_achterland]])</f>
        <v>432.94660700421719</v>
      </c>
      <c r="AJ8" s="3">
        <f>Tabel1[[#This Row],[W_achterland]]/(Tabel1[[#This Row],[W_voorland]]+Tabel1[[#This Row],[L2]]+Tabel1[[#This Row],[W_achterland]])</f>
        <v>0.78851308103376705</v>
      </c>
      <c r="AK8" s="3">
        <f>Tabel1[[#This Row],[r_bit]]*SINH((Tabel1[[#This Row],[L_achterland]]-Tabel1[[#This Row],[L_bit]])/Tabel1[[#This Row],[lambda_achterland]])/SINH(Tabel1[[#This Row],[L_achterland]]/Tabel1[[#This Row],[lambda_achterland]])</f>
        <v>0.5790305412845953</v>
      </c>
      <c r="AL8" s="3">
        <f>Tabel1[[#This Row],[polderpeil]]+(Tabel1[[#This Row],[buitenwaterstand]]-Tabel1[[#This Row],[polderpeil]])*Tabel1[[#This Row],[r_exit]]</f>
        <v>5.5902263986255871</v>
      </c>
      <c r="AM8" s="3">
        <f>Tabel1[[#This Row],[L_but]]+Tabel1[[#This Row],[W_voorland]]</f>
        <v>249.81073973388393</v>
      </c>
      <c r="AN8" s="3">
        <f>(Tabel1[[#This Row],[phi_exit]]-Tabel1[[#This Row],[h_exit]])/Tabel1[[#This Row],[d_deklaag]]</f>
        <v>10.480452797251175</v>
      </c>
      <c r="AO8" s="9">
        <v>2.0799999999999999E-4</v>
      </c>
      <c r="AP8" s="3">
        <v>26</v>
      </c>
      <c r="AQ8" s="9">
        <v>1.33E-6</v>
      </c>
      <c r="AR8" s="3">
        <v>37</v>
      </c>
      <c r="AS8" s="3">
        <v>0.25</v>
      </c>
      <c r="AT8" s="3">
        <v>9.81</v>
      </c>
      <c r="AU8" s="7">
        <f>Tabel1[[#This Row],[v]]/Tabel1[[#This Row],[g]]*(Tabel1[[#This Row],[k_wvp]]/(24*3600))</f>
        <v>5.1154811794465203E-11</v>
      </c>
      <c r="AV8" s="7">
        <f>Tabel1[[#This Row],[eta]]*((Tabel1[[#This Row],[gamma_korrel]]-Tabel1[[#This Row],[gamma_water]])/Tabel1[[#This Row],[gamma_water]])*TAN(Tabel1[[#This Row],[theta]]*PI()/180)</f>
        <v>0.31090825869429756</v>
      </c>
      <c r="AW8" s="7">
        <f>(Tabel1[[#This Row],[d70_m]]/POWER(Tabel1[[#This Row],[k_intr]]*Tabel1[[#This Row],[L_kwelweg]],1/3))*POWER(Tabel1[[#This Row],[d70]]/Tabel1[[#This Row],[d70_m]],0.4)</f>
        <v>0.10020022144213257</v>
      </c>
      <c r="AX8" s="7">
        <f>0.91*POWER(Tabel1[[#This Row],[D_wvp]]/Tabel1[[#This Row],[L_kwelweg]],(0.28/(POWER(Tabel1[[#This Row],[D_wvp]]/Tabel1[[#This Row],[L_kwelweg]],2.8)-1))+0.04)</f>
        <v>1.3455605895093528</v>
      </c>
      <c r="AY8" s="8">
        <f>Tabel1[[#This Row],[L_kwelweg]]*Tabel1[[#This Row],[F_resis]]*Tabel1[[#This Row],[F_scale]]*Tabel1[[#This Row],[F_geom]]</f>
        <v>10.471654472727607</v>
      </c>
      <c r="AZ8" s="3">
        <f>Tabel1[[#This Row],[modelfactor_u]]*Tabel1[[#This Row],[dphi_c_u]]-(Tabel1[[#This Row],[phi_exit]]-Tabel1[[#This Row],[h_exit]])</f>
        <v>-4.8992478053534159</v>
      </c>
      <c r="BA8" s="3">
        <f>Tabel1[[#This Row],[modelfactor_h]]*Tabel1[[#This Row],[i_c_h]]-Tabel1[[#This Row],[i_exit]]</f>
        <v>-10.180452797251174</v>
      </c>
      <c r="BB8" s="3">
        <f>Tabel1[[#This Row],[modelfactor_p]]*Tabel1[[#This Row],[dh_c]]-Tabel1[[#This Row],[dh_red]]</f>
        <v>1.5716544727276069</v>
      </c>
      <c r="BC8" s="3">
        <f>MAX(Tabel1[[#This Row],[z_u]],Tabel1[[#This Row],[z_h]],Tabel1[[#This Row],[z_p]])</f>
        <v>1.5716544727276069</v>
      </c>
    </row>
    <row r="9" spans="1:55" x14ac:dyDescent="0.25">
      <c r="A9" s="2">
        <v>200</v>
      </c>
      <c r="B9" s="1">
        <v>114.940110239167</v>
      </c>
      <c r="C9" s="1">
        <v>20.463714348099199</v>
      </c>
      <c r="D9" s="3">
        <v>2500</v>
      </c>
      <c r="E9" s="4">
        <v>2.4669041633606001</v>
      </c>
      <c r="F9" s="5">
        <v>0.35</v>
      </c>
      <c r="G9" s="5">
        <v>-1</v>
      </c>
      <c r="H9" s="1">
        <v>16.5</v>
      </c>
      <c r="I9" s="1">
        <v>9.81</v>
      </c>
      <c r="J9" s="3">
        <v>1630</v>
      </c>
      <c r="K9" s="3">
        <v>50</v>
      </c>
      <c r="L9" s="6">
        <v>2.7999999999999998E-4</v>
      </c>
      <c r="M9" s="3">
        <v>10</v>
      </c>
      <c r="N9" s="3">
        <v>115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0.3</v>
      </c>
      <c r="W9" s="3">
        <v>0.3</v>
      </c>
      <c r="X9" s="5">
        <v>8.0399999999999991</v>
      </c>
      <c r="Y9" s="3">
        <f>MAX(Tabel1[[#This Row],[mv_exit]]-Tabel1[[#This Row],[top_zand]],0.1)</f>
        <v>3.4669041633606001</v>
      </c>
      <c r="Z9" s="3">
        <f>MAX(Tabel1[[#This Row],[polderpeil]],Tabel1[[#This Row],[mv_exit]])</f>
        <v>2.4669041633606001</v>
      </c>
      <c r="AA9" s="3">
        <f>Tabel1[[#This Row],[d_deklaag]]*(Tabel1[[#This Row],[gamma_sat_deklaag]]-Tabel1[[#This Row],[gamma_water]])/Tabel1[[#This Row],[gamma_water]]</f>
        <v>2.3642802092642623</v>
      </c>
      <c r="AB9" s="5">
        <f>Tabel1[[#This Row],[buitenwaterstand]]-Tabel1[[#This Row],[h_exit]]-Tabel1[[#This Row],[r_c_deklaag]]*Tabel1[[#This Row],[d_deklaag]]</f>
        <v>4.5330245876312194</v>
      </c>
      <c r="AC9" s="3">
        <f>Tabel1[[#This Row],[kD_wvp]]/Tabel1[[#This Row],[D_wvp]]</f>
        <v>32.6</v>
      </c>
      <c r="AD9" s="3">
        <f>Tabel1[[#This Row],[L_intrede]]-Tabel1[[#This Row],[L_but]]</f>
        <v>85.059889760833002</v>
      </c>
      <c r="AE9" s="3">
        <f>Tabel1[[#This Row],[L_but]]-Tabel1[[#This Row],[L_bit]]</f>
        <v>94.476395891067796</v>
      </c>
      <c r="AF9" s="3">
        <f>SQRT(Tabel1[[#This Row],[kD_wvp]]*Tabel1[[#This Row],[c_voorland]])</f>
        <v>127.67145334803705</v>
      </c>
      <c r="AG9" s="3">
        <f>SQRT(Tabel1[[#This Row],[kD_wvp]]*Tabel1[[#This Row],[c_achterland]])</f>
        <v>432.95496301578527</v>
      </c>
      <c r="AH9" s="3">
        <f>Tabel1[[#This Row],[lambda_voorland]]*TANH(Tabel1[[#This Row],[L_voorland]]/Tabel1[[#This Row],[lambda_voorland]])</f>
        <v>74.368804655055484</v>
      </c>
      <c r="AI9" s="3">
        <f>Tabel1[[#This Row],[lambda_achterland]]*TANH(Tabel1[[#This Row],[L_achterland]]/Tabel1[[#This Row],[lambda_achterland]])</f>
        <v>432.94660700421719</v>
      </c>
      <c r="AJ9" s="3">
        <f>Tabel1[[#This Row],[W_achterland]]/(Tabel1[[#This Row],[W_voorland]]+Tabel1[[#This Row],[L2]]+Tabel1[[#This Row],[W_achterland]])</f>
        <v>0.71942921384485736</v>
      </c>
      <c r="AK9" s="3">
        <f>Tabel1[[#This Row],[r_bit]]*SINH((Tabel1[[#This Row],[L_achterland]]-Tabel1[[#This Row],[L_bit]])/Tabel1[[#This Row],[lambda_achterland]])/SINH(Tabel1[[#This Row],[L_achterland]]/Tabel1[[#This Row],[lambda_achterland]])</f>
        <v>0.68621566303288339</v>
      </c>
      <c r="AL9" s="3">
        <f>Tabel1[[#This Row],[polderpeil]]+(Tabel1[[#This Row],[buitenwaterstand]]-Tabel1[[#This Row],[polderpeil]])*Tabel1[[#This Row],[r_exit]]</f>
        <v>5.6269984487228726</v>
      </c>
      <c r="AM9" s="3">
        <f>Tabel1[[#This Row],[L_but]]+Tabel1[[#This Row],[W_voorland]]</f>
        <v>189.30891489422248</v>
      </c>
      <c r="AN9" s="3">
        <f>(Tabel1[[#This Row],[phi_exit]]-Tabel1[[#This Row],[h_exit]])/Tabel1[[#This Row],[d_deklaag]]</f>
        <v>0.91150321337382301</v>
      </c>
      <c r="AO9" s="9">
        <v>2.0799999999999999E-4</v>
      </c>
      <c r="AP9" s="3">
        <v>26</v>
      </c>
      <c r="AQ9" s="9">
        <v>1.33E-6</v>
      </c>
      <c r="AR9" s="3">
        <v>37</v>
      </c>
      <c r="AS9" s="3">
        <v>0.25</v>
      </c>
      <c r="AT9" s="3">
        <v>9.81</v>
      </c>
      <c r="AU9" s="7">
        <f>Tabel1[[#This Row],[v]]/Tabel1[[#This Row],[g]]*(Tabel1[[#This Row],[k_wvp]]/(24*3600))</f>
        <v>5.1154811794465203E-11</v>
      </c>
      <c r="AV9" s="7">
        <f>Tabel1[[#This Row],[eta]]*((Tabel1[[#This Row],[gamma_korrel]]-Tabel1[[#This Row],[gamma_water]])/Tabel1[[#This Row],[gamma_water]])*TAN(Tabel1[[#This Row],[theta]]*PI()/180)</f>
        <v>0.31090825869429756</v>
      </c>
      <c r="AW9" s="7">
        <f>(Tabel1[[#This Row],[d70_m]]/POWER(Tabel1[[#This Row],[k_intr]]*Tabel1[[#This Row],[L_kwelweg]],1/3))*POWER(Tabel1[[#This Row],[d70]]/Tabel1[[#This Row],[d70_m]],0.4)</f>
        <v>0.10990447121533863</v>
      </c>
      <c r="AX9" s="7">
        <f>0.91*POWER(Tabel1[[#This Row],[D_wvp]]/Tabel1[[#This Row],[L_kwelweg]],(0.28/(POWER(Tabel1[[#This Row],[D_wvp]]/Tabel1[[#This Row],[L_kwelweg]],2.8)-1))+0.04)</f>
        <v>1.2641495874596611</v>
      </c>
      <c r="AY9" s="8">
        <f>Tabel1[[#This Row],[L_kwelweg]]*Tabel1[[#This Row],[F_resis]]*Tabel1[[#This Row],[F_scale]]*Tabel1[[#This Row],[F_geom]]</f>
        <v>8.1774359823973484</v>
      </c>
      <c r="AZ9" s="3">
        <f>Tabel1[[#This Row],[modelfactor_u]]*Tabel1[[#This Row],[dphi_c_u]]-(Tabel1[[#This Row],[phi_exit]]-Tabel1[[#This Row],[h_exit]])</f>
        <v>-0.79581407609801014</v>
      </c>
      <c r="BA9" s="3">
        <f>Tabel1[[#This Row],[modelfactor_h]]*Tabel1[[#This Row],[i_c_h]]-Tabel1[[#This Row],[i_exit]]</f>
        <v>-0.61150321337382296</v>
      </c>
      <c r="BB9" s="3">
        <f>Tabel1[[#This Row],[modelfactor_p]]*Tabel1[[#This Row],[dh_c]]-Tabel1[[#This Row],[dh_red]]</f>
        <v>3.644411394766129</v>
      </c>
      <c r="BC9" s="3">
        <f>MAX(Tabel1[[#This Row],[z_u]],Tabel1[[#This Row],[z_h]],Tabel1[[#This Row],[z_p]])</f>
        <v>3.644411394766129</v>
      </c>
    </row>
    <row r="10" spans="1:55" x14ac:dyDescent="0.25">
      <c r="A10" s="2">
        <v>258.23925355040097</v>
      </c>
      <c r="B10" s="1">
        <v>141.815303159428</v>
      </c>
      <c r="C10" s="1">
        <v>72.206973453775305</v>
      </c>
      <c r="D10" s="3">
        <v>2500</v>
      </c>
      <c r="E10" s="4">
        <v>-1</v>
      </c>
      <c r="F10" s="5">
        <v>-0.5</v>
      </c>
      <c r="G10" s="5">
        <v>-2</v>
      </c>
      <c r="H10" s="1">
        <v>16</v>
      </c>
      <c r="I10" s="1">
        <v>9.81</v>
      </c>
      <c r="J10" s="3">
        <v>97.5</v>
      </c>
      <c r="K10" s="3">
        <v>6.5</v>
      </c>
      <c r="L10" s="6">
        <v>2.5999999999999998E-4</v>
      </c>
      <c r="M10" s="3">
        <v>10</v>
      </c>
      <c r="N10" s="3">
        <v>195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0.3</v>
      </c>
      <c r="W10" s="3">
        <v>0.3</v>
      </c>
      <c r="X10" s="5">
        <v>8.5</v>
      </c>
      <c r="Y10" s="3">
        <f>MAX(Tabel1[[#This Row],[mv_exit]]-Tabel1[[#This Row],[top_zand]],0.1)</f>
        <v>1</v>
      </c>
      <c r="Z10" s="3">
        <f>MAX(Tabel1[[#This Row],[polderpeil]],Tabel1[[#This Row],[mv_exit]])</f>
        <v>-0.5</v>
      </c>
      <c r="AA10" s="3">
        <f>Tabel1[[#This Row],[d_deklaag]]*(Tabel1[[#This Row],[gamma_sat_deklaag]]-Tabel1[[#This Row],[gamma_water]])/Tabel1[[#This Row],[gamma_water]]</f>
        <v>0.6309887869520896</v>
      </c>
      <c r="AB10" s="5">
        <f>Tabel1[[#This Row],[buitenwaterstand]]-Tabel1[[#This Row],[h_exit]]-Tabel1[[#This Row],[r_c_deklaag]]*Tabel1[[#This Row],[d_deklaag]]</f>
        <v>8.6999999999999993</v>
      </c>
      <c r="AC10" s="3">
        <f>Tabel1[[#This Row],[kD_wvp]]/Tabel1[[#This Row],[D_wvp]]</f>
        <v>15</v>
      </c>
      <c r="AD10" s="3">
        <f>Tabel1[[#This Row],[L_intrede]]-Tabel1[[#This Row],[L_but]]</f>
        <v>116.42395039097298</v>
      </c>
      <c r="AE10" s="3">
        <f>Tabel1[[#This Row],[L_but]]-Tabel1[[#This Row],[L_bit]]</f>
        <v>69.608329705652693</v>
      </c>
      <c r="AF10" s="3">
        <f>SQRT(Tabel1[[#This Row],[kD_wvp]]*Tabel1[[#This Row],[c_voorland]])</f>
        <v>31.22498999199199</v>
      </c>
      <c r="AG10" s="3">
        <f>SQRT(Tabel1[[#This Row],[kD_wvp]]*Tabel1[[#This Row],[c_achterland]])</f>
        <v>137.88582233137677</v>
      </c>
      <c r="AH10" s="3">
        <f>Tabel1[[#This Row],[lambda_voorland]]*TANH(Tabel1[[#This Row],[L_voorland]]/Tabel1[[#This Row],[lambda_voorland]])</f>
        <v>31.188956705348765</v>
      </c>
      <c r="AI10" s="3">
        <f>Tabel1[[#This Row],[lambda_achterland]]*TANH(Tabel1[[#This Row],[L_achterland]]/Tabel1[[#This Row],[lambda_achterland]])</f>
        <v>137.88582233137672</v>
      </c>
      <c r="AJ10" s="3">
        <f>Tabel1[[#This Row],[W_achterland]]/(Tabel1[[#This Row],[W_voorland]]+Tabel1[[#This Row],[L2]]+Tabel1[[#This Row],[W_achterland]])</f>
        <v>0.57769409430729057</v>
      </c>
      <c r="AK10" s="3">
        <f>Tabel1[[#This Row],[r_bit]]*SINH((Tabel1[[#This Row],[L_achterland]]-Tabel1[[#This Row],[L_bit]])/Tabel1[[#This Row],[lambda_achterland]])/SINH(Tabel1[[#This Row],[L_achterland]]/Tabel1[[#This Row],[lambda_achterland]])</f>
        <v>0.34219209782126397</v>
      </c>
      <c r="AL10" s="3">
        <f>Tabel1[[#This Row],[polderpeil]]+(Tabel1[[#This Row],[buitenwaterstand]]-Tabel1[[#This Row],[polderpeil]])*Tabel1[[#This Row],[r_exit]]</f>
        <v>2.5797288803913756</v>
      </c>
      <c r="AM10" s="3">
        <f>Tabel1[[#This Row],[L_but]]+Tabel1[[#This Row],[W_voorland]]</f>
        <v>173.00425986477677</v>
      </c>
      <c r="AN10" s="3">
        <f>(Tabel1[[#This Row],[phi_exit]]-Tabel1[[#This Row],[h_exit]])/Tabel1[[#This Row],[d_deklaag]]</f>
        <v>3.0797288803913756</v>
      </c>
      <c r="AO10" s="9">
        <v>2.0799999999999999E-4</v>
      </c>
      <c r="AP10" s="3">
        <v>26</v>
      </c>
      <c r="AQ10" s="9">
        <v>1.33E-6</v>
      </c>
      <c r="AR10" s="3">
        <v>37</v>
      </c>
      <c r="AS10" s="3">
        <v>0.25</v>
      </c>
      <c r="AT10" s="3">
        <v>9.81</v>
      </c>
      <c r="AU10" s="7">
        <f>Tabel1[[#This Row],[v]]/Tabel1[[#This Row],[g]]*(Tabel1[[#This Row],[k_wvp]]/(24*3600))</f>
        <v>2.3537490089477858E-11</v>
      </c>
      <c r="AV10" s="7">
        <f>Tabel1[[#This Row],[eta]]*((Tabel1[[#This Row],[gamma_korrel]]-Tabel1[[#This Row],[gamma_water]])/Tabel1[[#This Row],[gamma_water]])*TAN(Tabel1[[#This Row],[theta]]*PI()/180)</f>
        <v>0.31090825869429756</v>
      </c>
      <c r="AW10" s="7">
        <f>(Tabel1[[#This Row],[d70_m]]/POWER(Tabel1[[#This Row],[k_intr]]*Tabel1[[#This Row],[L_kwelweg]],1/3))*POWER(Tabel1[[#This Row],[d70]]/Tabel1[[#This Row],[d70_m]],0.4)</f>
        <v>0.14241476727105973</v>
      </c>
      <c r="AX10" s="7">
        <f>0.91*POWER(Tabel1[[#This Row],[D_wvp]]/Tabel1[[#This Row],[L_kwelweg]],(0.28/(POWER(Tabel1[[#This Row],[D_wvp]]/Tabel1[[#This Row],[L_kwelweg]],2.8)-1))+0.04)</f>
        <v>2.000398949905672</v>
      </c>
      <c r="AY10" s="8">
        <f>Tabel1[[#This Row],[L_kwelweg]]*Tabel1[[#This Row],[F_resis]]*Tabel1[[#This Row],[F_scale]]*Tabel1[[#This Row],[F_geom]]</f>
        <v>15.323596147367567</v>
      </c>
      <c r="AZ10" s="3">
        <f>Tabel1[[#This Row],[modelfactor_u]]*Tabel1[[#This Row],[dphi_c_u]]-(Tabel1[[#This Row],[phi_exit]]-Tabel1[[#This Row],[h_exit]])</f>
        <v>-2.448740093439286</v>
      </c>
      <c r="BA10" s="3">
        <f>Tabel1[[#This Row],[modelfactor_h]]*Tabel1[[#This Row],[i_c_h]]-Tabel1[[#This Row],[i_exit]]</f>
        <v>-2.7797288803913758</v>
      </c>
      <c r="BB10" s="3">
        <f>Tabel1[[#This Row],[modelfactor_p]]*Tabel1[[#This Row],[dh_c]]-Tabel1[[#This Row],[dh_red]]</f>
        <v>6.623596147367568</v>
      </c>
      <c r="BC10" s="3">
        <f>MAX(Tabel1[[#This Row],[z_u]],Tabel1[[#This Row],[z_h]],Tabel1[[#This Row],[z_p]])</f>
        <v>6.623596147367568</v>
      </c>
    </row>
    <row r="11" spans="1:55" x14ac:dyDescent="0.25">
      <c r="A11" s="2">
        <v>150</v>
      </c>
      <c r="B11" s="1">
        <v>122.44665168230701</v>
      </c>
      <c r="C11" s="1">
        <v>52.4593241048035</v>
      </c>
      <c r="D11" s="3">
        <v>2500</v>
      </c>
      <c r="E11" s="4">
        <v>0.76708787679672197</v>
      </c>
      <c r="F11" s="5">
        <v>-0.5</v>
      </c>
      <c r="G11" s="5">
        <v>-2</v>
      </c>
      <c r="H11" s="1">
        <v>16</v>
      </c>
      <c r="I11" s="1">
        <v>9.81</v>
      </c>
      <c r="J11" s="3">
        <v>97.5</v>
      </c>
      <c r="K11" s="3">
        <v>6.5</v>
      </c>
      <c r="L11" s="6">
        <v>2.5999999999999998E-4</v>
      </c>
      <c r="M11" s="3">
        <v>10</v>
      </c>
      <c r="N11" s="3">
        <v>195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0.3</v>
      </c>
      <c r="W11" s="3">
        <v>0.3</v>
      </c>
      <c r="X11" s="5">
        <v>8.5</v>
      </c>
      <c r="Y11" s="3">
        <f>MAX(Tabel1[[#This Row],[mv_exit]]-Tabel1[[#This Row],[top_zand]],0.1)</f>
        <v>2.767087876796722</v>
      </c>
      <c r="Z11" s="3">
        <f>MAX(Tabel1[[#This Row],[polderpeil]],Tabel1[[#This Row],[mv_exit]])</f>
        <v>0.76708787679672197</v>
      </c>
      <c r="AA11" s="3">
        <f>Tabel1[[#This Row],[d_deklaag]]*(Tabel1[[#This Row],[gamma_sat_deklaag]]-Tabel1[[#This Row],[gamma_water]])/Tabel1[[#This Row],[gamma_water]]</f>
        <v>1.7460014227697969</v>
      </c>
      <c r="AB11" s="5">
        <f>Tabel1[[#This Row],[buitenwaterstand]]-Tabel1[[#This Row],[h_exit]]-Tabel1[[#This Row],[r_c_deklaag]]*Tabel1[[#This Row],[d_deklaag]]</f>
        <v>6.902785760164261</v>
      </c>
      <c r="AC11" s="3">
        <f>Tabel1[[#This Row],[kD_wvp]]/Tabel1[[#This Row],[D_wvp]]</f>
        <v>15</v>
      </c>
      <c r="AD11" s="3">
        <f>Tabel1[[#This Row],[L_intrede]]-Tabel1[[#This Row],[L_but]]</f>
        <v>27.553348317692993</v>
      </c>
      <c r="AE11" s="3">
        <f>Tabel1[[#This Row],[L_but]]-Tabel1[[#This Row],[L_bit]]</f>
        <v>69.987327577503507</v>
      </c>
      <c r="AF11" s="3">
        <f>SQRT(Tabel1[[#This Row],[kD_wvp]]*Tabel1[[#This Row],[c_voorland]])</f>
        <v>31.22498999199199</v>
      </c>
      <c r="AG11" s="3">
        <f>SQRT(Tabel1[[#This Row],[kD_wvp]]*Tabel1[[#This Row],[c_achterland]])</f>
        <v>137.88582233137677</v>
      </c>
      <c r="AH11" s="3">
        <f>Tabel1[[#This Row],[lambda_voorland]]*TANH(Tabel1[[#This Row],[L_voorland]]/Tabel1[[#This Row],[lambda_voorland]])</f>
        <v>22.095623675331947</v>
      </c>
      <c r="AI11" s="3">
        <f>Tabel1[[#This Row],[lambda_achterland]]*TANH(Tabel1[[#This Row],[L_achterland]]/Tabel1[[#This Row],[lambda_achterland]])</f>
        <v>137.88582233137672</v>
      </c>
      <c r="AJ11" s="3">
        <f>Tabel1[[#This Row],[W_achterland]]/(Tabel1[[#This Row],[W_voorland]]+Tabel1[[#This Row],[L2]]+Tabel1[[#This Row],[W_achterland]])</f>
        <v>0.59958497922277421</v>
      </c>
      <c r="AK11" s="3">
        <f>Tabel1[[#This Row],[r_bit]]*SINH((Tabel1[[#This Row],[L_achterland]]-Tabel1[[#This Row],[L_bit]])/Tabel1[[#This Row],[lambda_achterland]])/SINH(Tabel1[[#This Row],[L_achterland]]/Tabel1[[#This Row],[lambda_achterland]])</f>
        <v>0.40984658480319103</v>
      </c>
      <c r="AL11" s="3">
        <f>Tabel1[[#This Row],[polderpeil]]+(Tabel1[[#This Row],[buitenwaterstand]]-Tabel1[[#This Row],[polderpeil]])*Tabel1[[#This Row],[r_exit]]</f>
        <v>3.1886192632287194</v>
      </c>
      <c r="AM11" s="3">
        <f>Tabel1[[#This Row],[L_but]]+Tabel1[[#This Row],[W_voorland]]</f>
        <v>144.54227535763894</v>
      </c>
      <c r="AN11" s="3">
        <f>(Tabel1[[#This Row],[phi_exit]]-Tabel1[[#This Row],[h_exit]])/Tabel1[[#This Row],[d_deklaag]]</f>
        <v>0.87511907617305129</v>
      </c>
      <c r="AO11" s="9">
        <v>2.0799999999999999E-4</v>
      </c>
      <c r="AP11" s="3">
        <v>26</v>
      </c>
      <c r="AQ11" s="9">
        <v>1.33E-6</v>
      </c>
      <c r="AR11" s="3">
        <v>37</v>
      </c>
      <c r="AS11" s="3">
        <v>0.25</v>
      </c>
      <c r="AT11" s="3">
        <v>9.81</v>
      </c>
      <c r="AU11" s="7">
        <f>Tabel1[[#This Row],[v]]/Tabel1[[#This Row],[g]]*(Tabel1[[#This Row],[k_wvp]]/(24*3600))</f>
        <v>2.3537490089477858E-11</v>
      </c>
      <c r="AV11" s="7">
        <f>Tabel1[[#This Row],[eta]]*((Tabel1[[#This Row],[gamma_korrel]]-Tabel1[[#This Row],[gamma_water]])/Tabel1[[#This Row],[gamma_water]])*TAN(Tabel1[[#This Row],[theta]]*PI()/180)</f>
        <v>0.31090825869429756</v>
      </c>
      <c r="AW11" s="7">
        <f>(Tabel1[[#This Row],[d70_m]]/POWER(Tabel1[[#This Row],[k_intr]]*Tabel1[[#This Row],[L_kwelweg]],1/3))*POWER(Tabel1[[#This Row],[d70]]/Tabel1[[#This Row],[d70_m]],0.4)</f>
        <v>0.15120831056862452</v>
      </c>
      <c r="AX11" s="7">
        <f>0.91*POWER(Tabel1[[#This Row],[D_wvp]]/Tabel1[[#This Row],[L_kwelweg]],(0.28/(POWER(Tabel1[[#This Row],[D_wvp]]/Tabel1[[#This Row],[L_kwelweg]],2.8)-1))+0.04)</f>
        <v>1.9160408153349258</v>
      </c>
      <c r="AY11" s="8">
        <f>Tabel1[[#This Row],[L_kwelweg]]*Tabel1[[#This Row],[F_resis]]*Tabel1[[#This Row],[F_scale]]*Tabel1[[#This Row],[F_geom]]</f>
        <v>13.019897423512134</v>
      </c>
      <c r="AZ11" s="3">
        <f>Tabel1[[#This Row],[modelfactor_u]]*Tabel1[[#This Row],[dphi_c_u]]-(Tabel1[[#This Row],[phi_exit]]-Tabel1[[#This Row],[h_exit]])</f>
        <v>-0.67552996366220053</v>
      </c>
      <c r="BA11" s="3">
        <f>Tabel1[[#This Row],[modelfactor_h]]*Tabel1[[#This Row],[i_c_h]]-Tabel1[[#This Row],[i_exit]]</f>
        <v>-0.57511907617305136</v>
      </c>
      <c r="BB11" s="3">
        <f>Tabel1[[#This Row],[modelfactor_p]]*Tabel1[[#This Row],[dh_c]]-Tabel1[[#This Row],[dh_red]]</f>
        <v>6.117111663347873</v>
      </c>
      <c r="BC11" s="3">
        <f>MAX(Tabel1[[#This Row],[z_u]],Tabel1[[#This Row],[z_h]],Tabel1[[#This Row],[z_p]])</f>
        <v>6.117111663347873</v>
      </c>
    </row>
    <row r="12" spans="1:55" x14ac:dyDescent="0.25">
      <c r="A12" s="2">
        <v>250</v>
      </c>
      <c r="B12" s="1">
        <v>228.928699083384</v>
      </c>
      <c r="C12" s="1">
        <v>133.69022608030599</v>
      </c>
      <c r="D12" s="3">
        <v>2500</v>
      </c>
      <c r="E12" s="4">
        <v>-0.5</v>
      </c>
      <c r="F12" s="5">
        <v>0.35</v>
      </c>
      <c r="G12" s="5">
        <v>-1</v>
      </c>
      <c r="H12" s="1">
        <v>16.5</v>
      </c>
      <c r="I12" s="1">
        <v>9.81</v>
      </c>
      <c r="J12" s="3">
        <v>90</v>
      </c>
      <c r="K12" s="3">
        <v>6</v>
      </c>
      <c r="L12" s="6">
        <v>2.7999999999999998E-4</v>
      </c>
      <c r="M12" s="3">
        <v>10</v>
      </c>
      <c r="N12" s="3">
        <v>115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0.3</v>
      </c>
      <c r="W12" s="3">
        <v>0.3</v>
      </c>
      <c r="X12" s="5">
        <v>9.4</v>
      </c>
      <c r="Y12" s="3">
        <f>MAX(Tabel1[[#This Row],[mv_exit]]-Tabel1[[#This Row],[top_zand]],0.1)</f>
        <v>0.5</v>
      </c>
      <c r="Z12" s="3">
        <f>MAX(Tabel1[[#This Row],[polderpeil]],Tabel1[[#This Row],[mv_exit]])</f>
        <v>0.35</v>
      </c>
      <c r="AA12" s="3">
        <f>Tabel1[[#This Row],[d_deklaag]]*(Tabel1[[#This Row],[gamma_sat_deklaag]]-Tabel1[[#This Row],[gamma_water]])/Tabel1[[#This Row],[gamma_water]]</f>
        <v>0.34097859327217123</v>
      </c>
      <c r="AB12" s="5">
        <f>Tabel1[[#This Row],[buitenwaterstand]]-Tabel1[[#This Row],[h_exit]]-Tabel1[[#This Row],[r_c_deklaag]]*Tabel1[[#This Row],[d_deklaag]]</f>
        <v>8.9</v>
      </c>
      <c r="AC12" s="3">
        <f>Tabel1[[#This Row],[kD_wvp]]/Tabel1[[#This Row],[D_wvp]]</f>
        <v>15</v>
      </c>
      <c r="AD12" s="3">
        <f>Tabel1[[#This Row],[L_intrede]]-Tabel1[[#This Row],[L_but]]</f>
        <v>21.071300916615996</v>
      </c>
      <c r="AE12" s="3">
        <f>Tabel1[[#This Row],[L_but]]-Tabel1[[#This Row],[L_bit]]</f>
        <v>95.238473003078013</v>
      </c>
      <c r="AF12" s="3">
        <f>SQRT(Tabel1[[#This Row],[kD_wvp]]*Tabel1[[#This Row],[c_voorland]])</f>
        <v>30</v>
      </c>
      <c r="AG12" s="3">
        <f>SQRT(Tabel1[[#This Row],[kD_wvp]]*Tabel1[[#This Row],[c_achterland]])</f>
        <v>101.73494974687902</v>
      </c>
      <c r="AH12" s="3">
        <f>Tabel1[[#This Row],[lambda_voorland]]*TANH(Tabel1[[#This Row],[L_voorland]]/Tabel1[[#This Row],[lambda_voorland]])</f>
        <v>18.17622582850721</v>
      </c>
      <c r="AI12" s="3">
        <f>Tabel1[[#This Row],[lambda_achterland]]*TANH(Tabel1[[#This Row],[L_achterland]]/Tabel1[[#This Row],[lambda_achterland]])</f>
        <v>101.73494974687902</v>
      </c>
      <c r="AJ12" s="3">
        <f>Tabel1[[#This Row],[W_achterland]]/(Tabel1[[#This Row],[W_voorland]]+Tabel1[[#This Row],[L2]]+Tabel1[[#This Row],[W_achterland]])</f>
        <v>0.47285668565606176</v>
      </c>
      <c r="AK12" s="3">
        <f>Tabel1[[#This Row],[r_bit]]*SINH((Tabel1[[#This Row],[L_achterland]]-Tabel1[[#This Row],[L_bit]])/Tabel1[[#This Row],[lambda_achterland]])/SINH(Tabel1[[#This Row],[L_achterland]]/Tabel1[[#This Row],[lambda_achterland]])</f>
        <v>0.12706377455739629</v>
      </c>
      <c r="AL12" s="3">
        <f>Tabel1[[#This Row],[polderpeil]]+(Tabel1[[#This Row],[buitenwaterstand]]-Tabel1[[#This Row],[polderpeil]])*Tabel1[[#This Row],[r_exit]]</f>
        <v>1.4999271597444364</v>
      </c>
      <c r="AM12" s="3">
        <f>Tabel1[[#This Row],[L_but]]+Tabel1[[#This Row],[W_voorland]]</f>
        <v>247.1049249118912</v>
      </c>
      <c r="AN12" s="3">
        <f>(Tabel1[[#This Row],[phi_exit]]-Tabel1[[#This Row],[h_exit]])/Tabel1[[#This Row],[d_deklaag]]</f>
        <v>2.2998543194888725</v>
      </c>
      <c r="AO12" s="9">
        <v>2.0799999999999999E-4</v>
      </c>
      <c r="AP12" s="3">
        <v>26</v>
      </c>
      <c r="AQ12" s="9">
        <v>1.33E-6</v>
      </c>
      <c r="AR12" s="3">
        <v>37</v>
      </c>
      <c r="AS12" s="3">
        <v>0.25</v>
      </c>
      <c r="AT12" s="3">
        <v>9.81</v>
      </c>
      <c r="AU12" s="7">
        <f>Tabel1[[#This Row],[v]]/Tabel1[[#This Row],[g]]*(Tabel1[[#This Row],[k_wvp]]/(24*3600))</f>
        <v>2.3537490089477858E-11</v>
      </c>
      <c r="AV12" s="7">
        <f>Tabel1[[#This Row],[eta]]*((Tabel1[[#This Row],[gamma_korrel]]-Tabel1[[#This Row],[gamma_water]])/Tabel1[[#This Row],[gamma_water]])*TAN(Tabel1[[#This Row],[theta]]*PI()/180)</f>
        <v>0.31090825869429756</v>
      </c>
      <c r="AW12" s="7">
        <f>(Tabel1[[#This Row],[d70_m]]/POWER(Tabel1[[#This Row],[k_intr]]*Tabel1[[#This Row],[L_kwelweg]],1/3))*POWER(Tabel1[[#This Row],[d70]]/Tabel1[[#This Row],[d70_m]],0.4)</f>
        <v>0.13026288617330295</v>
      </c>
      <c r="AX12" s="7">
        <f>0.91*POWER(Tabel1[[#This Row],[D_wvp]]/Tabel1[[#This Row],[L_kwelweg]],(0.28/(POWER(Tabel1[[#This Row],[D_wvp]]/Tabel1[[#This Row],[L_kwelweg]],2.8)-1))+0.04)</f>
        <v>2.2212131902979033</v>
      </c>
      <c r="AY12" s="8">
        <f>Tabel1[[#This Row],[L_kwelweg]]*Tabel1[[#This Row],[F_resis]]*Tabel1[[#This Row],[F_scale]]*Tabel1[[#This Row],[F_geom]]</f>
        <v>22.229239232763209</v>
      </c>
      <c r="AZ12" s="3">
        <f>Tabel1[[#This Row],[modelfactor_u]]*Tabel1[[#This Row],[dphi_c_u]]-(Tabel1[[#This Row],[phi_exit]]-Tabel1[[#This Row],[h_exit]])</f>
        <v>-0.8089485664722651</v>
      </c>
      <c r="BA12" s="3">
        <f>Tabel1[[#This Row],[modelfactor_h]]*Tabel1[[#This Row],[i_c_h]]-Tabel1[[#This Row],[i_exit]]</f>
        <v>-1.9998543194888725</v>
      </c>
      <c r="BB12" s="3">
        <f>Tabel1[[#This Row],[modelfactor_p]]*Tabel1[[#This Row],[dh_c]]-Tabel1[[#This Row],[dh_red]]</f>
        <v>13.329239232763209</v>
      </c>
      <c r="BC12" s="3">
        <f>MAX(Tabel1[[#This Row],[z_u]],Tabel1[[#This Row],[z_h]],Tabel1[[#This Row],[z_p]])</f>
        <v>13.329239232763209</v>
      </c>
    </row>
    <row r="13" spans="1:55" x14ac:dyDescent="0.25">
      <c r="A13" s="2">
        <v>200</v>
      </c>
      <c r="B13" s="1">
        <v>114.940110239167</v>
      </c>
      <c r="C13" s="1">
        <v>20.463714348099199</v>
      </c>
      <c r="D13" s="3">
        <v>2500</v>
      </c>
      <c r="E13" s="4">
        <v>2.4669041633606001</v>
      </c>
      <c r="F13" s="5">
        <v>0.35</v>
      </c>
      <c r="G13" s="5">
        <v>-1</v>
      </c>
      <c r="H13" s="1">
        <v>16.5</v>
      </c>
      <c r="I13" s="1">
        <v>9.81</v>
      </c>
      <c r="J13" s="3">
        <v>90</v>
      </c>
      <c r="K13" s="3">
        <v>6</v>
      </c>
      <c r="L13" s="6">
        <v>2.7999999999999998E-4</v>
      </c>
      <c r="M13" s="3">
        <v>10</v>
      </c>
      <c r="N13" s="3">
        <v>115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0.3</v>
      </c>
      <c r="W13" s="3">
        <v>0.3</v>
      </c>
      <c r="X13" s="5">
        <v>8.0399999999999991</v>
      </c>
      <c r="Y13" s="3">
        <f>MAX(Tabel1[[#This Row],[mv_exit]]-Tabel1[[#This Row],[top_zand]],0.1)</f>
        <v>3.4669041633606001</v>
      </c>
      <c r="Z13" s="3">
        <f>MAX(Tabel1[[#This Row],[polderpeil]],Tabel1[[#This Row],[mv_exit]])</f>
        <v>2.4669041633606001</v>
      </c>
      <c r="AA13" s="3">
        <f>Tabel1[[#This Row],[d_deklaag]]*(Tabel1[[#This Row],[gamma_sat_deklaag]]-Tabel1[[#This Row],[gamma_water]])/Tabel1[[#This Row],[gamma_water]]</f>
        <v>2.3642802092642623</v>
      </c>
      <c r="AB13" s="5">
        <f>Tabel1[[#This Row],[buitenwaterstand]]-Tabel1[[#This Row],[h_exit]]-Tabel1[[#This Row],[r_c_deklaag]]*Tabel1[[#This Row],[d_deklaag]]</f>
        <v>4.5330245876312194</v>
      </c>
      <c r="AC13" s="3">
        <f>Tabel1[[#This Row],[kD_wvp]]/Tabel1[[#This Row],[D_wvp]]</f>
        <v>15</v>
      </c>
      <c r="AD13" s="3">
        <f>Tabel1[[#This Row],[L_intrede]]-Tabel1[[#This Row],[L_but]]</f>
        <v>85.059889760833002</v>
      </c>
      <c r="AE13" s="3">
        <f>Tabel1[[#This Row],[L_but]]-Tabel1[[#This Row],[L_bit]]</f>
        <v>94.476395891067796</v>
      </c>
      <c r="AF13" s="3">
        <f>SQRT(Tabel1[[#This Row],[kD_wvp]]*Tabel1[[#This Row],[c_voorland]])</f>
        <v>30</v>
      </c>
      <c r="AG13" s="3">
        <f>SQRT(Tabel1[[#This Row],[kD_wvp]]*Tabel1[[#This Row],[c_achterland]])</f>
        <v>101.73494974687902</v>
      </c>
      <c r="AH13" s="3">
        <f>Tabel1[[#This Row],[lambda_voorland]]*TANH(Tabel1[[#This Row],[L_voorland]]/Tabel1[[#This Row],[lambda_voorland]])</f>
        <v>29.793974313352017</v>
      </c>
      <c r="AI13" s="3">
        <f>Tabel1[[#This Row],[lambda_achterland]]*TANH(Tabel1[[#This Row],[L_achterland]]/Tabel1[[#This Row],[lambda_achterland]])</f>
        <v>101.73494974687902</v>
      </c>
      <c r="AJ13" s="3">
        <f>Tabel1[[#This Row],[W_achterland]]/(Tabel1[[#This Row],[W_voorland]]+Tabel1[[#This Row],[L2]]+Tabel1[[#This Row],[W_achterland]])</f>
        <v>0.45014404868346275</v>
      </c>
      <c r="AK13" s="3">
        <f>Tabel1[[#This Row],[r_bit]]*SINH((Tabel1[[#This Row],[L_achterland]]-Tabel1[[#This Row],[L_bit]])/Tabel1[[#This Row],[lambda_achterland]])/SINH(Tabel1[[#This Row],[L_achterland]]/Tabel1[[#This Row],[lambda_achterland]])</f>
        <v>0.36812417064293468</v>
      </c>
      <c r="AL13" s="3">
        <f>Tabel1[[#This Row],[polderpeil]]+(Tabel1[[#This Row],[buitenwaterstand]]-Tabel1[[#This Row],[polderpeil]])*Tabel1[[#This Row],[r_exit]]</f>
        <v>3.1808748722441678</v>
      </c>
      <c r="AM13" s="3">
        <f>Tabel1[[#This Row],[L_but]]+Tabel1[[#This Row],[W_voorland]]</f>
        <v>144.73408455251902</v>
      </c>
      <c r="AN13" s="3">
        <f>(Tabel1[[#This Row],[phi_exit]]-Tabel1[[#This Row],[h_exit]])/Tabel1[[#This Row],[d_deklaag]]</f>
        <v>0.20593898049708101</v>
      </c>
      <c r="AO13" s="9">
        <v>2.0799999999999999E-4</v>
      </c>
      <c r="AP13" s="3">
        <v>26</v>
      </c>
      <c r="AQ13" s="9">
        <v>1.33E-6</v>
      </c>
      <c r="AR13" s="3">
        <v>37</v>
      </c>
      <c r="AS13" s="3">
        <v>0.25</v>
      </c>
      <c r="AT13" s="3">
        <v>9.81</v>
      </c>
      <c r="AU13" s="7">
        <f>Tabel1[[#This Row],[v]]/Tabel1[[#This Row],[g]]*(Tabel1[[#This Row],[k_wvp]]/(24*3600))</f>
        <v>2.3537490089477858E-11</v>
      </c>
      <c r="AV13" s="7">
        <f>Tabel1[[#This Row],[eta]]*((Tabel1[[#This Row],[gamma_korrel]]-Tabel1[[#This Row],[gamma_water]])/Tabel1[[#This Row],[gamma_water]])*TAN(Tabel1[[#This Row],[theta]]*PI()/180)</f>
        <v>0.31090825869429756</v>
      </c>
      <c r="AW13" s="7">
        <f>(Tabel1[[#This Row],[d70_m]]/POWER(Tabel1[[#This Row],[k_intr]]*Tabel1[[#This Row],[L_kwelweg]],1/3))*POWER(Tabel1[[#This Row],[d70]]/Tabel1[[#This Row],[d70_m]],0.4)</f>
        <v>0.15568886668897616</v>
      </c>
      <c r="AX13" s="7">
        <f>0.91*POWER(Tabel1[[#This Row],[D_wvp]]/Tabel1[[#This Row],[L_kwelweg]],(0.28/(POWER(Tabel1[[#This Row],[D_wvp]]/Tabel1[[#This Row],[L_kwelweg]],2.8)-1))+0.04)</f>
        <v>1.9537735143414083</v>
      </c>
      <c r="AY13" s="8">
        <f>Tabel1[[#This Row],[L_kwelweg]]*Tabel1[[#This Row],[F_resis]]*Tabel1[[#This Row],[F_scale]]*Tabel1[[#This Row],[F_geom]]</f>
        <v>13.687837862282208</v>
      </c>
      <c r="AZ13" s="3">
        <f>Tabel1[[#This Row],[modelfactor_u]]*Tabel1[[#This Row],[dphi_c_u]]-(Tabel1[[#This Row],[phi_exit]]-Tabel1[[#This Row],[h_exit]])</f>
        <v>1.6503095003806947</v>
      </c>
      <c r="BA13" s="3">
        <f>Tabel1[[#This Row],[modelfactor_h]]*Tabel1[[#This Row],[i_c_h]]-Tabel1[[#This Row],[i_exit]]</f>
        <v>9.406101950291898E-2</v>
      </c>
      <c r="BB13" s="3">
        <f>Tabel1[[#This Row],[modelfactor_p]]*Tabel1[[#This Row],[dh_c]]-Tabel1[[#This Row],[dh_red]]</f>
        <v>9.1548132746509889</v>
      </c>
      <c r="BC13" s="3">
        <f>MAX(Tabel1[[#This Row],[z_u]],Tabel1[[#This Row],[z_h]],Tabel1[[#This Row],[z_p]])</f>
        <v>9.1548132746509889</v>
      </c>
    </row>
    <row r="14" spans="1:55" x14ac:dyDescent="0.25">
      <c r="A14" s="2">
        <v>150</v>
      </c>
      <c r="B14" s="3">
        <v>65</v>
      </c>
      <c r="C14" s="3">
        <v>20</v>
      </c>
      <c r="D14" s="3">
        <v>3500</v>
      </c>
      <c r="E14" s="4">
        <v>0.5</v>
      </c>
      <c r="F14" s="5">
        <v>0</v>
      </c>
      <c r="G14" s="5">
        <v>-3</v>
      </c>
      <c r="H14" s="1">
        <v>15.5</v>
      </c>
      <c r="I14" s="1">
        <v>9.81</v>
      </c>
      <c r="J14" s="3">
        <v>2000</v>
      </c>
      <c r="K14" s="3">
        <v>50</v>
      </c>
      <c r="L14" s="6">
        <v>3.5E-4</v>
      </c>
      <c r="M14" s="3">
        <v>10</v>
      </c>
      <c r="N14" s="3">
        <v>150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0.5</v>
      </c>
      <c r="W14" s="3">
        <v>0.5</v>
      </c>
      <c r="X14" s="5">
        <v>5</v>
      </c>
      <c r="Y14" s="3">
        <f>MAX(Tabel1[[#This Row],[mv_exit]]-Tabel1[[#This Row],[top_zand]],0.1)</f>
        <v>3.5</v>
      </c>
      <c r="Z14" s="3">
        <f>MAX(Tabel1[[#This Row],[polderpeil]],Tabel1[[#This Row],[mv_exit]])</f>
        <v>0.5</v>
      </c>
      <c r="AA14" s="10">
        <f>Tabel1[[#This Row],[d_deklaag]]*(Tabel1[[#This Row],[gamma_sat_deklaag]]-Tabel1[[#This Row],[gamma_water]])/Tabel1[[#This Row],[gamma_water]]</f>
        <v>2.030071355759429</v>
      </c>
      <c r="AB14" s="8">
        <f>Tabel1[[#This Row],[buitenwaterstand]]-Tabel1[[#This Row],[h_exit]]-Tabel1[[#This Row],[r_c_deklaag]]*Tabel1[[#This Row],[d_deklaag]]</f>
        <v>2.75</v>
      </c>
      <c r="AC14" s="3">
        <f>Tabel1[[#This Row],[kD_wvp]]/Tabel1[[#This Row],[D_wvp]]</f>
        <v>40</v>
      </c>
      <c r="AD14" s="3">
        <f>Tabel1[[#This Row],[L_intrede]]-Tabel1[[#This Row],[L_but]]</f>
        <v>85</v>
      </c>
      <c r="AE14" s="3">
        <f>Tabel1[[#This Row],[L_but]]-Tabel1[[#This Row],[L_bit]]</f>
        <v>45</v>
      </c>
      <c r="AF14" s="3">
        <f>SQRT(Tabel1[[#This Row],[kD_wvp]]*Tabel1[[#This Row],[c_voorland]])</f>
        <v>141.42135623730951</v>
      </c>
      <c r="AG14" s="3">
        <f>SQRT(Tabel1[[#This Row],[kD_wvp]]*Tabel1[[#This Row],[c_achterland]])</f>
        <v>547.72255750516615</v>
      </c>
      <c r="AH14" s="3">
        <f>Tabel1[[#This Row],[lambda_voorland]]*TANH(Tabel1[[#This Row],[L_voorland]]/Tabel1[[#This Row],[lambda_voorland]])</f>
        <v>76.054954053849357</v>
      </c>
      <c r="AI14" s="3">
        <f>Tabel1[[#This Row],[lambda_achterland]]*TANH(Tabel1[[#This Row],[L_achterland]]/Tabel1[[#This Row],[lambda_achterland]])</f>
        <v>547.71947274006595</v>
      </c>
      <c r="AJ14" s="3">
        <f>Tabel1[[#This Row],[W_achterland]]/(Tabel1[[#This Row],[W_voorland]]+Tabel1[[#This Row],[L2]]+Tabel1[[#This Row],[W_achterland]])</f>
        <v>0.81898985785957279</v>
      </c>
      <c r="AK14" s="2">
        <f>Tabel1[[#This Row],[r_bit]]*SINH((Tabel1[[#This Row],[L_achterland]]-Tabel1[[#This Row],[L_bit]])/Tabel1[[#This Row],[lambda_achterland]])/SINH(Tabel1[[#This Row],[L_achterland]]/Tabel1[[#This Row],[lambda_achterland]])</f>
        <v>0.78962381593999176</v>
      </c>
      <c r="AL14" s="2">
        <f>Tabel1[[#This Row],[polderpeil]]+(Tabel1[[#This Row],[buitenwaterstand]]-Tabel1[[#This Row],[polderpeil]])*Tabel1[[#This Row],[r_exit]]</f>
        <v>3.9481190796999588</v>
      </c>
      <c r="AM14" s="4">
        <f>Tabel1[[#This Row],[L_but]]+Tabel1[[#This Row],[W_voorland]]</f>
        <v>141.05495405384937</v>
      </c>
      <c r="AN14" s="11">
        <f>(Tabel1[[#This Row],[phi_exit]]-Tabel1[[#This Row],[h_exit]])/Tabel1[[#This Row],[d_deklaag]]</f>
        <v>0.98517687991427394</v>
      </c>
      <c r="AO14" s="9">
        <v>2.0799999999999999E-4</v>
      </c>
      <c r="AP14" s="3">
        <v>26</v>
      </c>
      <c r="AQ14" s="9">
        <v>1.33E-6</v>
      </c>
      <c r="AR14" s="3">
        <v>37</v>
      </c>
      <c r="AS14" s="3">
        <v>0.25</v>
      </c>
      <c r="AT14" s="3">
        <v>9.81</v>
      </c>
      <c r="AU14" s="7">
        <f>Tabel1[[#This Row],[v]]/Tabel1[[#This Row],[g]]*(Tabel1[[#This Row],[k_wvp]]/(24*3600))</f>
        <v>6.276664023860762E-11</v>
      </c>
      <c r="AV14" s="7">
        <f>Tabel1[[#This Row],[eta]]*((Tabel1[[#This Row],[gamma_korrel]]-Tabel1[[#This Row],[gamma_water]])/Tabel1[[#This Row],[gamma_water]])*TAN(Tabel1[[#This Row],[theta]]*PI()/180)</f>
        <v>0.31090825869429756</v>
      </c>
      <c r="AW14" s="7">
        <f>(Tabel1[[#This Row],[d70_m]]/POWER(Tabel1[[#This Row],[k_intr]]*Tabel1[[#This Row],[L_kwelweg]],1/3))*POWER(Tabel1[[#This Row],[d70]]/Tabel1[[#This Row],[d70_m]],0.4)</f>
        <v>0.12381106993244161</v>
      </c>
      <c r="AX14" s="7">
        <f>0.91*POWER(Tabel1[[#This Row],[D_wvp]]/Tabel1[[#This Row],[L_kwelweg]],(0.28/(POWER(Tabel1[[#This Row],[D_wvp]]/Tabel1[[#This Row],[L_kwelweg]],2.8)-1))+0.04)</f>
        <v>1.1870105043660897</v>
      </c>
      <c r="AY14" s="2">
        <f>Tabel1[[#This Row],[L_kwelweg]]*Tabel1[[#This Row],[F_resis]]*Tabel1[[#This Row],[F_scale]]*Tabel1[[#This Row],[F_geom]]</f>
        <v>6.4451739201275222</v>
      </c>
      <c r="AZ14" s="8">
        <f>Tabel1[[#This Row],[modelfactor_u]]*Tabel1[[#This Row],[dphi_c_u]]-(Tabel1[[#This Row],[phi_exit]]-Tabel1[[#This Row],[h_exit]])</f>
        <v>-1.4180477239405298</v>
      </c>
      <c r="BA14" s="8">
        <f>Tabel1[[#This Row],[modelfactor_h]]*Tabel1[[#This Row],[i_c_h]]-Tabel1[[#This Row],[i_exit]]</f>
        <v>-0.48517687991427394</v>
      </c>
      <c r="BB14" s="8">
        <f>Tabel1[[#This Row],[modelfactor_p]]*Tabel1[[#This Row],[dh_c]]-Tabel1[[#This Row],[dh_red]]</f>
        <v>3.6951739201275222</v>
      </c>
      <c r="BC14" s="8">
        <f>MAX(Tabel1[[#This Row],[z_u]],Tabel1[[#This Row],[z_h]],Tabel1[[#This Row],[z_p]])</f>
        <v>3.6951739201275222</v>
      </c>
    </row>
    <row r="15" spans="1:55" x14ac:dyDescent="0.25">
      <c r="A15" s="2"/>
      <c r="D15" s="3"/>
      <c r="E15" s="4"/>
      <c r="F15" s="5"/>
      <c r="G15" s="5"/>
      <c r="J15" s="3"/>
      <c r="K15" s="3"/>
      <c r="L15" s="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5"/>
      <c r="Y15" s="3"/>
      <c r="Z15" s="3"/>
      <c r="AA15" s="3"/>
      <c r="AB15" s="5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7"/>
      <c r="AV15" s="7"/>
      <c r="AW15" s="7"/>
      <c r="AX15" s="7"/>
      <c r="AY15" s="8"/>
      <c r="AZ15" s="3"/>
      <c r="BA15" s="3"/>
      <c r="BB15" s="3"/>
      <c r="BC15" s="3"/>
    </row>
    <row r="16" spans="1:55" x14ac:dyDescent="0.25">
      <c r="A16" s="2"/>
      <c r="D16" s="3"/>
      <c r="E16" s="4"/>
      <c r="F16" s="5"/>
      <c r="G16" s="5"/>
      <c r="J16" s="3"/>
      <c r="K16" s="3"/>
      <c r="L16" s="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5"/>
      <c r="Y16" s="3"/>
      <c r="Z16" s="3"/>
      <c r="AA16" s="3"/>
      <c r="AB16" s="5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7"/>
      <c r="AV16" s="7"/>
      <c r="AW16" s="7"/>
      <c r="AX16" s="7"/>
      <c r="AY16" s="8"/>
      <c r="AZ16" s="3"/>
      <c r="BA16" s="3"/>
      <c r="BB16" s="3"/>
      <c r="BC16" s="3"/>
    </row>
    <row r="17" spans="1:55" x14ac:dyDescent="0.25">
      <c r="A17" s="2"/>
      <c r="D17" s="3"/>
      <c r="E17" s="4"/>
      <c r="F17" s="5"/>
      <c r="G17" s="5"/>
      <c r="J17" s="3"/>
      <c r="K17" s="3"/>
      <c r="L17" s="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5"/>
      <c r="Y17" s="3"/>
      <c r="Z17" s="3"/>
      <c r="AA17" s="3"/>
      <c r="AB17" s="5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7"/>
      <c r="AV17" s="7"/>
      <c r="AW17" s="7"/>
      <c r="AX17" s="7"/>
      <c r="AY17" s="8"/>
      <c r="AZ17" s="3"/>
      <c r="BA17" s="3"/>
      <c r="BB17" s="3"/>
      <c r="BC17" s="3"/>
    </row>
    <row r="18" spans="1:55" x14ac:dyDescent="0.25">
      <c r="A18" s="2"/>
      <c r="D18" s="3"/>
      <c r="E18" s="4"/>
      <c r="F18" s="5"/>
      <c r="G18" s="5"/>
      <c r="J18" s="3"/>
      <c r="K18" s="3"/>
      <c r="L18" s="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5"/>
      <c r="Y18" s="3"/>
      <c r="Z18" s="3"/>
      <c r="AA18" s="3"/>
      <c r="AB18" s="5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7"/>
      <c r="AV18" s="7"/>
      <c r="AW18" s="7"/>
      <c r="AX18" s="7"/>
      <c r="AY18" s="8"/>
      <c r="AZ18" s="3"/>
      <c r="BA18" s="3"/>
      <c r="BB18" s="3"/>
      <c r="BC18" s="3"/>
    </row>
    <row r="19" spans="1:55" x14ac:dyDescent="0.25">
      <c r="A19" s="2"/>
      <c r="D19" s="3"/>
      <c r="E19" s="4"/>
      <c r="F19" s="5"/>
      <c r="G19" s="5"/>
      <c r="J19" s="3"/>
      <c r="K19" s="3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5"/>
      <c r="Y19" s="3"/>
      <c r="Z19" s="3"/>
      <c r="AA19" s="3"/>
      <c r="AB19" s="5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7"/>
      <c r="AV19" s="7"/>
      <c r="AW19" s="7"/>
      <c r="AX19" s="7"/>
      <c r="AY19" s="8"/>
      <c r="AZ19" s="3"/>
      <c r="BA19" s="3"/>
      <c r="BB19" s="3"/>
      <c r="BC19" s="3"/>
    </row>
    <row r="20" spans="1:55" x14ac:dyDescent="0.25">
      <c r="A20" s="2"/>
      <c r="D20" s="3"/>
      <c r="E20" s="4"/>
      <c r="F20" s="5"/>
      <c r="G20" s="5"/>
      <c r="J20" s="3"/>
      <c r="K20" s="3"/>
      <c r="L20" s="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5"/>
      <c r="Y20" s="3"/>
      <c r="Z20" s="3"/>
      <c r="AA20" s="3"/>
      <c r="AB20" s="5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7"/>
      <c r="AV20" s="7"/>
      <c r="AW20" s="7"/>
      <c r="AX20" s="7"/>
      <c r="AY20" s="8"/>
      <c r="AZ20" s="3"/>
      <c r="BA20" s="3"/>
      <c r="BB20" s="3"/>
      <c r="BC20" s="3"/>
    </row>
    <row r="21" spans="1:55" x14ac:dyDescent="0.25">
      <c r="A21" s="2"/>
      <c r="D21" s="3"/>
      <c r="E21" s="4"/>
      <c r="F21" s="5"/>
      <c r="G21" s="5"/>
      <c r="J21" s="3"/>
      <c r="K21" s="3"/>
      <c r="L21" s="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5"/>
      <c r="Y21" s="3"/>
      <c r="Z21" s="3"/>
      <c r="AA21" s="3"/>
      <c r="AB21" s="5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7"/>
      <c r="AV21" s="7"/>
      <c r="AW21" s="7"/>
      <c r="AX21" s="7"/>
      <c r="AY21" s="8"/>
      <c r="AZ21" s="3"/>
      <c r="BA21" s="3"/>
      <c r="BB21" s="3"/>
      <c r="BC21" s="3"/>
    </row>
    <row r="22" spans="1:55" x14ac:dyDescent="0.25">
      <c r="A22" s="2"/>
      <c r="D22" s="3"/>
      <c r="E22" s="4"/>
      <c r="F22" s="5"/>
      <c r="G22" s="5"/>
      <c r="J22" s="3"/>
      <c r="K22" s="3"/>
      <c r="L22" s="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5"/>
      <c r="Y22" s="3"/>
      <c r="Z22" s="3"/>
      <c r="AA22" s="3"/>
      <c r="AB22" s="5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7"/>
      <c r="AV22" s="7"/>
      <c r="AW22" s="7"/>
      <c r="AX22" s="7"/>
      <c r="AY22" s="8"/>
      <c r="AZ22" s="3"/>
      <c r="BA22" s="3"/>
      <c r="BB22" s="3"/>
      <c r="BC22" s="3"/>
    </row>
    <row r="23" spans="1:55" x14ac:dyDescent="0.25">
      <c r="A23" s="2"/>
      <c r="D23" s="3"/>
      <c r="E23" s="4"/>
      <c r="F23" s="5"/>
      <c r="G23" s="5"/>
      <c r="J23" s="3"/>
      <c r="K23" s="3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5"/>
      <c r="Y23" s="3"/>
      <c r="Z23" s="3"/>
      <c r="AA23" s="3"/>
      <c r="AB23" s="5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7"/>
      <c r="AV23" s="7"/>
      <c r="AW23" s="7"/>
      <c r="AX23" s="7"/>
      <c r="AY23" s="8"/>
      <c r="AZ23" s="3"/>
      <c r="BA23" s="3"/>
      <c r="BB23" s="3"/>
      <c r="BC23" s="3"/>
    </row>
    <row r="24" spans="1:55" x14ac:dyDescent="0.25">
      <c r="A24" s="2"/>
      <c r="D24" s="3"/>
      <c r="E24" s="4"/>
      <c r="F24" s="5"/>
      <c r="G24" s="5"/>
      <c r="J24" s="3"/>
      <c r="K24" s="3"/>
      <c r="L24" s="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5"/>
      <c r="Y24" s="3"/>
      <c r="Z24" s="3"/>
      <c r="AA24" s="3"/>
      <c r="AB24" s="5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7"/>
      <c r="AV24" s="7"/>
      <c r="AW24" s="7"/>
      <c r="AX24" s="7"/>
      <c r="AY24" s="8"/>
      <c r="AZ24" s="3"/>
      <c r="BA24" s="3"/>
      <c r="BB24" s="3"/>
      <c r="BC24" s="3"/>
    </row>
    <row r="25" spans="1:55" x14ac:dyDescent="0.25">
      <c r="A25" s="2"/>
      <c r="D25" s="3"/>
      <c r="E25" s="4"/>
      <c r="F25" s="5"/>
      <c r="G25" s="5"/>
      <c r="J25" s="3"/>
      <c r="K25" s="3"/>
      <c r="L25" s="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5"/>
      <c r="Y25" s="3"/>
      <c r="Z25" s="3"/>
      <c r="AA25" s="3"/>
      <c r="AB25" s="5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7"/>
      <c r="AV25" s="7"/>
      <c r="AW25" s="7"/>
      <c r="AX25" s="7"/>
      <c r="AY25" s="8"/>
      <c r="AZ25" s="3"/>
      <c r="BA25" s="3"/>
      <c r="BB25" s="3"/>
      <c r="BC25" s="3"/>
    </row>
    <row r="26" spans="1:55" x14ac:dyDescent="0.25">
      <c r="A26" s="2"/>
      <c r="D26" s="3"/>
      <c r="E26" s="4"/>
      <c r="F26" s="5"/>
      <c r="G26" s="5"/>
      <c r="J26" s="3"/>
      <c r="K26" s="3"/>
      <c r="L26" s="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5"/>
      <c r="Y26" s="3"/>
      <c r="Z26" s="3"/>
      <c r="AA26" s="3"/>
      <c r="AB26" s="5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7"/>
      <c r="AV26" s="7"/>
      <c r="AW26" s="7"/>
      <c r="AX26" s="7"/>
      <c r="AY26" s="8"/>
      <c r="AZ26" s="3"/>
      <c r="BA26" s="3"/>
      <c r="BB26" s="3"/>
      <c r="BC26" s="3"/>
    </row>
    <row r="27" spans="1:55" x14ac:dyDescent="0.25">
      <c r="A27" s="2"/>
      <c r="D27" s="3"/>
      <c r="E27" s="4"/>
      <c r="F27" s="5"/>
      <c r="G27" s="5"/>
      <c r="J27" s="3"/>
      <c r="K27" s="3"/>
      <c r="L27" s="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5"/>
      <c r="Y27" s="3"/>
      <c r="Z27" s="3"/>
      <c r="AA27" s="3"/>
      <c r="AB27" s="5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7"/>
      <c r="AV27" s="7"/>
      <c r="AW27" s="7"/>
      <c r="AX27" s="7"/>
      <c r="AY27" s="8"/>
      <c r="AZ27" s="3"/>
      <c r="BA27" s="3"/>
      <c r="BB27" s="3"/>
      <c r="BC27" s="3"/>
    </row>
    <row r="28" spans="1:55" x14ac:dyDescent="0.25">
      <c r="A28" s="2"/>
      <c r="D28" s="3"/>
      <c r="E28" s="4"/>
      <c r="F28" s="5"/>
      <c r="G28" s="5"/>
      <c r="J28" s="3"/>
      <c r="K28" s="3"/>
      <c r="L28" s="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5"/>
      <c r="Y28" s="3"/>
      <c r="Z28" s="3"/>
      <c r="AA28" s="3"/>
      <c r="AB28" s="5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7"/>
      <c r="AV28" s="7"/>
      <c r="AW28" s="7"/>
      <c r="AX28" s="7"/>
      <c r="AY28" s="8"/>
      <c r="AZ28" s="3"/>
      <c r="BA28" s="3"/>
      <c r="BB28" s="3"/>
      <c r="BC28" s="3"/>
    </row>
    <row r="29" spans="1:55" x14ac:dyDescent="0.25">
      <c r="A29" s="2"/>
      <c r="D29" s="3"/>
      <c r="E29" s="4"/>
      <c r="F29" s="5"/>
      <c r="G29" s="5"/>
      <c r="J29" s="3"/>
      <c r="K29" s="3"/>
      <c r="L29" s="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5"/>
      <c r="Y29" s="3"/>
      <c r="Z29" s="3"/>
      <c r="AA29" s="3"/>
      <c r="AB29" s="5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7"/>
      <c r="AV29" s="7"/>
      <c r="AW29" s="7"/>
      <c r="AX29" s="7"/>
      <c r="AY29" s="8"/>
      <c r="AZ29" s="3"/>
      <c r="BA29" s="3"/>
      <c r="BB29" s="3"/>
      <c r="BC29" s="3"/>
    </row>
    <row r="30" spans="1:55" x14ac:dyDescent="0.25">
      <c r="A30" s="2"/>
      <c r="D30" s="3"/>
      <c r="E30" s="4"/>
      <c r="F30" s="5"/>
      <c r="G30" s="5"/>
      <c r="J30" s="3"/>
      <c r="K30" s="3"/>
      <c r="L30" s="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5"/>
      <c r="Y30" s="3"/>
      <c r="Z30" s="3"/>
      <c r="AA30" s="3"/>
      <c r="AB30" s="5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7"/>
      <c r="AV30" s="7"/>
      <c r="AW30" s="7"/>
      <c r="AX30" s="7"/>
      <c r="AY30" s="8"/>
      <c r="AZ30" s="3"/>
      <c r="BA30" s="3"/>
      <c r="BB30" s="3"/>
      <c r="BC30" s="3"/>
    </row>
    <row r="31" spans="1:55" x14ac:dyDescent="0.25">
      <c r="A31" s="2"/>
      <c r="D31" s="3"/>
      <c r="E31" s="4"/>
      <c r="F31" s="5"/>
      <c r="G31" s="5"/>
      <c r="J31" s="3"/>
      <c r="K31" s="3"/>
      <c r="L31" s="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5"/>
      <c r="Y31" s="3"/>
      <c r="Z31" s="3"/>
      <c r="AA31" s="3"/>
      <c r="AB31" s="5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7"/>
      <c r="AV31" s="7"/>
      <c r="AW31" s="7"/>
      <c r="AX31" s="7"/>
      <c r="AY31" s="8"/>
      <c r="AZ31" s="3"/>
      <c r="BA31" s="3"/>
      <c r="BB31" s="3"/>
      <c r="BC31" s="3"/>
    </row>
    <row r="32" spans="1:55" x14ac:dyDescent="0.25">
      <c r="A32" s="2"/>
      <c r="D32" s="3"/>
      <c r="E32" s="4"/>
      <c r="F32" s="5"/>
      <c r="G32" s="5"/>
      <c r="J32" s="3"/>
      <c r="K32" s="3"/>
      <c r="L32" s="6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5"/>
      <c r="Y32" s="3"/>
      <c r="Z32" s="3"/>
      <c r="AA32" s="3"/>
      <c r="AB32" s="5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7"/>
      <c r="AV32" s="7"/>
      <c r="AW32" s="7"/>
      <c r="AX32" s="7"/>
      <c r="AY32" s="8"/>
      <c r="AZ32" s="3"/>
      <c r="BA32" s="3"/>
      <c r="BB32" s="3"/>
      <c r="BC32" s="3"/>
    </row>
    <row r="33" spans="1:55" x14ac:dyDescent="0.25">
      <c r="A33" s="2"/>
      <c r="D33" s="3"/>
      <c r="E33" s="4"/>
      <c r="F33" s="5"/>
      <c r="G33" s="5"/>
      <c r="J33" s="3"/>
      <c r="K33" s="3"/>
      <c r="L33" s="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5"/>
      <c r="Y33" s="3"/>
      <c r="Z33" s="3"/>
      <c r="AA33" s="3"/>
      <c r="AB33" s="5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7"/>
      <c r="AV33" s="7"/>
      <c r="AW33" s="7"/>
      <c r="AX33" s="7"/>
      <c r="AY33" s="8"/>
      <c r="AZ33" s="3"/>
      <c r="BA33" s="3"/>
      <c r="BB33" s="3"/>
      <c r="BC33" s="3"/>
    </row>
    <row r="34" spans="1:55" x14ac:dyDescent="0.25">
      <c r="A34" s="2"/>
      <c r="D34" s="3"/>
      <c r="E34" s="4"/>
      <c r="F34" s="5"/>
      <c r="G34" s="5"/>
      <c r="J34" s="3"/>
      <c r="K34" s="3"/>
      <c r="L34" s="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5"/>
      <c r="Y34" s="3"/>
      <c r="Z34" s="3"/>
      <c r="AA34" s="3"/>
      <c r="AB34" s="5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7"/>
      <c r="AV34" s="7"/>
      <c r="AW34" s="7"/>
      <c r="AX34" s="7"/>
      <c r="AY34" s="8"/>
      <c r="AZ34" s="3"/>
      <c r="BA34" s="3"/>
      <c r="BB34" s="3"/>
      <c r="BC34" s="3"/>
    </row>
    <row r="35" spans="1:55" x14ac:dyDescent="0.25">
      <c r="A35" s="2"/>
      <c r="D35" s="3"/>
      <c r="E35" s="4"/>
      <c r="F35" s="5"/>
      <c r="G35" s="5"/>
      <c r="J35" s="3"/>
      <c r="K35" s="3"/>
      <c r="L35" s="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5"/>
      <c r="Y35" s="3"/>
      <c r="Z35" s="3"/>
      <c r="AA35" s="3"/>
      <c r="AB35" s="5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7"/>
      <c r="AV35" s="7"/>
      <c r="AW35" s="7"/>
      <c r="AX35" s="7"/>
      <c r="AY35" s="8"/>
      <c r="AZ35" s="3"/>
      <c r="BA35" s="3"/>
      <c r="BB35" s="3"/>
      <c r="BC35" s="3"/>
    </row>
    <row r="36" spans="1:55" x14ac:dyDescent="0.25">
      <c r="A36" s="2"/>
      <c r="D36" s="3"/>
      <c r="E36" s="4"/>
      <c r="F36" s="5"/>
      <c r="G36" s="5"/>
      <c r="J36" s="3"/>
      <c r="K36" s="3"/>
      <c r="L36" s="6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5"/>
      <c r="Y36" s="3"/>
      <c r="Z36" s="3"/>
      <c r="AA36" s="3"/>
      <c r="AB36" s="5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7"/>
      <c r="AV36" s="7"/>
      <c r="AW36" s="7"/>
      <c r="AX36" s="7"/>
      <c r="AY36" s="8"/>
      <c r="AZ36" s="3"/>
      <c r="BA36" s="3"/>
      <c r="BB36" s="3"/>
      <c r="BC36" s="3"/>
    </row>
    <row r="37" spans="1:55" x14ac:dyDescent="0.25">
      <c r="A37" s="2"/>
      <c r="D37" s="3"/>
      <c r="E37" s="4"/>
      <c r="F37" s="5"/>
      <c r="G37" s="5"/>
      <c r="J37" s="3"/>
      <c r="K37" s="3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5"/>
      <c r="Y37" s="3"/>
      <c r="Z37" s="3"/>
      <c r="AA37" s="3"/>
      <c r="AB37" s="5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7"/>
      <c r="AV37" s="7"/>
      <c r="AW37" s="7"/>
      <c r="AX37" s="7"/>
      <c r="AY37" s="8"/>
      <c r="AZ37" s="3"/>
      <c r="BA37" s="3"/>
      <c r="BB37" s="3"/>
      <c r="BC37" s="3"/>
    </row>
    <row r="38" spans="1:55" x14ac:dyDescent="0.25">
      <c r="A38" s="2"/>
      <c r="D38" s="3"/>
      <c r="E38" s="4"/>
      <c r="F38" s="5"/>
      <c r="G38" s="5"/>
      <c r="J38" s="3"/>
      <c r="K38" s="3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5"/>
      <c r="Y38" s="3"/>
      <c r="Z38" s="3"/>
      <c r="AA38" s="3"/>
      <c r="AB38" s="5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7"/>
      <c r="AV38" s="7"/>
      <c r="AW38" s="7"/>
      <c r="AX38" s="7"/>
      <c r="AY38" s="8"/>
      <c r="AZ38" s="3"/>
      <c r="BA38" s="3"/>
      <c r="BB38" s="3"/>
      <c r="BC38" s="3"/>
    </row>
    <row r="39" spans="1:55" x14ac:dyDescent="0.25">
      <c r="A39" s="2"/>
      <c r="D39" s="3"/>
      <c r="E39" s="4"/>
      <c r="F39" s="5"/>
      <c r="G39" s="5"/>
      <c r="J39" s="3"/>
      <c r="K39" s="3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5"/>
      <c r="Y39" s="3"/>
      <c r="Z39" s="3"/>
      <c r="AA39" s="3"/>
      <c r="AB39" s="5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7"/>
      <c r="AV39" s="7"/>
      <c r="AW39" s="7"/>
      <c r="AX39" s="7"/>
      <c r="AY39" s="8"/>
      <c r="AZ39" s="3"/>
      <c r="BA39" s="3"/>
      <c r="BB39" s="3"/>
      <c r="BC39" s="3"/>
    </row>
    <row r="40" spans="1:55" x14ac:dyDescent="0.25">
      <c r="A40" s="2"/>
      <c r="D40" s="3"/>
      <c r="E40" s="4"/>
      <c r="F40" s="5"/>
      <c r="G40" s="5"/>
      <c r="J40" s="3"/>
      <c r="K40" s="3"/>
      <c r="L40" s="6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5"/>
      <c r="Y40" s="3"/>
      <c r="Z40" s="3"/>
      <c r="AA40" s="3"/>
      <c r="AB40" s="5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7"/>
      <c r="AV40" s="7"/>
      <c r="AW40" s="7"/>
      <c r="AX40" s="7"/>
      <c r="AY40" s="8"/>
      <c r="AZ40" s="3"/>
      <c r="BA40" s="3"/>
      <c r="BB40" s="3"/>
      <c r="BC40" s="3"/>
    </row>
    <row r="41" spans="1:55" x14ac:dyDescent="0.25">
      <c r="A41" s="2"/>
      <c r="D41" s="3"/>
      <c r="E41" s="4"/>
      <c r="F41" s="5"/>
      <c r="G41" s="5"/>
      <c r="J41" s="3"/>
      <c r="K41" s="3"/>
      <c r="L41" s="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5"/>
      <c r="Y41" s="3"/>
      <c r="Z41" s="3"/>
      <c r="AA41" s="3"/>
      <c r="AB41" s="5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7"/>
      <c r="AV41" s="7"/>
      <c r="AW41" s="7"/>
      <c r="AX41" s="7"/>
      <c r="AY41" s="8"/>
      <c r="AZ41" s="3"/>
      <c r="BA41" s="3"/>
      <c r="BB41" s="3"/>
      <c r="BC41" s="3"/>
    </row>
    <row r="42" spans="1:55" x14ac:dyDescent="0.25">
      <c r="A42" s="2"/>
      <c r="D42" s="3"/>
      <c r="E42" s="4"/>
      <c r="F42" s="5"/>
      <c r="G42" s="5"/>
      <c r="J42" s="3"/>
      <c r="K42" s="3"/>
      <c r="L42" s="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5"/>
      <c r="Y42" s="3"/>
      <c r="Z42" s="3"/>
      <c r="AA42" s="3"/>
      <c r="AB42" s="5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7"/>
      <c r="AV42" s="7"/>
      <c r="AW42" s="7"/>
      <c r="AX42" s="7"/>
      <c r="AY42" s="8"/>
      <c r="AZ42" s="3"/>
      <c r="BA42" s="3"/>
      <c r="BB42" s="3"/>
      <c r="BC42" s="3"/>
    </row>
    <row r="43" spans="1:55" x14ac:dyDescent="0.25">
      <c r="A43" s="2"/>
      <c r="D43" s="3"/>
      <c r="E43" s="4"/>
      <c r="F43" s="5"/>
      <c r="G43" s="5"/>
      <c r="J43" s="3"/>
      <c r="K43" s="3"/>
      <c r="L43" s="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5"/>
      <c r="Y43" s="3"/>
      <c r="Z43" s="3"/>
      <c r="AA43" s="3"/>
      <c r="AB43" s="5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7"/>
      <c r="AV43" s="7"/>
      <c r="AW43" s="7"/>
      <c r="AX43" s="7"/>
      <c r="AY43" s="8"/>
      <c r="AZ43" s="3"/>
      <c r="BA43" s="3"/>
      <c r="BB43" s="3"/>
      <c r="BC43" s="3"/>
    </row>
    <row r="44" spans="1:55" x14ac:dyDescent="0.25">
      <c r="A44" s="2"/>
      <c r="D44" s="3"/>
      <c r="E44" s="4"/>
      <c r="F44" s="5"/>
      <c r="G44" s="5"/>
      <c r="J44" s="3"/>
      <c r="K44" s="3"/>
      <c r="L44" s="6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5"/>
      <c r="Y44" s="3"/>
      <c r="Z44" s="3"/>
      <c r="AA44" s="3"/>
      <c r="AB44" s="5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7"/>
      <c r="AV44" s="7"/>
      <c r="AW44" s="7"/>
      <c r="AX44" s="7"/>
      <c r="AY44" s="8"/>
      <c r="AZ44" s="3"/>
      <c r="BA44" s="3"/>
      <c r="BB44" s="3"/>
      <c r="BC44" s="3"/>
    </row>
    <row r="45" spans="1:55" x14ac:dyDescent="0.25">
      <c r="A45" s="2"/>
      <c r="D45" s="3"/>
      <c r="E45" s="4"/>
      <c r="F45" s="5"/>
      <c r="G45" s="5"/>
      <c r="J45" s="3"/>
      <c r="K45" s="3"/>
      <c r="L45" s="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5"/>
      <c r="Y45" s="3"/>
      <c r="Z45" s="3"/>
      <c r="AA45" s="3"/>
      <c r="AB45" s="5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7"/>
      <c r="AV45" s="7"/>
      <c r="AW45" s="7"/>
      <c r="AX45" s="7"/>
      <c r="AY45" s="8"/>
      <c r="AZ45" s="3"/>
      <c r="BA45" s="3"/>
      <c r="BB45" s="3"/>
      <c r="BC45" s="3"/>
    </row>
    <row r="46" spans="1:55" x14ac:dyDescent="0.25">
      <c r="A46" s="2"/>
      <c r="D46" s="3"/>
      <c r="E46" s="4"/>
      <c r="F46" s="5"/>
      <c r="G46" s="5"/>
      <c r="J46" s="3"/>
      <c r="K46" s="3"/>
      <c r="L46" s="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5"/>
      <c r="Y46" s="3"/>
      <c r="Z46" s="3"/>
      <c r="AA46" s="3"/>
      <c r="AB46" s="5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7"/>
      <c r="AV46" s="7"/>
      <c r="AW46" s="7"/>
      <c r="AX46" s="7"/>
      <c r="AY46" s="8"/>
      <c r="AZ46" s="3"/>
      <c r="BA46" s="3"/>
      <c r="BB46" s="3"/>
      <c r="BC46" s="3"/>
    </row>
    <row r="47" spans="1:55" x14ac:dyDescent="0.25">
      <c r="A47" s="2"/>
      <c r="D47" s="3"/>
      <c r="E47" s="4"/>
      <c r="F47" s="5"/>
      <c r="G47" s="5"/>
      <c r="J47" s="3"/>
      <c r="K47" s="3"/>
      <c r="L47" s="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5"/>
      <c r="Y47" s="3"/>
      <c r="Z47" s="3"/>
      <c r="AA47" s="3"/>
      <c r="AB47" s="5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7"/>
      <c r="AV47" s="7"/>
      <c r="AW47" s="7"/>
      <c r="AX47" s="7"/>
      <c r="AY47" s="8"/>
      <c r="AZ47" s="3"/>
      <c r="BA47" s="3"/>
      <c r="BB47" s="3"/>
      <c r="BC47" s="3"/>
    </row>
    <row r="48" spans="1:55" x14ac:dyDescent="0.25">
      <c r="A48" s="2"/>
      <c r="D48" s="3"/>
      <c r="E48" s="4"/>
      <c r="F48" s="5"/>
      <c r="G48" s="5"/>
      <c r="J48" s="3"/>
      <c r="K48" s="3"/>
      <c r="L48" s="6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5"/>
      <c r="Y48" s="3"/>
      <c r="Z48" s="3"/>
      <c r="AA48" s="3"/>
      <c r="AB48" s="5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7"/>
      <c r="AV48" s="7"/>
      <c r="AW48" s="7"/>
      <c r="AX48" s="7"/>
      <c r="AY48" s="8"/>
      <c r="AZ48" s="3"/>
      <c r="BA48" s="3"/>
      <c r="BB48" s="3"/>
      <c r="BC48" s="3"/>
    </row>
    <row r="49" spans="1:55" x14ac:dyDescent="0.25">
      <c r="A49" s="2"/>
      <c r="D49" s="3"/>
      <c r="E49" s="4"/>
      <c r="F49" s="5"/>
      <c r="G49" s="5"/>
      <c r="J49" s="3"/>
      <c r="K49" s="3"/>
      <c r="L49" s="6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5"/>
      <c r="Y49" s="3"/>
      <c r="Z49" s="3"/>
      <c r="AA49" s="3"/>
      <c r="AB49" s="5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7"/>
      <c r="AV49" s="7"/>
      <c r="AW49" s="7"/>
      <c r="AX49" s="7"/>
      <c r="AY49" s="8"/>
      <c r="AZ49" s="3"/>
      <c r="BA49" s="3"/>
      <c r="BB49" s="3"/>
      <c r="BC49" s="3"/>
    </row>
    <row r="50" spans="1:55" x14ac:dyDescent="0.25">
      <c r="A50" s="2"/>
      <c r="D50" s="3"/>
      <c r="E50" s="4"/>
      <c r="F50" s="5"/>
      <c r="G50" s="5"/>
      <c r="J50" s="3"/>
      <c r="K50" s="3"/>
      <c r="L50" s="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5"/>
      <c r="Y50" s="3"/>
      <c r="Z50" s="3"/>
      <c r="AA50" s="3"/>
      <c r="AB50" s="5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7"/>
      <c r="AV50" s="7"/>
      <c r="AW50" s="7"/>
      <c r="AX50" s="7"/>
      <c r="AY50" s="8"/>
      <c r="AZ50" s="3"/>
      <c r="BA50" s="3"/>
      <c r="BB50" s="3"/>
      <c r="BC50" s="3"/>
    </row>
    <row r="51" spans="1:55" x14ac:dyDescent="0.25">
      <c r="A51" s="2"/>
      <c r="D51" s="3"/>
      <c r="E51" s="4"/>
      <c r="F51" s="5"/>
      <c r="G51" s="5"/>
      <c r="J51" s="3"/>
      <c r="K51" s="3"/>
      <c r="L51" s="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5"/>
      <c r="Y51" s="3"/>
      <c r="Z51" s="3"/>
      <c r="AA51" s="3"/>
      <c r="AB51" s="5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7"/>
      <c r="AV51" s="7"/>
      <c r="AW51" s="7"/>
      <c r="AX51" s="7"/>
      <c r="AY51" s="8"/>
      <c r="AZ51" s="3"/>
      <c r="BA51" s="3"/>
      <c r="BB51" s="3"/>
      <c r="BC51" s="3"/>
    </row>
    <row r="52" spans="1:55" x14ac:dyDescent="0.25">
      <c r="A52" s="2"/>
      <c r="D52" s="3"/>
      <c r="E52" s="4"/>
      <c r="F52" s="5"/>
      <c r="G52" s="5"/>
      <c r="J52" s="3"/>
      <c r="K52" s="3"/>
      <c r="L52" s="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5"/>
      <c r="Y52" s="3"/>
      <c r="Z52" s="3"/>
      <c r="AA52" s="3"/>
      <c r="AB52" s="5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7"/>
      <c r="AV52" s="7"/>
      <c r="AW52" s="7"/>
      <c r="AX52" s="7"/>
      <c r="AY52" s="8"/>
      <c r="AZ52" s="3"/>
      <c r="BA52" s="3"/>
      <c r="BB52" s="3"/>
      <c r="BC52" s="3"/>
    </row>
    <row r="53" spans="1:55" x14ac:dyDescent="0.25">
      <c r="A53" s="2"/>
      <c r="D53" s="3"/>
      <c r="E53" s="4"/>
      <c r="F53" s="5"/>
      <c r="G53" s="5"/>
      <c r="J53" s="3"/>
      <c r="K53" s="3"/>
      <c r="L53" s="6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5"/>
      <c r="Y53" s="3"/>
      <c r="Z53" s="3"/>
      <c r="AA53" s="3"/>
      <c r="AB53" s="5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7"/>
      <c r="AV53" s="7"/>
      <c r="AW53" s="7"/>
      <c r="AX53" s="7"/>
      <c r="AY53" s="8"/>
      <c r="AZ53" s="3"/>
      <c r="BA53" s="3"/>
      <c r="BB53" s="3"/>
      <c r="BC53" s="3"/>
    </row>
    <row r="54" spans="1:55" x14ac:dyDescent="0.25">
      <c r="A54" s="2"/>
      <c r="D54" s="3"/>
      <c r="E54" s="4"/>
      <c r="F54" s="5"/>
      <c r="G54" s="5"/>
      <c r="J54" s="3"/>
      <c r="K54" s="3"/>
      <c r="L54" s="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5"/>
      <c r="Y54" s="3"/>
      <c r="Z54" s="3"/>
      <c r="AA54" s="3"/>
      <c r="AB54" s="5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7"/>
      <c r="AV54" s="7"/>
      <c r="AW54" s="7"/>
      <c r="AX54" s="7"/>
      <c r="AY54" s="8"/>
      <c r="AZ54" s="3"/>
      <c r="BA54" s="3"/>
      <c r="BB54" s="3"/>
      <c r="BC54" s="3"/>
    </row>
    <row r="55" spans="1:55" x14ac:dyDescent="0.25">
      <c r="A55" s="2"/>
      <c r="D55" s="3"/>
      <c r="E55" s="4"/>
      <c r="F55" s="5"/>
      <c r="G55" s="5"/>
      <c r="J55" s="3"/>
      <c r="K55" s="3"/>
      <c r="L55" s="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5"/>
      <c r="Y55" s="3"/>
      <c r="Z55" s="3"/>
      <c r="AA55" s="3"/>
      <c r="AB55" s="5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7"/>
      <c r="AV55" s="7"/>
      <c r="AW55" s="7"/>
      <c r="AX55" s="7"/>
      <c r="AY55" s="8"/>
      <c r="AZ55" s="3"/>
      <c r="BA55" s="3"/>
      <c r="BB55" s="3"/>
      <c r="BC55" s="3"/>
    </row>
    <row r="56" spans="1:55" x14ac:dyDescent="0.25">
      <c r="A56" s="2"/>
      <c r="D56" s="3"/>
      <c r="E56" s="4"/>
      <c r="F56" s="5"/>
      <c r="G56" s="5"/>
      <c r="J56" s="3"/>
      <c r="K56" s="3"/>
      <c r="L56" s="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5"/>
      <c r="Y56" s="3"/>
      <c r="Z56" s="3"/>
      <c r="AA56" s="3"/>
      <c r="AB56" s="5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7"/>
      <c r="AV56" s="7"/>
      <c r="AW56" s="7"/>
      <c r="AX56" s="7"/>
      <c r="AY56" s="8"/>
      <c r="AZ56" s="3"/>
      <c r="BA56" s="3"/>
      <c r="BB56" s="3"/>
      <c r="BC56" s="3"/>
    </row>
    <row r="57" spans="1:55" x14ac:dyDescent="0.25">
      <c r="A57" s="2"/>
      <c r="D57" s="3"/>
      <c r="E57" s="4"/>
      <c r="F57" s="5"/>
      <c r="G57" s="5"/>
      <c r="J57" s="3"/>
      <c r="K57" s="3"/>
      <c r="L57" s="6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5"/>
      <c r="Y57" s="3"/>
      <c r="Z57" s="3"/>
      <c r="AA57" s="3"/>
      <c r="AB57" s="5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7"/>
      <c r="AV57" s="7"/>
      <c r="AW57" s="7"/>
      <c r="AX57" s="7"/>
      <c r="AY57" s="8"/>
      <c r="AZ57" s="3"/>
      <c r="BA57" s="3"/>
      <c r="BB57" s="3"/>
      <c r="BC57" s="3"/>
    </row>
    <row r="58" spans="1:55" x14ac:dyDescent="0.25">
      <c r="A58" s="2"/>
      <c r="D58" s="3"/>
      <c r="E58" s="4"/>
      <c r="F58" s="5"/>
      <c r="G58" s="5"/>
      <c r="J58" s="3"/>
      <c r="K58" s="3"/>
      <c r="L58" s="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5"/>
      <c r="Y58" s="3"/>
      <c r="Z58" s="3"/>
      <c r="AA58" s="3"/>
      <c r="AB58" s="5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7"/>
      <c r="AV58" s="7"/>
      <c r="AW58" s="7"/>
      <c r="AX58" s="7"/>
      <c r="AY58" s="8"/>
      <c r="AZ58" s="3"/>
      <c r="BA58" s="3"/>
      <c r="BB58" s="3"/>
      <c r="BC58" s="3"/>
    </row>
    <row r="59" spans="1:55" x14ac:dyDescent="0.25">
      <c r="A59" s="2"/>
      <c r="D59" s="3"/>
      <c r="E59" s="4"/>
      <c r="F59" s="5"/>
      <c r="G59" s="5"/>
      <c r="J59" s="3"/>
      <c r="K59" s="3"/>
      <c r="L59" s="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5"/>
      <c r="Y59" s="3"/>
      <c r="Z59" s="3"/>
      <c r="AA59" s="3"/>
      <c r="AB59" s="5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7"/>
      <c r="AV59" s="7"/>
      <c r="AW59" s="7"/>
      <c r="AX59" s="7"/>
      <c r="AY59" s="8"/>
      <c r="AZ59" s="3"/>
      <c r="BA59" s="3"/>
      <c r="BB59" s="3"/>
      <c r="BC59" s="3"/>
    </row>
    <row r="60" spans="1:55" x14ac:dyDescent="0.25">
      <c r="A60" s="2"/>
      <c r="D60" s="3"/>
      <c r="E60" s="4"/>
      <c r="F60" s="5"/>
      <c r="G60" s="5"/>
      <c r="J60" s="3"/>
      <c r="K60" s="3"/>
      <c r="L60" s="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5"/>
      <c r="Y60" s="3"/>
      <c r="Z60" s="3"/>
      <c r="AA60" s="3"/>
      <c r="AB60" s="5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7"/>
      <c r="AV60" s="7"/>
      <c r="AW60" s="7"/>
      <c r="AX60" s="7"/>
      <c r="AY60" s="8"/>
      <c r="AZ60" s="3"/>
      <c r="BA60" s="3"/>
      <c r="BB60" s="3"/>
      <c r="BC60" s="3"/>
    </row>
    <row r="61" spans="1:55" x14ac:dyDescent="0.25">
      <c r="A61" s="2"/>
      <c r="D61" s="3"/>
      <c r="E61" s="4"/>
      <c r="F61" s="5"/>
      <c r="G61" s="5"/>
      <c r="J61" s="3"/>
      <c r="K61" s="3"/>
      <c r="L61" s="6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5"/>
      <c r="Y61" s="3"/>
      <c r="Z61" s="3"/>
      <c r="AA61" s="3"/>
      <c r="AB61" s="5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7"/>
      <c r="AV61" s="7"/>
      <c r="AW61" s="7"/>
      <c r="AX61" s="7"/>
      <c r="AY61" s="8"/>
      <c r="AZ61" s="3"/>
      <c r="BA61" s="3"/>
      <c r="BB61" s="3"/>
      <c r="BC61" s="3"/>
    </row>
    <row r="62" spans="1:55" x14ac:dyDescent="0.25">
      <c r="A62" s="2"/>
      <c r="D62" s="3"/>
      <c r="E62" s="4"/>
      <c r="F62" s="5"/>
      <c r="G62" s="5"/>
      <c r="J62" s="3"/>
      <c r="K62" s="3"/>
      <c r="L62" s="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5"/>
      <c r="Y62" s="3"/>
      <c r="Z62" s="3"/>
      <c r="AA62" s="3"/>
      <c r="AB62" s="5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7"/>
      <c r="AV62" s="7"/>
      <c r="AW62" s="7"/>
      <c r="AX62" s="7"/>
      <c r="AY62" s="8"/>
      <c r="AZ62" s="3"/>
      <c r="BA62" s="3"/>
      <c r="BB62" s="3"/>
      <c r="BC62" s="3"/>
    </row>
    <row r="63" spans="1:55" x14ac:dyDescent="0.25">
      <c r="A63" s="2"/>
      <c r="D63" s="3"/>
      <c r="E63" s="4"/>
      <c r="F63" s="5"/>
      <c r="G63" s="5"/>
      <c r="J63" s="3"/>
      <c r="K63" s="3"/>
      <c r="L63" s="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5"/>
      <c r="Y63" s="3"/>
      <c r="Z63" s="3"/>
      <c r="AA63" s="3"/>
      <c r="AB63" s="5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7"/>
      <c r="AV63" s="7"/>
      <c r="AW63" s="7"/>
      <c r="AX63" s="7"/>
      <c r="AY63" s="8"/>
      <c r="AZ63" s="3"/>
      <c r="BA63" s="3"/>
      <c r="BB63" s="3"/>
      <c r="BC63" s="3"/>
    </row>
    <row r="64" spans="1:55" x14ac:dyDescent="0.25">
      <c r="A64" s="2"/>
      <c r="D64" s="3"/>
      <c r="E64" s="4"/>
      <c r="F64" s="5"/>
      <c r="G64" s="5"/>
      <c r="J64" s="3"/>
      <c r="K64" s="3"/>
      <c r="L64" s="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5"/>
      <c r="Y64" s="3"/>
      <c r="Z64" s="3"/>
      <c r="AA64" s="3"/>
      <c r="AB64" s="5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7"/>
      <c r="AV64" s="7"/>
      <c r="AW64" s="7"/>
      <c r="AX64" s="7"/>
      <c r="AY64" s="8"/>
      <c r="AZ64" s="3"/>
      <c r="BA64" s="3"/>
      <c r="BB64" s="3"/>
      <c r="BC64" s="3"/>
    </row>
    <row r="65" spans="1:55" x14ac:dyDescent="0.25">
      <c r="A65" s="2"/>
      <c r="D65" s="3"/>
      <c r="E65" s="4"/>
      <c r="F65" s="5"/>
      <c r="G65" s="5"/>
      <c r="J65" s="3"/>
      <c r="K65" s="3"/>
      <c r="L65" s="6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5"/>
      <c r="Y65" s="3"/>
      <c r="Z65" s="3"/>
      <c r="AA65" s="3"/>
      <c r="AB65" s="5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7"/>
      <c r="AV65" s="7"/>
      <c r="AW65" s="7"/>
      <c r="AX65" s="7"/>
      <c r="AY65" s="8"/>
      <c r="AZ65" s="3"/>
      <c r="BA65" s="3"/>
      <c r="BB65" s="3"/>
      <c r="BC65" s="3"/>
    </row>
    <row r="66" spans="1:55" x14ac:dyDescent="0.25">
      <c r="A66" s="2"/>
      <c r="D66" s="3"/>
      <c r="E66" s="4"/>
      <c r="F66" s="5"/>
      <c r="G66" s="5"/>
      <c r="J66" s="3"/>
      <c r="K66" s="3"/>
      <c r="L66" s="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5"/>
      <c r="Y66" s="3"/>
      <c r="Z66" s="3"/>
      <c r="AA66" s="3"/>
      <c r="AB66" s="5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7"/>
      <c r="AV66" s="7"/>
      <c r="AW66" s="7"/>
      <c r="AX66" s="7"/>
      <c r="AY66" s="8"/>
      <c r="AZ66" s="3"/>
      <c r="BA66" s="3"/>
      <c r="BB66" s="3"/>
      <c r="BC66" s="3"/>
    </row>
    <row r="67" spans="1:55" x14ac:dyDescent="0.25">
      <c r="A67" s="2"/>
      <c r="D67" s="3"/>
      <c r="E67" s="4"/>
      <c r="F67" s="5"/>
      <c r="G67" s="5"/>
      <c r="J67" s="3"/>
      <c r="K67" s="3"/>
      <c r="L67" s="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5"/>
      <c r="Y67" s="3"/>
      <c r="Z67" s="3"/>
      <c r="AA67" s="3"/>
      <c r="AB67" s="5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7"/>
      <c r="AV67" s="7"/>
      <c r="AW67" s="7"/>
      <c r="AX67" s="7"/>
      <c r="AY67" s="8"/>
      <c r="AZ67" s="3"/>
      <c r="BA67" s="3"/>
      <c r="BB67" s="3"/>
      <c r="BC67" s="3"/>
    </row>
    <row r="68" spans="1:55" x14ac:dyDescent="0.25">
      <c r="A68" s="2"/>
      <c r="D68" s="3"/>
      <c r="E68" s="4"/>
      <c r="F68" s="5"/>
      <c r="G68" s="5"/>
      <c r="J68" s="3"/>
      <c r="K68" s="3"/>
      <c r="L68" s="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5"/>
      <c r="Y68" s="3"/>
      <c r="Z68" s="3"/>
      <c r="AA68" s="3"/>
      <c r="AB68" s="5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7"/>
      <c r="AV68" s="7"/>
      <c r="AW68" s="7"/>
      <c r="AX68" s="7"/>
      <c r="AY68" s="8"/>
      <c r="AZ68" s="3"/>
      <c r="BA68" s="3"/>
      <c r="BB68" s="3"/>
      <c r="BC68" s="3"/>
    </row>
    <row r="69" spans="1:55" x14ac:dyDescent="0.25">
      <c r="A69" s="2"/>
      <c r="D69" s="3"/>
      <c r="E69" s="4"/>
      <c r="F69" s="5"/>
      <c r="G69" s="5"/>
      <c r="J69" s="3"/>
      <c r="K69" s="3"/>
      <c r="L69" s="6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5"/>
      <c r="Y69" s="3"/>
      <c r="Z69" s="3"/>
      <c r="AA69" s="3"/>
      <c r="AB69" s="5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7"/>
      <c r="AV69" s="7"/>
      <c r="AW69" s="7"/>
      <c r="AX69" s="7"/>
      <c r="AY69" s="8"/>
      <c r="AZ69" s="3"/>
      <c r="BA69" s="3"/>
      <c r="BB69" s="3"/>
      <c r="BC69" s="3"/>
    </row>
    <row r="70" spans="1:55" x14ac:dyDescent="0.25">
      <c r="A70" s="2"/>
      <c r="D70" s="3"/>
      <c r="E70" s="4"/>
      <c r="F70" s="5"/>
      <c r="G70" s="5"/>
      <c r="J70" s="3"/>
      <c r="K70" s="3"/>
      <c r="L70" s="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5"/>
      <c r="Y70" s="3"/>
      <c r="Z70" s="3"/>
      <c r="AA70" s="3"/>
      <c r="AB70" s="5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7"/>
      <c r="AV70" s="7"/>
      <c r="AW70" s="7"/>
      <c r="AX70" s="7"/>
      <c r="AY70" s="8"/>
      <c r="AZ70" s="3"/>
      <c r="BA70" s="3"/>
      <c r="BB70" s="3"/>
      <c r="BC70" s="3"/>
    </row>
    <row r="71" spans="1:55" x14ac:dyDescent="0.25">
      <c r="A71" s="2"/>
      <c r="D71" s="3"/>
      <c r="E71" s="4"/>
      <c r="F71" s="5"/>
      <c r="G71" s="5"/>
      <c r="J71" s="3"/>
      <c r="K71" s="3"/>
      <c r="L71" s="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5"/>
      <c r="Y71" s="3"/>
      <c r="Z71" s="3"/>
      <c r="AA71" s="3"/>
      <c r="AB71" s="5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7"/>
      <c r="AV71" s="7"/>
      <c r="AW71" s="7"/>
      <c r="AX71" s="7"/>
      <c r="AY71" s="8"/>
      <c r="AZ71" s="3"/>
      <c r="BA71" s="3"/>
      <c r="BB71" s="3"/>
      <c r="BC71" s="3"/>
    </row>
    <row r="72" spans="1:55" x14ac:dyDescent="0.25">
      <c r="A72" s="2"/>
      <c r="D72" s="3"/>
      <c r="E72" s="4"/>
      <c r="F72" s="5"/>
      <c r="G72" s="5"/>
      <c r="J72" s="3"/>
      <c r="K72" s="3"/>
      <c r="L72" s="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5"/>
      <c r="Y72" s="3"/>
      <c r="Z72" s="3"/>
      <c r="AA72" s="3"/>
      <c r="AB72" s="5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7"/>
      <c r="AV72" s="7"/>
      <c r="AW72" s="7"/>
      <c r="AX72" s="7"/>
      <c r="AY72" s="8"/>
      <c r="AZ72" s="3"/>
      <c r="BA72" s="3"/>
      <c r="BB72" s="3"/>
      <c r="BC72" s="3"/>
    </row>
    <row r="73" spans="1:55" x14ac:dyDescent="0.25">
      <c r="A73" s="2"/>
      <c r="D73" s="3"/>
      <c r="E73" s="4"/>
      <c r="F73" s="5"/>
      <c r="G73" s="5"/>
      <c r="J73" s="3"/>
      <c r="K73" s="3"/>
      <c r="L73" s="6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5"/>
      <c r="Y73" s="3"/>
      <c r="Z73" s="3"/>
      <c r="AA73" s="3"/>
      <c r="AB73" s="5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7"/>
      <c r="AV73" s="7"/>
      <c r="AW73" s="7"/>
      <c r="AX73" s="7"/>
      <c r="AY73" s="8"/>
      <c r="AZ73" s="3"/>
      <c r="BA73" s="3"/>
      <c r="BB73" s="3"/>
      <c r="BC73" s="3"/>
    </row>
    <row r="74" spans="1:55" x14ac:dyDescent="0.25">
      <c r="A74" s="2"/>
      <c r="D74" s="3"/>
      <c r="E74" s="4"/>
      <c r="F74" s="5"/>
      <c r="G74" s="5"/>
      <c r="J74" s="3"/>
      <c r="K74" s="3"/>
      <c r="L74" s="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5"/>
      <c r="Y74" s="3"/>
      <c r="Z74" s="3"/>
      <c r="AA74" s="3"/>
      <c r="AB74" s="5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7"/>
      <c r="AV74" s="7"/>
      <c r="AW74" s="7"/>
      <c r="AX74" s="7"/>
      <c r="AY74" s="8"/>
      <c r="AZ74" s="3"/>
      <c r="BA74" s="3"/>
      <c r="BB74" s="3"/>
      <c r="BC74" s="3"/>
    </row>
    <row r="75" spans="1:55" x14ac:dyDescent="0.25">
      <c r="A75" s="2"/>
      <c r="D75" s="3"/>
      <c r="E75" s="4"/>
      <c r="F75" s="5"/>
      <c r="G75" s="5"/>
      <c r="J75" s="3"/>
      <c r="K75" s="3"/>
      <c r="L75" s="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5"/>
      <c r="Y75" s="3"/>
      <c r="Z75" s="3"/>
      <c r="AA75" s="3"/>
      <c r="AB75" s="5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7"/>
      <c r="AV75" s="7"/>
      <c r="AW75" s="7"/>
      <c r="AX75" s="7"/>
      <c r="AY75" s="8"/>
      <c r="AZ75" s="3"/>
      <c r="BA75" s="3"/>
      <c r="BB75" s="3"/>
      <c r="BC75" s="3"/>
    </row>
    <row r="76" spans="1:55" x14ac:dyDescent="0.25">
      <c r="A76" s="2"/>
      <c r="D76" s="3"/>
      <c r="E76" s="4"/>
      <c r="F76" s="5"/>
      <c r="G76" s="5"/>
      <c r="J76" s="3"/>
      <c r="K76" s="3"/>
      <c r="L76" s="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5"/>
      <c r="Y76" s="3"/>
      <c r="Z76" s="3"/>
      <c r="AA76" s="3"/>
      <c r="AB76" s="5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7"/>
      <c r="AV76" s="7"/>
      <c r="AW76" s="7"/>
      <c r="AX76" s="7"/>
      <c r="AY76" s="8"/>
      <c r="AZ76" s="3"/>
      <c r="BA76" s="3"/>
      <c r="BB76" s="3"/>
      <c r="BC76" s="3"/>
    </row>
    <row r="77" spans="1:55" x14ac:dyDescent="0.25">
      <c r="A77" s="2"/>
      <c r="D77" s="3"/>
      <c r="E77" s="4"/>
      <c r="F77" s="5"/>
      <c r="G77" s="5"/>
      <c r="J77" s="3"/>
      <c r="K77" s="3"/>
      <c r="L77" s="6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5"/>
      <c r="Y77" s="3"/>
      <c r="Z77" s="3"/>
      <c r="AA77" s="3"/>
      <c r="AB77" s="5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7"/>
      <c r="AV77" s="7"/>
      <c r="AW77" s="7"/>
      <c r="AX77" s="7"/>
      <c r="AY77" s="8"/>
      <c r="AZ77" s="3"/>
      <c r="BA77" s="3"/>
      <c r="BB77" s="3"/>
      <c r="BC77" s="3"/>
    </row>
    <row r="78" spans="1:55" x14ac:dyDescent="0.25">
      <c r="A78" s="2"/>
      <c r="D78" s="3"/>
      <c r="E78" s="4"/>
      <c r="F78" s="5"/>
      <c r="G78" s="5"/>
      <c r="J78" s="3"/>
      <c r="K78" s="3"/>
      <c r="L78" s="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5"/>
      <c r="Y78" s="3"/>
      <c r="Z78" s="3"/>
      <c r="AA78" s="3"/>
      <c r="AB78" s="5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7"/>
      <c r="AV78" s="7"/>
      <c r="AW78" s="7"/>
      <c r="AX78" s="7"/>
      <c r="AY78" s="8"/>
      <c r="AZ78" s="3"/>
      <c r="BA78" s="3"/>
      <c r="BB78" s="3"/>
      <c r="BC78" s="3"/>
    </row>
    <row r="79" spans="1:55" x14ac:dyDescent="0.25">
      <c r="A79" s="2"/>
      <c r="D79" s="3"/>
      <c r="E79" s="4"/>
      <c r="F79" s="5"/>
      <c r="G79" s="5"/>
      <c r="J79" s="3"/>
      <c r="K79" s="3"/>
      <c r="L79" s="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5"/>
      <c r="Y79" s="3"/>
      <c r="Z79" s="3"/>
      <c r="AA79" s="3"/>
      <c r="AB79" s="5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7"/>
      <c r="AV79" s="7"/>
      <c r="AW79" s="7"/>
      <c r="AX79" s="7"/>
      <c r="AY79" s="8"/>
      <c r="AZ79" s="3"/>
      <c r="BA79" s="3"/>
      <c r="BB79" s="3"/>
      <c r="BC79" s="3"/>
    </row>
    <row r="80" spans="1:55" x14ac:dyDescent="0.25">
      <c r="A80" s="2"/>
      <c r="D80" s="3"/>
      <c r="E80" s="4"/>
      <c r="F80" s="5"/>
      <c r="G80" s="5"/>
      <c r="J80" s="3"/>
      <c r="K80" s="3"/>
      <c r="L80" s="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5"/>
      <c r="Y80" s="3"/>
      <c r="Z80" s="3"/>
      <c r="AA80" s="3"/>
      <c r="AB80" s="5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7"/>
      <c r="AV80" s="7"/>
      <c r="AW80" s="7"/>
      <c r="AX80" s="7"/>
      <c r="AY80" s="8"/>
      <c r="AZ80" s="3"/>
      <c r="BA80" s="3"/>
      <c r="BB80" s="3"/>
      <c r="BC80" s="3"/>
    </row>
    <row r="81" spans="1:55" x14ac:dyDescent="0.25">
      <c r="A81" s="2"/>
      <c r="D81" s="3"/>
      <c r="E81" s="4"/>
      <c r="F81" s="5"/>
      <c r="G81" s="5"/>
      <c r="J81" s="3"/>
      <c r="K81" s="3"/>
      <c r="L81" s="6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5"/>
      <c r="Y81" s="3"/>
      <c r="Z81" s="3"/>
      <c r="AA81" s="3"/>
      <c r="AB81" s="5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7"/>
      <c r="AV81" s="7"/>
      <c r="AW81" s="7"/>
      <c r="AX81" s="7"/>
      <c r="AY81" s="8"/>
      <c r="AZ81" s="3"/>
      <c r="BA81" s="3"/>
      <c r="BB81" s="3"/>
      <c r="BC81" s="3"/>
    </row>
    <row r="82" spans="1:55" x14ac:dyDescent="0.25">
      <c r="A82" s="2"/>
      <c r="D82" s="3"/>
      <c r="E82" s="4"/>
      <c r="F82" s="5"/>
      <c r="G82" s="5"/>
      <c r="J82" s="3"/>
      <c r="K82" s="3"/>
      <c r="L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5"/>
      <c r="Y82" s="3"/>
      <c r="Z82" s="3"/>
      <c r="AA82" s="3"/>
      <c r="AB82" s="5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7"/>
      <c r="AV82" s="7"/>
      <c r="AW82" s="7"/>
      <c r="AX82" s="7"/>
      <c r="AY82" s="8"/>
      <c r="AZ82" s="3"/>
      <c r="BA82" s="3"/>
      <c r="BB82" s="3"/>
      <c r="BC82" s="3"/>
    </row>
    <row r="83" spans="1:55" x14ac:dyDescent="0.25">
      <c r="A83" s="2"/>
      <c r="D83" s="3"/>
      <c r="E83" s="4"/>
      <c r="F83" s="5"/>
      <c r="G83" s="5"/>
      <c r="J83" s="3"/>
      <c r="K83" s="3"/>
      <c r="L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5"/>
      <c r="Y83" s="3"/>
      <c r="Z83" s="3"/>
      <c r="AA83" s="3"/>
      <c r="AB83" s="5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7"/>
      <c r="AV83" s="7"/>
      <c r="AW83" s="7"/>
      <c r="AX83" s="7"/>
      <c r="AY83" s="8"/>
      <c r="AZ83" s="3"/>
      <c r="BA83" s="3"/>
      <c r="BB83" s="3"/>
      <c r="BC83" s="3"/>
    </row>
    <row r="84" spans="1:55" x14ac:dyDescent="0.25">
      <c r="A84" s="2"/>
      <c r="D84" s="3"/>
      <c r="E84" s="4"/>
      <c r="F84" s="5"/>
      <c r="G84" s="5"/>
      <c r="J84" s="3"/>
      <c r="K84" s="3"/>
      <c r="L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5"/>
      <c r="Y84" s="3"/>
      <c r="Z84" s="3"/>
      <c r="AA84" s="3"/>
      <c r="AB84" s="5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7"/>
      <c r="AV84" s="7"/>
      <c r="AW84" s="7"/>
      <c r="AX84" s="7"/>
      <c r="AY84" s="8"/>
      <c r="AZ84" s="3"/>
      <c r="BA84" s="3"/>
      <c r="BB84" s="3"/>
      <c r="BC84" s="3"/>
    </row>
    <row r="85" spans="1:55" x14ac:dyDescent="0.25">
      <c r="A85" s="2"/>
      <c r="D85" s="3"/>
      <c r="E85" s="4"/>
      <c r="F85" s="5"/>
      <c r="G85" s="5"/>
      <c r="J85" s="3"/>
      <c r="K85" s="3"/>
      <c r="L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5"/>
      <c r="Y85" s="3"/>
      <c r="Z85" s="3"/>
      <c r="AA85" s="3"/>
      <c r="AB85" s="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7"/>
      <c r="AV85" s="7"/>
      <c r="AW85" s="7"/>
      <c r="AX85" s="7"/>
      <c r="AY85" s="8"/>
      <c r="AZ85" s="3"/>
      <c r="BA85" s="3"/>
      <c r="BB85" s="3"/>
      <c r="BC85" s="3"/>
    </row>
    <row r="86" spans="1:55" x14ac:dyDescent="0.25">
      <c r="A86" s="2"/>
      <c r="D86" s="3"/>
      <c r="E86" s="4"/>
      <c r="F86" s="5"/>
      <c r="G86" s="5"/>
      <c r="J86" s="3"/>
      <c r="K86" s="3"/>
      <c r="L86" s="6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5"/>
      <c r="Y86" s="3"/>
      <c r="Z86" s="3"/>
      <c r="AA86" s="3"/>
      <c r="AB86" s="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7"/>
      <c r="AV86" s="7"/>
      <c r="AW86" s="7"/>
      <c r="AX86" s="7"/>
      <c r="AY86" s="8"/>
      <c r="AZ86" s="3"/>
      <c r="BA86" s="3"/>
      <c r="BB86" s="3"/>
      <c r="BC86" s="3"/>
    </row>
    <row r="87" spans="1:55" x14ac:dyDescent="0.25">
      <c r="A87" s="2"/>
      <c r="D87" s="3"/>
      <c r="E87" s="4"/>
      <c r="F87" s="5"/>
      <c r="G87" s="5"/>
      <c r="J87" s="3"/>
      <c r="K87" s="3"/>
      <c r="L87" s="6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5"/>
      <c r="Y87" s="3"/>
      <c r="Z87" s="3"/>
      <c r="AA87" s="3"/>
      <c r="AB87" s="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7"/>
      <c r="AV87" s="7"/>
      <c r="AW87" s="7"/>
      <c r="AX87" s="7"/>
      <c r="AY87" s="8"/>
      <c r="AZ87" s="3"/>
      <c r="BA87" s="3"/>
      <c r="BB87" s="3"/>
      <c r="BC87" s="3"/>
    </row>
    <row r="88" spans="1:55" x14ac:dyDescent="0.25">
      <c r="A88" s="2"/>
      <c r="D88" s="3"/>
      <c r="E88" s="4"/>
      <c r="F88" s="5"/>
      <c r="G88" s="5"/>
      <c r="J88" s="3"/>
      <c r="K88" s="3"/>
      <c r="L88" s="6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5"/>
      <c r="Y88" s="3"/>
      <c r="Z88" s="3"/>
      <c r="AA88" s="3"/>
      <c r="AB88" s="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7"/>
      <c r="AV88" s="7"/>
      <c r="AW88" s="7"/>
      <c r="AX88" s="7"/>
      <c r="AY88" s="8"/>
      <c r="AZ88" s="3"/>
      <c r="BA88" s="3"/>
      <c r="BB88" s="3"/>
      <c r="BC88" s="3"/>
    </row>
    <row r="89" spans="1:55" x14ac:dyDescent="0.25">
      <c r="A89" s="2"/>
      <c r="D89" s="3"/>
      <c r="E89" s="4"/>
      <c r="F89" s="5"/>
      <c r="G89" s="5"/>
      <c r="J89" s="3"/>
      <c r="K89" s="3"/>
      <c r="L89" s="6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5"/>
      <c r="Y89" s="3"/>
      <c r="Z89" s="3"/>
      <c r="AA89" s="3"/>
      <c r="AB89" s="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7"/>
      <c r="AV89" s="7"/>
      <c r="AW89" s="7"/>
      <c r="AX89" s="7"/>
      <c r="AY89" s="8"/>
      <c r="AZ89" s="3"/>
      <c r="BA89" s="3"/>
      <c r="BB89" s="3"/>
      <c r="BC89" s="3"/>
    </row>
    <row r="90" spans="1:55" x14ac:dyDescent="0.25">
      <c r="A90" s="2"/>
      <c r="D90" s="3"/>
      <c r="E90" s="4"/>
      <c r="F90" s="5"/>
      <c r="G90" s="5"/>
      <c r="J90" s="3"/>
      <c r="K90" s="3"/>
      <c r="L90" s="6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5"/>
      <c r="Y90" s="3"/>
      <c r="Z90" s="3"/>
      <c r="AA90" s="3"/>
      <c r="AB90" s="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7"/>
      <c r="AV90" s="7"/>
      <c r="AW90" s="7"/>
      <c r="AX90" s="7"/>
      <c r="AY90" s="8"/>
      <c r="AZ90" s="3"/>
      <c r="BA90" s="3"/>
      <c r="BB90" s="3"/>
      <c r="BC90" s="3"/>
    </row>
    <row r="91" spans="1:55" x14ac:dyDescent="0.25">
      <c r="A91" s="2"/>
      <c r="D91" s="3"/>
      <c r="E91" s="4"/>
      <c r="F91" s="5"/>
      <c r="G91" s="5"/>
      <c r="J91" s="3"/>
      <c r="K91" s="3"/>
      <c r="L91" s="6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5"/>
      <c r="Y91" s="3"/>
      <c r="Z91" s="3"/>
      <c r="AA91" s="3"/>
      <c r="AB91" s="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7"/>
      <c r="AV91" s="7"/>
      <c r="AW91" s="7"/>
      <c r="AX91" s="7"/>
      <c r="AY91" s="8"/>
      <c r="AZ91" s="3"/>
      <c r="BA91" s="3"/>
      <c r="BB91" s="3"/>
      <c r="BC91" s="3"/>
    </row>
    <row r="92" spans="1:55" x14ac:dyDescent="0.25">
      <c r="A92" s="2"/>
      <c r="D92" s="3"/>
      <c r="E92" s="4"/>
      <c r="F92" s="5"/>
      <c r="G92" s="5"/>
      <c r="J92" s="3"/>
      <c r="K92" s="3"/>
      <c r="L92" s="6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5"/>
      <c r="Y92" s="3"/>
      <c r="Z92" s="3"/>
      <c r="AA92" s="3"/>
      <c r="AB92" s="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7"/>
      <c r="AV92" s="7"/>
      <c r="AW92" s="7"/>
      <c r="AX92" s="7"/>
      <c r="AY92" s="8"/>
      <c r="AZ92" s="3"/>
      <c r="BA92" s="3"/>
      <c r="BB92" s="3"/>
      <c r="BC92" s="3"/>
    </row>
    <row r="93" spans="1:55" x14ac:dyDescent="0.25">
      <c r="A93" s="2"/>
      <c r="D93" s="3"/>
      <c r="E93" s="4"/>
      <c r="F93" s="5"/>
      <c r="G93" s="5"/>
      <c r="J93" s="3"/>
      <c r="K93" s="3"/>
      <c r="L93" s="6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5"/>
      <c r="Y93" s="3"/>
      <c r="Z93" s="3"/>
      <c r="AA93" s="3"/>
      <c r="AB93" s="5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7"/>
      <c r="AV93" s="7"/>
      <c r="AW93" s="7"/>
      <c r="AX93" s="7"/>
      <c r="AY93" s="8"/>
      <c r="AZ93" s="3"/>
      <c r="BA93" s="3"/>
      <c r="BB93" s="3"/>
      <c r="BC93" s="3"/>
    </row>
    <row r="94" spans="1:55" x14ac:dyDescent="0.25">
      <c r="A94" s="2"/>
      <c r="D94" s="3"/>
      <c r="E94" s="4"/>
      <c r="F94" s="5"/>
      <c r="G94" s="5"/>
      <c r="J94" s="3"/>
      <c r="K94" s="3"/>
      <c r="L94" s="6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5"/>
      <c r="Y94" s="3"/>
      <c r="Z94" s="3"/>
      <c r="AA94" s="3"/>
      <c r="AB94" s="5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7"/>
      <c r="AV94" s="7"/>
      <c r="AW94" s="7"/>
      <c r="AX94" s="7"/>
      <c r="AY94" s="8"/>
      <c r="AZ94" s="3"/>
      <c r="BA94" s="3"/>
      <c r="BB94" s="3"/>
      <c r="BC94" s="3"/>
    </row>
    <row r="95" spans="1:55" x14ac:dyDescent="0.25">
      <c r="A95" s="2"/>
      <c r="D95" s="3"/>
      <c r="E95" s="4"/>
      <c r="F95" s="5"/>
      <c r="G95" s="5"/>
      <c r="J95" s="3"/>
      <c r="K95" s="3"/>
      <c r="L95" s="6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5"/>
      <c r="Y95" s="3"/>
      <c r="Z95" s="3"/>
      <c r="AA95" s="3"/>
      <c r="AB95" s="5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7"/>
      <c r="AV95" s="7"/>
      <c r="AW95" s="7"/>
      <c r="AX95" s="7"/>
      <c r="AY95" s="8"/>
      <c r="AZ95" s="3"/>
      <c r="BA95" s="3"/>
      <c r="BB95" s="3"/>
      <c r="BC95" s="3"/>
    </row>
    <row r="96" spans="1:55" x14ac:dyDescent="0.25">
      <c r="A96" s="2"/>
      <c r="D96" s="3"/>
      <c r="E96" s="4"/>
      <c r="F96" s="5"/>
      <c r="G96" s="5"/>
      <c r="J96" s="3"/>
      <c r="K96" s="3"/>
      <c r="L96" s="6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5"/>
      <c r="Y96" s="3"/>
      <c r="Z96" s="3"/>
      <c r="AA96" s="3"/>
      <c r="AB96" s="5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7"/>
      <c r="AV96" s="7"/>
      <c r="AW96" s="7"/>
      <c r="AX96" s="7"/>
      <c r="AY96" s="8"/>
      <c r="AZ96" s="3"/>
      <c r="BA96" s="3"/>
      <c r="BB96" s="3"/>
      <c r="BC96" s="3"/>
    </row>
    <row r="97" spans="1:55" x14ac:dyDescent="0.25">
      <c r="A97" s="2"/>
      <c r="D97" s="3"/>
      <c r="E97" s="4"/>
      <c r="F97" s="5"/>
      <c r="G97" s="5"/>
      <c r="J97" s="3"/>
      <c r="K97" s="3"/>
      <c r="L97" s="6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5"/>
      <c r="Y97" s="3"/>
      <c r="Z97" s="3"/>
      <c r="AA97" s="3"/>
      <c r="AB97" s="5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7"/>
      <c r="AV97" s="7"/>
      <c r="AW97" s="7"/>
      <c r="AX97" s="7"/>
      <c r="AY97" s="8"/>
      <c r="AZ97" s="3"/>
      <c r="BA97" s="3"/>
      <c r="BB97" s="3"/>
      <c r="BC97" s="3"/>
    </row>
    <row r="98" spans="1:55" x14ac:dyDescent="0.25">
      <c r="A98" s="2"/>
      <c r="D98" s="3"/>
      <c r="E98" s="4"/>
      <c r="F98" s="5"/>
      <c r="G98" s="5"/>
      <c r="J98" s="3"/>
      <c r="K98" s="3"/>
      <c r="L98" s="6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5"/>
      <c r="Y98" s="3"/>
      <c r="Z98" s="3"/>
      <c r="AA98" s="3"/>
      <c r="AB98" s="5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7"/>
      <c r="AV98" s="7"/>
      <c r="AW98" s="7"/>
      <c r="AX98" s="7"/>
      <c r="AY98" s="8"/>
      <c r="AZ98" s="3"/>
      <c r="BA98" s="3"/>
      <c r="BB98" s="3"/>
      <c r="BC98" s="3"/>
    </row>
    <row r="99" spans="1:55" x14ac:dyDescent="0.25">
      <c r="A99" s="2"/>
      <c r="D99" s="3"/>
      <c r="E99" s="4"/>
      <c r="F99" s="5"/>
      <c r="G99" s="5"/>
      <c r="J99" s="3"/>
      <c r="K99" s="3"/>
      <c r="L99" s="6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5"/>
      <c r="Y99" s="3"/>
      <c r="Z99" s="3"/>
      <c r="AA99" s="3"/>
      <c r="AB99" s="5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7"/>
      <c r="AV99" s="7"/>
      <c r="AW99" s="7"/>
      <c r="AX99" s="7"/>
      <c r="AY99" s="8"/>
      <c r="AZ99" s="3"/>
      <c r="BA99" s="3"/>
      <c r="BB99" s="3"/>
      <c r="BC99" s="3"/>
    </row>
    <row r="100" spans="1:55" x14ac:dyDescent="0.25">
      <c r="A100" s="2"/>
      <c r="D100" s="3"/>
      <c r="E100" s="4"/>
      <c r="F100" s="5"/>
      <c r="G100" s="5"/>
      <c r="J100" s="3"/>
      <c r="K100" s="3"/>
      <c r="L100" s="6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5"/>
      <c r="Y100" s="3"/>
      <c r="Z100" s="3"/>
      <c r="AA100" s="3"/>
      <c r="AB100" s="5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7"/>
      <c r="AV100" s="7"/>
      <c r="AW100" s="7"/>
      <c r="AX100" s="7"/>
      <c r="AY100" s="8"/>
      <c r="AZ100" s="3"/>
      <c r="BA100" s="3"/>
      <c r="BB100" s="3"/>
      <c r="BC100" s="3"/>
    </row>
    <row r="101" spans="1:55" x14ac:dyDescent="0.25">
      <c r="A101" s="2"/>
      <c r="D101" s="3"/>
      <c r="E101" s="4"/>
      <c r="F101" s="5"/>
      <c r="G101" s="5"/>
      <c r="J101" s="3"/>
      <c r="K101" s="3"/>
      <c r="L101" s="6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5"/>
      <c r="Y101" s="3"/>
      <c r="Z101" s="3"/>
      <c r="AA101" s="3"/>
      <c r="AB101" s="5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7"/>
      <c r="AV101" s="7"/>
      <c r="AW101" s="7"/>
      <c r="AX101" s="7"/>
      <c r="AY101" s="8"/>
      <c r="AZ101" s="3"/>
      <c r="BA101" s="3"/>
      <c r="BB101" s="3"/>
      <c r="BC101" s="3"/>
    </row>
    <row r="102" spans="1:55" x14ac:dyDescent="0.25">
      <c r="A102" s="2"/>
      <c r="D102" s="3"/>
      <c r="E102" s="4"/>
      <c r="F102" s="5"/>
      <c r="G102" s="5"/>
      <c r="J102" s="3"/>
      <c r="K102" s="3"/>
      <c r="L102" s="6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5"/>
      <c r="Y102" s="3"/>
      <c r="Z102" s="3"/>
      <c r="AA102" s="3"/>
      <c r="AB102" s="5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7"/>
      <c r="AV102" s="7"/>
      <c r="AW102" s="7"/>
      <c r="AX102" s="7"/>
      <c r="AY102" s="8"/>
      <c r="AZ102" s="3"/>
      <c r="BA102" s="3"/>
      <c r="BB102" s="3"/>
      <c r="BC102" s="3"/>
    </row>
    <row r="103" spans="1:55" x14ac:dyDescent="0.25">
      <c r="A103" s="2"/>
      <c r="D103" s="3"/>
      <c r="E103" s="4"/>
      <c r="F103" s="5"/>
      <c r="G103" s="5"/>
      <c r="J103" s="3"/>
      <c r="K103" s="3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5"/>
      <c r="Y103" s="3"/>
      <c r="Z103" s="3"/>
      <c r="AA103" s="3"/>
      <c r="AB103" s="5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7"/>
      <c r="AV103" s="7"/>
      <c r="AW103" s="7"/>
      <c r="AX103" s="7"/>
      <c r="AY103" s="8"/>
      <c r="AZ103" s="3"/>
      <c r="BA103" s="3"/>
      <c r="BB103" s="3"/>
      <c r="BC103" s="3"/>
    </row>
    <row r="104" spans="1:55" x14ac:dyDescent="0.25">
      <c r="A104" s="2"/>
      <c r="D104" s="3"/>
      <c r="E104" s="4"/>
      <c r="F104" s="5"/>
      <c r="G104" s="5"/>
      <c r="J104" s="3"/>
      <c r="K104" s="3"/>
      <c r="L104" s="6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5"/>
      <c r="Y104" s="3"/>
      <c r="Z104" s="3"/>
      <c r="AA104" s="3"/>
      <c r="AB104" s="5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7"/>
      <c r="AV104" s="7"/>
      <c r="AW104" s="7"/>
      <c r="AX104" s="7"/>
      <c r="AY104" s="8"/>
      <c r="AZ104" s="3"/>
      <c r="BA104" s="3"/>
      <c r="BB104" s="3"/>
      <c r="BC104" s="3"/>
    </row>
    <row r="105" spans="1:55" x14ac:dyDescent="0.25">
      <c r="A105" s="2"/>
      <c r="D105" s="3"/>
      <c r="E105" s="4"/>
      <c r="F105" s="5"/>
      <c r="G105" s="5"/>
      <c r="J105" s="3"/>
      <c r="K105" s="3"/>
      <c r="L105" s="6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5"/>
      <c r="Y105" s="3"/>
      <c r="Z105" s="3"/>
      <c r="AA105" s="3"/>
      <c r="AB105" s="5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7"/>
      <c r="AV105" s="7"/>
      <c r="AW105" s="7"/>
      <c r="AX105" s="7"/>
      <c r="AY105" s="8"/>
      <c r="AZ105" s="3"/>
      <c r="BA105" s="3"/>
      <c r="BB105" s="3"/>
      <c r="BC105" s="3"/>
    </row>
    <row r="106" spans="1:55" x14ac:dyDescent="0.25">
      <c r="A106" s="2"/>
      <c r="D106" s="3"/>
      <c r="E106" s="4"/>
      <c r="F106" s="5"/>
      <c r="G106" s="5"/>
      <c r="J106" s="3"/>
      <c r="K106" s="3"/>
      <c r="L106" s="6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5"/>
      <c r="Y106" s="3"/>
      <c r="Z106" s="3"/>
      <c r="AA106" s="3"/>
      <c r="AB106" s="5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7"/>
      <c r="AV106" s="7"/>
      <c r="AW106" s="7"/>
      <c r="AX106" s="7"/>
      <c r="AY106" s="8"/>
      <c r="AZ106" s="3"/>
      <c r="BA106" s="3"/>
      <c r="BB106" s="3"/>
      <c r="BC106" s="3"/>
    </row>
    <row r="107" spans="1:55" x14ac:dyDescent="0.25">
      <c r="A107" s="2"/>
      <c r="D107" s="3"/>
      <c r="E107" s="4"/>
      <c r="F107" s="5"/>
      <c r="G107" s="5"/>
      <c r="J107" s="3"/>
      <c r="K107" s="3"/>
      <c r="L107" s="6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5"/>
      <c r="Y107" s="3"/>
      <c r="Z107" s="3"/>
      <c r="AA107" s="3"/>
      <c r="AB107" s="5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7"/>
      <c r="AV107" s="7"/>
      <c r="AW107" s="7"/>
      <c r="AX107" s="7"/>
      <c r="AY107" s="8"/>
      <c r="AZ107" s="3"/>
      <c r="BA107" s="3"/>
      <c r="BB107" s="3"/>
      <c r="BC107" s="3"/>
    </row>
    <row r="108" spans="1:55" x14ac:dyDescent="0.25">
      <c r="A108" s="2"/>
      <c r="D108" s="3"/>
      <c r="E108" s="4"/>
      <c r="F108" s="5"/>
      <c r="G108" s="5"/>
      <c r="J108" s="3"/>
      <c r="K108" s="3"/>
      <c r="L108" s="6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5"/>
      <c r="Y108" s="3"/>
      <c r="Z108" s="3"/>
      <c r="AA108" s="3"/>
      <c r="AB108" s="5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7"/>
      <c r="AV108" s="7"/>
      <c r="AW108" s="7"/>
      <c r="AX108" s="7"/>
      <c r="AY108" s="8"/>
      <c r="AZ108" s="3"/>
      <c r="BA108" s="3"/>
      <c r="BB108" s="3"/>
      <c r="BC108" s="3"/>
    </row>
    <row r="109" spans="1:55" x14ac:dyDescent="0.25">
      <c r="A109" s="2"/>
      <c r="D109" s="3"/>
      <c r="E109" s="4"/>
      <c r="F109" s="5"/>
      <c r="G109" s="5"/>
      <c r="J109" s="3"/>
      <c r="K109" s="3"/>
      <c r="L109" s="6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5"/>
      <c r="Y109" s="3"/>
      <c r="Z109" s="3"/>
      <c r="AA109" s="3"/>
      <c r="AB109" s="5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7"/>
      <c r="AV109" s="7"/>
      <c r="AW109" s="7"/>
      <c r="AX109" s="7"/>
      <c r="AY109" s="8"/>
      <c r="AZ109" s="3"/>
      <c r="BA109" s="3"/>
      <c r="BB109" s="3"/>
      <c r="BC109" s="3"/>
    </row>
    <row r="110" spans="1:55" x14ac:dyDescent="0.25">
      <c r="A110" s="2"/>
      <c r="D110" s="3"/>
      <c r="E110" s="4"/>
      <c r="F110" s="5"/>
      <c r="G110" s="5"/>
      <c r="J110" s="3"/>
      <c r="K110" s="3"/>
      <c r="L110" s="6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5"/>
      <c r="Y110" s="3"/>
      <c r="Z110" s="3"/>
      <c r="AA110" s="3"/>
      <c r="AB110" s="5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7"/>
      <c r="AV110" s="7"/>
      <c r="AW110" s="7"/>
      <c r="AX110" s="7"/>
      <c r="AY110" s="8"/>
      <c r="AZ110" s="3"/>
      <c r="BA110" s="3"/>
      <c r="BB110" s="3"/>
      <c r="BC110" s="3"/>
    </row>
    <row r="111" spans="1:55" x14ac:dyDescent="0.25">
      <c r="A111" s="2"/>
      <c r="D111" s="3"/>
      <c r="E111" s="4"/>
      <c r="F111" s="5"/>
      <c r="G111" s="5"/>
      <c r="J111" s="3"/>
      <c r="K111" s="3"/>
      <c r="L111" s="6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5"/>
      <c r="Y111" s="3"/>
      <c r="Z111" s="3"/>
      <c r="AA111" s="3"/>
      <c r="AB111" s="5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7"/>
      <c r="AV111" s="7"/>
      <c r="AW111" s="7"/>
      <c r="AX111" s="7"/>
      <c r="AY111" s="8"/>
      <c r="AZ111" s="3"/>
      <c r="BA111" s="3"/>
      <c r="BB111" s="3"/>
      <c r="BC111" s="3"/>
    </row>
    <row r="112" spans="1:55" x14ac:dyDescent="0.25">
      <c r="A112" s="2"/>
      <c r="D112" s="3"/>
      <c r="E112" s="4"/>
      <c r="F112" s="5"/>
      <c r="G112" s="5"/>
      <c r="J112" s="3"/>
      <c r="K112" s="3"/>
      <c r="L112" s="6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5"/>
      <c r="Y112" s="3"/>
      <c r="Z112" s="3"/>
      <c r="AA112" s="3"/>
      <c r="AB112" s="5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7"/>
      <c r="AV112" s="7"/>
      <c r="AW112" s="7"/>
      <c r="AX112" s="7"/>
      <c r="AY112" s="8"/>
      <c r="AZ112" s="3"/>
      <c r="BA112" s="3"/>
      <c r="BB112" s="3"/>
      <c r="BC112" s="3"/>
    </row>
    <row r="113" spans="1:55" x14ac:dyDescent="0.25">
      <c r="A113" s="2"/>
      <c r="D113" s="3"/>
      <c r="E113" s="4"/>
      <c r="F113" s="5"/>
      <c r="G113" s="5"/>
      <c r="J113" s="3"/>
      <c r="K113" s="3"/>
      <c r="L113" s="6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5"/>
      <c r="Y113" s="3"/>
      <c r="Z113" s="3"/>
      <c r="AA113" s="3"/>
      <c r="AB113" s="5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7"/>
      <c r="AV113" s="7"/>
      <c r="AW113" s="7"/>
      <c r="AX113" s="7"/>
      <c r="AY113" s="8"/>
      <c r="AZ113" s="3"/>
      <c r="BA113" s="3"/>
      <c r="BB113" s="3"/>
      <c r="BC113" s="3"/>
    </row>
    <row r="114" spans="1:55" x14ac:dyDescent="0.25">
      <c r="A114" s="2"/>
      <c r="D114" s="3"/>
      <c r="E114" s="4"/>
      <c r="F114" s="5"/>
      <c r="G114" s="5"/>
      <c r="J114" s="3"/>
      <c r="K114" s="3"/>
      <c r="L114" s="6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5"/>
      <c r="Y114" s="3"/>
      <c r="Z114" s="3"/>
      <c r="AA114" s="3"/>
      <c r="AB114" s="5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7"/>
      <c r="AV114" s="7"/>
      <c r="AW114" s="7"/>
      <c r="AX114" s="7"/>
      <c r="AY114" s="8"/>
      <c r="AZ114" s="3"/>
      <c r="BA114" s="3"/>
      <c r="BB114" s="3"/>
      <c r="BC114" s="3"/>
    </row>
    <row r="115" spans="1:55" x14ac:dyDescent="0.25">
      <c r="A115" s="2"/>
      <c r="D115" s="3"/>
      <c r="E115" s="4"/>
      <c r="F115" s="5"/>
      <c r="G115" s="5"/>
      <c r="J115" s="3"/>
      <c r="K115" s="3"/>
      <c r="L115" s="6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5"/>
      <c r="Y115" s="3"/>
      <c r="Z115" s="3"/>
      <c r="AA115" s="3"/>
      <c r="AB115" s="5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7"/>
      <c r="AV115" s="7"/>
      <c r="AW115" s="7"/>
      <c r="AX115" s="7"/>
      <c r="AY115" s="8"/>
      <c r="AZ115" s="3"/>
      <c r="BA115" s="3"/>
      <c r="BB115" s="3"/>
      <c r="BC115" s="3"/>
    </row>
    <row r="116" spans="1:55" x14ac:dyDescent="0.25">
      <c r="A116" s="2"/>
      <c r="D116" s="3"/>
      <c r="E116" s="4"/>
      <c r="F116" s="5"/>
      <c r="G116" s="5"/>
      <c r="J116" s="3"/>
      <c r="K116" s="3"/>
      <c r="L116" s="6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5"/>
      <c r="Y116" s="3"/>
      <c r="Z116" s="3"/>
      <c r="AA116" s="3"/>
      <c r="AB116" s="5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7"/>
      <c r="AV116" s="7"/>
      <c r="AW116" s="7"/>
      <c r="AX116" s="7"/>
      <c r="AY116" s="8"/>
      <c r="AZ116" s="3"/>
      <c r="BA116" s="3"/>
      <c r="BB116" s="3"/>
      <c r="BC116" s="3"/>
    </row>
    <row r="117" spans="1:55" x14ac:dyDescent="0.25">
      <c r="A117" s="2"/>
      <c r="D117" s="3"/>
      <c r="E117" s="4"/>
      <c r="F117" s="5"/>
      <c r="G117" s="5"/>
      <c r="J117" s="3"/>
      <c r="K117" s="3"/>
      <c r="L117" s="6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5"/>
      <c r="Y117" s="3"/>
      <c r="Z117" s="3"/>
      <c r="AA117" s="3"/>
      <c r="AB117" s="5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7"/>
      <c r="AV117" s="7"/>
      <c r="AW117" s="7"/>
      <c r="AX117" s="7"/>
      <c r="AY117" s="8"/>
      <c r="AZ117" s="3"/>
      <c r="BA117" s="3"/>
      <c r="BB117" s="3"/>
      <c r="BC117" s="3"/>
    </row>
    <row r="118" spans="1:55" x14ac:dyDescent="0.25">
      <c r="A118" s="2"/>
      <c r="D118" s="3"/>
      <c r="E118" s="4"/>
      <c r="F118" s="5"/>
      <c r="G118" s="5"/>
      <c r="J118" s="3"/>
      <c r="K118" s="3"/>
      <c r="L118" s="6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5"/>
      <c r="Y118" s="3"/>
      <c r="Z118" s="3"/>
      <c r="AA118" s="3"/>
      <c r="AB118" s="5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7"/>
      <c r="AV118" s="7"/>
      <c r="AW118" s="7"/>
      <c r="AX118" s="7"/>
      <c r="AY118" s="8"/>
      <c r="AZ118" s="3"/>
      <c r="BA118" s="3"/>
      <c r="BB118" s="3"/>
      <c r="BC118" s="3"/>
    </row>
    <row r="119" spans="1:55" x14ac:dyDescent="0.25">
      <c r="A119" s="2"/>
      <c r="D119" s="3"/>
      <c r="E119" s="4"/>
      <c r="F119" s="5"/>
      <c r="G119" s="5"/>
      <c r="J119" s="3"/>
      <c r="K119" s="3"/>
      <c r="L119" s="6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5"/>
      <c r="Y119" s="3"/>
      <c r="Z119" s="3"/>
      <c r="AA119" s="3"/>
      <c r="AB119" s="5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7"/>
      <c r="AV119" s="7"/>
      <c r="AW119" s="7"/>
      <c r="AX119" s="7"/>
      <c r="AY119" s="8"/>
      <c r="AZ119" s="3"/>
      <c r="BA119" s="3"/>
      <c r="BB119" s="3"/>
      <c r="BC119" s="3"/>
    </row>
    <row r="120" spans="1:55" x14ac:dyDescent="0.25">
      <c r="A120" s="2"/>
      <c r="D120" s="3"/>
      <c r="E120" s="4"/>
      <c r="F120" s="5"/>
      <c r="G120" s="5"/>
      <c r="J120" s="3"/>
      <c r="K120" s="3"/>
      <c r="L120" s="6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5"/>
      <c r="Y120" s="3"/>
      <c r="Z120" s="3"/>
      <c r="AA120" s="3"/>
      <c r="AB120" s="5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7"/>
      <c r="AV120" s="7"/>
      <c r="AW120" s="7"/>
      <c r="AX120" s="7"/>
      <c r="AY120" s="8"/>
      <c r="AZ120" s="3"/>
      <c r="BA120" s="3"/>
      <c r="BB120" s="3"/>
      <c r="BC120" s="3"/>
    </row>
    <row r="121" spans="1:55" x14ac:dyDescent="0.25">
      <c r="A121" s="2"/>
      <c r="D121" s="3"/>
      <c r="E121" s="4"/>
      <c r="F121" s="5"/>
      <c r="G121" s="5"/>
      <c r="J121" s="3"/>
      <c r="K121" s="3"/>
      <c r="L121" s="6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5"/>
      <c r="Y121" s="3"/>
      <c r="Z121" s="3"/>
      <c r="AA121" s="3"/>
      <c r="AB121" s="5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7"/>
      <c r="AV121" s="7"/>
      <c r="AW121" s="7"/>
      <c r="AX121" s="7"/>
      <c r="AY121" s="8"/>
      <c r="AZ121" s="3"/>
      <c r="BA121" s="3"/>
      <c r="BB121" s="3"/>
      <c r="BC121" s="3"/>
    </row>
    <row r="122" spans="1:55" x14ac:dyDescent="0.25">
      <c r="A122" s="2"/>
      <c r="D122" s="3"/>
      <c r="E122" s="4"/>
      <c r="F122" s="5"/>
      <c r="G122" s="5"/>
      <c r="J122" s="3"/>
      <c r="K122" s="3"/>
      <c r="L122" s="6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5"/>
      <c r="Y122" s="3"/>
      <c r="Z122" s="3"/>
      <c r="AA122" s="3"/>
      <c r="AB122" s="5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7"/>
      <c r="AV122" s="7"/>
      <c r="AW122" s="7"/>
      <c r="AX122" s="7"/>
      <c r="AY122" s="8"/>
      <c r="AZ122" s="3"/>
      <c r="BA122" s="3"/>
      <c r="BB122" s="3"/>
      <c r="BC122" s="3"/>
    </row>
    <row r="123" spans="1:55" x14ac:dyDescent="0.25">
      <c r="A123" s="2"/>
      <c r="D123" s="3"/>
      <c r="E123" s="4"/>
      <c r="F123" s="5"/>
      <c r="G123" s="5"/>
      <c r="J123" s="3"/>
      <c r="K123" s="3"/>
      <c r="L123" s="6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5"/>
      <c r="Y123" s="3"/>
      <c r="Z123" s="3"/>
      <c r="AA123" s="3"/>
      <c r="AB123" s="5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7"/>
      <c r="AV123" s="7"/>
      <c r="AW123" s="7"/>
      <c r="AX123" s="7"/>
      <c r="AY123" s="8"/>
      <c r="AZ123" s="3"/>
      <c r="BA123" s="3"/>
      <c r="BB123" s="3"/>
      <c r="BC123" s="3"/>
    </row>
    <row r="124" spans="1:55" x14ac:dyDescent="0.25">
      <c r="A124" s="2"/>
      <c r="D124" s="3"/>
      <c r="E124" s="4"/>
      <c r="F124" s="5"/>
      <c r="G124" s="5"/>
      <c r="J124" s="3"/>
      <c r="K124" s="3"/>
      <c r="L124" s="6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5"/>
      <c r="Y124" s="3"/>
      <c r="Z124" s="3"/>
      <c r="AA124" s="3"/>
      <c r="AB124" s="5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7"/>
      <c r="AV124" s="7"/>
      <c r="AW124" s="7"/>
      <c r="AX124" s="7"/>
      <c r="AY124" s="8"/>
      <c r="AZ124" s="3"/>
      <c r="BA124" s="3"/>
      <c r="BB124" s="3"/>
      <c r="BC124" s="3"/>
    </row>
    <row r="125" spans="1:55" x14ac:dyDescent="0.25">
      <c r="A125" s="2"/>
      <c r="D125" s="3"/>
      <c r="E125" s="4"/>
      <c r="F125" s="5"/>
      <c r="G125" s="5"/>
      <c r="J125" s="3"/>
      <c r="K125" s="3"/>
      <c r="L125" s="6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5"/>
      <c r="Y125" s="3"/>
      <c r="Z125" s="3"/>
      <c r="AA125" s="3"/>
      <c r="AB125" s="5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7"/>
      <c r="AV125" s="7"/>
      <c r="AW125" s="7"/>
      <c r="AX125" s="7"/>
      <c r="AY125" s="8"/>
      <c r="AZ125" s="3"/>
      <c r="BA125" s="3"/>
      <c r="BB125" s="3"/>
      <c r="BC125" s="3"/>
    </row>
    <row r="126" spans="1:55" x14ac:dyDescent="0.25">
      <c r="A126" s="2"/>
      <c r="D126" s="3"/>
      <c r="E126" s="4"/>
      <c r="F126" s="5"/>
      <c r="G126" s="5"/>
      <c r="J126" s="3"/>
      <c r="K126" s="3"/>
      <c r="L126" s="6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5"/>
      <c r="Y126" s="3"/>
      <c r="Z126" s="3"/>
      <c r="AA126" s="3"/>
      <c r="AB126" s="5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7"/>
      <c r="AV126" s="7"/>
      <c r="AW126" s="7"/>
      <c r="AX126" s="7"/>
      <c r="AY126" s="8"/>
      <c r="AZ126" s="3"/>
      <c r="BA126" s="3"/>
      <c r="BB126" s="3"/>
      <c r="BC126" s="3"/>
    </row>
    <row r="127" spans="1:55" x14ac:dyDescent="0.25">
      <c r="A127" s="2"/>
      <c r="D127" s="3"/>
      <c r="E127" s="4"/>
      <c r="F127" s="5"/>
      <c r="G127" s="5"/>
      <c r="J127" s="3"/>
      <c r="K127" s="3"/>
      <c r="L127" s="6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5"/>
      <c r="Y127" s="3"/>
      <c r="Z127" s="3"/>
      <c r="AA127" s="3"/>
      <c r="AB127" s="5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7"/>
      <c r="AV127" s="7"/>
      <c r="AW127" s="7"/>
      <c r="AX127" s="7"/>
      <c r="AY127" s="8"/>
      <c r="AZ127" s="3"/>
      <c r="BA127" s="3"/>
      <c r="BB127" s="3"/>
      <c r="BC127" s="3"/>
    </row>
    <row r="128" spans="1:55" x14ac:dyDescent="0.25">
      <c r="A128" s="2"/>
      <c r="D128" s="3"/>
      <c r="E128" s="4"/>
      <c r="F128" s="5"/>
      <c r="G128" s="5"/>
      <c r="J128" s="3"/>
      <c r="K128" s="3"/>
      <c r="L128" s="6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"/>
      <c r="Y128" s="3"/>
      <c r="Z128" s="3"/>
      <c r="AA128" s="3"/>
      <c r="AB128" s="5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7"/>
      <c r="AV128" s="7"/>
      <c r="AW128" s="7"/>
      <c r="AX128" s="7"/>
      <c r="AY128" s="8"/>
      <c r="AZ128" s="3"/>
      <c r="BA128" s="3"/>
      <c r="BB128" s="3"/>
      <c r="BC128" s="3"/>
    </row>
    <row r="129" spans="1:55" x14ac:dyDescent="0.25">
      <c r="A129" s="2"/>
      <c r="D129" s="3"/>
      <c r="E129" s="4"/>
      <c r="F129" s="5"/>
      <c r="G129" s="5"/>
      <c r="J129" s="3"/>
      <c r="K129" s="3"/>
      <c r="L129" s="6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5"/>
      <c r="Y129" s="3"/>
      <c r="Z129" s="3"/>
      <c r="AA129" s="3"/>
      <c r="AB129" s="5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7"/>
      <c r="AV129" s="7"/>
      <c r="AW129" s="7"/>
      <c r="AX129" s="7"/>
      <c r="AY129" s="8"/>
      <c r="AZ129" s="3"/>
      <c r="BA129" s="3"/>
      <c r="BB129" s="3"/>
      <c r="BC129" s="3"/>
    </row>
    <row r="130" spans="1:55" x14ac:dyDescent="0.25">
      <c r="A130" s="2"/>
      <c r="D130" s="3"/>
      <c r="E130" s="4"/>
      <c r="F130" s="5"/>
      <c r="G130" s="5"/>
      <c r="J130" s="3"/>
      <c r="K130" s="3"/>
      <c r="L130" s="6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5"/>
      <c r="Y130" s="3"/>
      <c r="Z130" s="3"/>
      <c r="AA130" s="3"/>
      <c r="AB130" s="5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7"/>
      <c r="AV130" s="7"/>
      <c r="AW130" s="7"/>
      <c r="AX130" s="7"/>
      <c r="AY130" s="8"/>
      <c r="AZ130" s="3"/>
      <c r="BA130" s="3"/>
      <c r="BB130" s="3"/>
      <c r="BC130" s="3"/>
    </row>
    <row r="131" spans="1:55" x14ac:dyDescent="0.25">
      <c r="A131" s="2"/>
      <c r="D131" s="3"/>
      <c r="E131" s="4"/>
      <c r="F131" s="5"/>
      <c r="G131" s="5"/>
      <c r="J131" s="3"/>
      <c r="K131" s="3"/>
      <c r="L131" s="6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5"/>
      <c r="Y131" s="3"/>
      <c r="Z131" s="3"/>
      <c r="AA131" s="3"/>
      <c r="AB131" s="5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7"/>
      <c r="AV131" s="7"/>
      <c r="AW131" s="7"/>
      <c r="AX131" s="7"/>
      <c r="AY131" s="8"/>
      <c r="AZ131" s="3"/>
      <c r="BA131" s="3"/>
      <c r="BB131" s="3"/>
      <c r="BC131" s="3"/>
    </row>
    <row r="132" spans="1:55" x14ac:dyDescent="0.25">
      <c r="A132" s="2"/>
      <c r="D132" s="3"/>
      <c r="E132" s="4"/>
      <c r="F132" s="5"/>
      <c r="G132" s="5"/>
      <c r="J132" s="3"/>
      <c r="K132" s="3"/>
      <c r="L132" s="6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5"/>
      <c r="Y132" s="3"/>
      <c r="Z132" s="3"/>
      <c r="AA132" s="3"/>
      <c r="AB132" s="5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7"/>
      <c r="AV132" s="7"/>
      <c r="AW132" s="7"/>
      <c r="AX132" s="7"/>
      <c r="AY132" s="8"/>
      <c r="AZ132" s="3"/>
      <c r="BA132" s="3"/>
      <c r="BB132" s="3"/>
      <c r="BC132" s="3"/>
    </row>
    <row r="133" spans="1:55" x14ac:dyDescent="0.25">
      <c r="A133" s="2"/>
      <c r="D133" s="3"/>
      <c r="E133" s="4"/>
      <c r="F133" s="5"/>
      <c r="G133" s="5"/>
      <c r="J133" s="3"/>
      <c r="K133" s="3"/>
      <c r="L133" s="6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5"/>
      <c r="Y133" s="3"/>
      <c r="Z133" s="3"/>
      <c r="AA133" s="3"/>
      <c r="AB133" s="5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7"/>
      <c r="AV133" s="7"/>
      <c r="AW133" s="7"/>
      <c r="AX133" s="7"/>
      <c r="AY133" s="8"/>
      <c r="AZ133" s="3"/>
      <c r="BA133" s="3"/>
      <c r="BB133" s="3"/>
      <c r="BC133" s="3"/>
    </row>
    <row r="134" spans="1:55" x14ac:dyDescent="0.25">
      <c r="A134" s="2"/>
      <c r="D134" s="3"/>
      <c r="E134" s="4"/>
      <c r="F134" s="5"/>
      <c r="G134" s="5"/>
      <c r="J134" s="3"/>
      <c r="K134" s="3"/>
      <c r="L134" s="6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5"/>
      <c r="Y134" s="3"/>
      <c r="Z134" s="3"/>
      <c r="AA134" s="3"/>
      <c r="AB134" s="5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7"/>
      <c r="AV134" s="7"/>
      <c r="AW134" s="7"/>
      <c r="AX134" s="7"/>
      <c r="AY134" s="8"/>
      <c r="AZ134" s="3"/>
      <c r="BA134" s="3"/>
      <c r="BB134" s="3"/>
      <c r="BC134" s="3"/>
    </row>
    <row r="135" spans="1:55" x14ac:dyDescent="0.25">
      <c r="A135" s="2"/>
      <c r="D135" s="3"/>
      <c r="E135" s="4"/>
      <c r="F135" s="5"/>
      <c r="G135" s="5"/>
      <c r="J135" s="3"/>
      <c r="K135" s="3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5"/>
      <c r="Y135" s="3"/>
      <c r="Z135" s="3"/>
      <c r="AA135" s="3"/>
      <c r="AB135" s="5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7"/>
      <c r="AV135" s="7"/>
      <c r="AW135" s="7"/>
      <c r="AX135" s="7"/>
      <c r="AY135" s="8"/>
      <c r="AZ135" s="3"/>
      <c r="BA135" s="3"/>
      <c r="BB135" s="3"/>
      <c r="BC135" s="3"/>
    </row>
    <row r="136" spans="1:55" x14ac:dyDescent="0.25">
      <c r="A136" s="2"/>
      <c r="D136" s="3"/>
      <c r="E136" s="4"/>
      <c r="F136" s="5"/>
      <c r="G136" s="5"/>
      <c r="J136" s="3"/>
      <c r="K136" s="3"/>
      <c r="L136" s="6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5"/>
      <c r="Y136" s="3"/>
      <c r="Z136" s="3"/>
      <c r="AA136" s="3"/>
      <c r="AB136" s="5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7"/>
      <c r="AV136" s="7"/>
      <c r="AW136" s="7"/>
      <c r="AX136" s="7"/>
      <c r="AY136" s="8"/>
      <c r="AZ136" s="3"/>
      <c r="BA136" s="3"/>
      <c r="BB136" s="3"/>
      <c r="BC136" s="3"/>
    </row>
    <row r="137" spans="1:55" x14ac:dyDescent="0.25">
      <c r="A137" s="2"/>
      <c r="D137" s="3"/>
      <c r="E137" s="4"/>
      <c r="F137" s="5"/>
      <c r="G137" s="5"/>
      <c r="J137" s="3"/>
      <c r="K137" s="3"/>
      <c r="L137" s="6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5"/>
      <c r="Y137" s="3"/>
      <c r="Z137" s="3"/>
      <c r="AA137" s="3"/>
      <c r="AB137" s="5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7"/>
      <c r="AV137" s="7"/>
      <c r="AW137" s="7"/>
      <c r="AX137" s="7"/>
      <c r="AY137" s="8"/>
      <c r="AZ137" s="3"/>
      <c r="BA137" s="3"/>
      <c r="BB137" s="3"/>
      <c r="BC137" s="3"/>
    </row>
    <row r="138" spans="1:55" x14ac:dyDescent="0.25">
      <c r="A138" s="2"/>
      <c r="D138" s="3"/>
      <c r="E138" s="4"/>
      <c r="F138" s="5"/>
      <c r="G138" s="5"/>
      <c r="J138" s="3"/>
      <c r="K138" s="3"/>
      <c r="L138" s="6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5"/>
      <c r="Y138" s="3"/>
      <c r="Z138" s="3"/>
      <c r="AA138" s="3"/>
      <c r="AB138" s="5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7"/>
      <c r="AV138" s="7"/>
      <c r="AW138" s="7"/>
      <c r="AX138" s="7"/>
      <c r="AY138" s="8"/>
      <c r="AZ138" s="3"/>
      <c r="BA138" s="3"/>
      <c r="BB138" s="3"/>
      <c r="BC138" s="3"/>
    </row>
    <row r="139" spans="1:55" x14ac:dyDescent="0.25">
      <c r="A139" s="2"/>
      <c r="D139" s="3"/>
      <c r="E139" s="4"/>
      <c r="F139" s="5"/>
      <c r="G139" s="5"/>
      <c r="J139" s="3"/>
      <c r="K139" s="3"/>
      <c r="L139" s="6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5"/>
      <c r="Y139" s="3"/>
      <c r="Z139" s="3"/>
      <c r="AA139" s="3"/>
      <c r="AB139" s="5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7"/>
      <c r="AV139" s="7"/>
      <c r="AW139" s="7"/>
      <c r="AX139" s="7"/>
      <c r="AY139" s="8"/>
      <c r="AZ139" s="3"/>
      <c r="BA139" s="3"/>
      <c r="BB139" s="3"/>
      <c r="BC139" s="3"/>
    </row>
    <row r="140" spans="1:55" x14ac:dyDescent="0.25">
      <c r="A140" s="2"/>
      <c r="D140" s="3"/>
      <c r="E140" s="4"/>
      <c r="F140" s="5"/>
      <c r="G140" s="5"/>
      <c r="J140" s="3"/>
      <c r="K140" s="3"/>
      <c r="L140" s="6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5"/>
      <c r="Y140" s="3"/>
      <c r="Z140" s="3"/>
      <c r="AA140" s="3"/>
      <c r="AB140" s="5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7"/>
      <c r="AV140" s="7"/>
      <c r="AW140" s="7"/>
      <c r="AX140" s="7"/>
      <c r="AY140" s="8"/>
      <c r="AZ140" s="3"/>
      <c r="BA140" s="3"/>
      <c r="BB140" s="3"/>
      <c r="BC140" s="3"/>
    </row>
    <row r="141" spans="1:55" x14ac:dyDescent="0.25">
      <c r="A141" s="2"/>
      <c r="D141" s="3"/>
      <c r="E141" s="4"/>
      <c r="F141" s="5"/>
      <c r="G141" s="5"/>
      <c r="J141" s="3"/>
      <c r="K141" s="3"/>
      <c r="L141" s="6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5"/>
      <c r="Y141" s="3"/>
      <c r="Z141" s="3"/>
      <c r="AA141" s="3"/>
      <c r="AB141" s="5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7"/>
      <c r="AV141" s="7"/>
      <c r="AW141" s="7"/>
      <c r="AX141" s="7"/>
      <c r="AY141" s="8"/>
      <c r="AZ141" s="3"/>
      <c r="BA141" s="3"/>
      <c r="BB141" s="3"/>
      <c r="BC141" s="3"/>
    </row>
    <row r="142" spans="1:55" x14ac:dyDescent="0.25">
      <c r="A142" s="2"/>
      <c r="D142" s="3"/>
      <c r="E142" s="4"/>
      <c r="F142" s="5"/>
      <c r="G142" s="5"/>
      <c r="J142" s="3"/>
      <c r="K142" s="3"/>
      <c r="L142" s="6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5"/>
      <c r="Y142" s="3"/>
      <c r="Z142" s="3"/>
      <c r="AA142" s="3"/>
      <c r="AB142" s="5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7"/>
      <c r="AV142" s="7"/>
      <c r="AW142" s="7"/>
      <c r="AX142" s="7"/>
      <c r="AY142" s="8"/>
      <c r="AZ142" s="3"/>
      <c r="BA142" s="3"/>
      <c r="BB142" s="3"/>
      <c r="BC142" s="3"/>
    </row>
    <row r="143" spans="1:55" x14ac:dyDescent="0.25">
      <c r="A143" s="2"/>
      <c r="D143" s="3"/>
      <c r="E143" s="4"/>
      <c r="F143" s="5"/>
      <c r="G143" s="5"/>
      <c r="J143" s="3"/>
      <c r="K143" s="3"/>
      <c r="L143" s="6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5"/>
      <c r="Y143" s="3"/>
      <c r="Z143" s="3"/>
      <c r="AA143" s="3"/>
      <c r="AB143" s="5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7"/>
      <c r="AV143" s="7"/>
      <c r="AW143" s="7"/>
      <c r="AX143" s="7"/>
      <c r="AY143" s="8"/>
      <c r="AZ143" s="3"/>
      <c r="BA143" s="3"/>
      <c r="BB143" s="3"/>
      <c r="BC143" s="3"/>
    </row>
    <row r="144" spans="1:55" x14ac:dyDescent="0.25">
      <c r="A144" s="2"/>
      <c r="D144" s="3"/>
      <c r="E144" s="4"/>
      <c r="F144" s="5"/>
      <c r="G144" s="5"/>
      <c r="J144" s="3"/>
      <c r="K144" s="3"/>
      <c r="L144" s="6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5"/>
      <c r="Y144" s="3"/>
      <c r="Z144" s="3"/>
      <c r="AA144" s="3"/>
      <c r="AB144" s="5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7"/>
      <c r="AV144" s="7"/>
      <c r="AW144" s="7"/>
      <c r="AX144" s="7"/>
      <c r="AY144" s="8"/>
      <c r="AZ144" s="3"/>
      <c r="BA144" s="3"/>
      <c r="BB144" s="3"/>
      <c r="BC144" s="3"/>
    </row>
    <row r="145" spans="1:55" x14ac:dyDescent="0.25">
      <c r="A145" s="2"/>
      <c r="D145" s="3"/>
      <c r="E145" s="4"/>
      <c r="F145" s="5"/>
      <c r="G145" s="5"/>
      <c r="J145" s="3"/>
      <c r="K145" s="3"/>
      <c r="L145" s="6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5"/>
      <c r="Y145" s="3"/>
      <c r="Z145" s="3"/>
      <c r="AA145" s="3"/>
      <c r="AB145" s="5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7"/>
      <c r="AV145" s="7"/>
      <c r="AW145" s="7"/>
      <c r="AX145" s="7"/>
      <c r="AY145" s="8"/>
      <c r="AZ145" s="3"/>
      <c r="BA145" s="3"/>
      <c r="BB145" s="3"/>
      <c r="BC145" s="3"/>
    </row>
    <row r="146" spans="1:55" x14ac:dyDescent="0.25">
      <c r="A146" s="2"/>
      <c r="D146" s="3"/>
      <c r="E146" s="4"/>
      <c r="F146" s="5"/>
      <c r="G146" s="5"/>
      <c r="J146" s="3"/>
      <c r="K146" s="3"/>
      <c r="L146" s="6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5"/>
      <c r="Y146" s="3"/>
      <c r="Z146" s="3"/>
      <c r="AA146" s="3"/>
      <c r="AB146" s="5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7"/>
      <c r="AV146" s="7"/>
      <c r="AW146" s="7"/>
      <c r="AX146" s="7"/>
      <c r="AY146" s="8"/>
      <c r="AZ146" s="3"/>
      <c r="BA146" s="3"/>
      <c r="BB146" s="3"/>
      <c r="BC146" s="3"/>
    </row>
    <row r="147" spans="1:55" x14ac:dyDescent="0.25">
      <c r="A147" s="2"/>
      <c r="D147" s="3"/>
      <c r="E147" s="4"/>
      <c r="F147" s="5"/>
      <c r="G147" s="5"/>
      <c r="J147" s="3"/>
      <c r="K147" s="3"/>
      <c r="L147" s="6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5"/>
      <c r="Y147" s="3"/>
      <c r="Z147" s="3"/>
      <c r="AA147" s="3"/>
      <c r="AB147" s="5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7"/>
      <c r="AV147" s="7"/>
      <c r="AW147" s="7"/>
      <c r="AX147" s="7"/>
      <c r="AY147" s="8"/>
      <c r="AZ147" s="3"/>
      <c r="BA147" s="3"/>
      <c r="BB147" s="3"/>
      <c r="BC147" s="3"/>
    </row>
    <row r="148" spans="1:55" x14ac:dyDescent="0.25">
      <c r="A148" s="2"/>
      <c r="D148" s="3"/>
      <c r="E148" s="4"/>
      <c r="F148" s="5"/>
      <c r="G148" s="5"/>
      <c r="J148" s="3"/>
      <c r="K148" s="3"/>
      <c r="L148" s="6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5"/>
      <c r="Y148" s="3"/>
      <c r="Z148" s="3"/>
      <c r="AA148" s="3"/>
      <c r="AB148" s="5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7"/>
      <c r="AV148" s="7"/>
      <c r="AW148" s="7"/>
      <c r="AX148" s="7"/>
      <c r="AY148" s="8"/>
      <c r="AZ148" s="3"/>
      <c r="BA148" s="3"/>
      <c r="BB148" s="3"/>
      <c r="BC148" s="3"/>
    </row>
    <row r="149" spans="1:55" x14ac:dyDescent="0.25">
      <c r="A149" s="2"/>
      <c r="D149" s="3"/>
      <c r="E149" s="4"/>
      <c r="F149" s="5"/>
      <c r="G149" s="5"/>
      <c r="J149" s="3"/>
      <c r="K149" s="3"/>
      <c r="L149" s="6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5"/>
      <c r="Y149" s="3"/>
      <c r="Z149" s="3"/>
      <c r="AA149" s="3"/>
      <c r="AB149" s="5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7"/>
      <c r="AV149" s="7"/>
      <c r="AW149" s="7"/>
      <c r="AX149" s="7"/>
      <c r="AY149" s="8"/>
      <c r="AZ149" s="3"/>
      <c r="BA149" s="3"/>
      <c r="BB149" s="3"/>
      <c r="BC149" s="3"/>
    </row>
    <row r="150" spans="1:55" x14ac:dyDescent="0.25">
      <c r="A150" s="2"/>
      <c r="D150" s="3"/>
      <c r="E150" s="4"/>
      <c r="F150" s="5"/>
      <c r="G150" s="5"/>
      <c r="J150" s="3"/>
      <c r="K150" s="3"/>
      <c r="L150" s="6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5"/>
      <c r="Y150" s="3"/>
      <c r="Z150" s="3"/>
      <c r="AA150" s="3"/>
      <c r="AB150" s="5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7"/>
      <c r="AV150" s="7"/>
      <c r="AW150" s="7"/>
      <c r="AX150" s="7"/>
      <c r="AY150" s="8"/>
      <c r="AZ150" s="3"/>
      <c r="BA150" s="3"/>
      <c r="BB150" s="3"/>
      <c r="BC150" s="3"/>
    </row>
    <row r="151" spans="1:55" x14ac:dyDescent="0.25">
      <c r="A151" s="2"/>
      <c r="D151" s="3"/>
      <c r="E151" s="4"/>
      <c r="F151" s="5"/>
      <c r="G151" s="5"/>
      <c r="J151" s="3"/>
      <c r="K151" s="3"/>
      <c r="L151" s="6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5"/>
      <c r="Y151" s="3"/>
      <c r="Z151" s="3"/>
      <c r="AA151" s="3"/>
      <c r="AB151" s="5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7"/>
      <c r="AV151" s="7"/>
      <c r="AW151" s="7"/>
      <c r="AX151" s="7"/>
      <c r="AY151" s="8"/>
      <c r="AZ151" s="3"/>
      <c r="BA151" s="3"/>
      <c r="BB151" s="3"/>
      <c r="BC151" s="3"/>
    </row>
    <row r="152" spans="1:55" x14ac:dyDescent="0.25">
      <c r="A152" s="2"/>
      <c r="D152" s="3"/>
      <c r="E152" s="4"/>
      <c r="F152" s="5"/>
      <c r="G152" s="5"/>
      <c r="J152" s="3"/>
      <c r="K152" s="3"/>
      <c r="L152" s="6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5"/>
      <c r="Y152" s="3"/>
      <c r="Z152" s="3"/>
      <c r="AA152" s="3"/>
      <c r="AB152" s="5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7"/>
      <c r="AV152" s="7"/>
      <c r="AW152" s="7"/>
      <c r="AX152" s="7"/>
      <c r="AY152" s="8"/>
      <c r="AZ152" s="3"/>
      <c r="BA152" s="3"/>
      <c r="BB152" s="3"/>
      <c r="BC152" s="3"/>
    </row>
    <row r="153" spans="1:55" x14ac:dyDescent="0.25">
      <c r="A153" s="2"/>
      <c r="D153" s="3"/>
      <c r="E153" s="4"/>
      <c r="F153" s="5"/>
      <c r="G153" s="5"/>
      <c r="J153" s="3"/>
      <c r="K153" s="3"/>
      <c r="L153" s="6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5"/>
      <c r="Y153" s="3"/>
      <c r="Z153" s="3"/>
      <c r="AA153" s="3"/>
      <c r="AB153" s="5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7"/>
      <c r="AV153" s="7"/>
      <c r="AW153" s="7"/>
      <c r="AX153" s="7"/>
      <c r="AY153" s="8"/>
      <c r="AZ153" s="3"/>
      <c r="BA153" s="3"/>
      <c r="BB153" s="3"/>
      <c r="BC153" s="3"/>
    </row>
    <row r="154" spans="1:55" x14ac:dyDescent="0.25">
      <c r="A154" s="2"/>
      <c r="D154" s="3"/>
      <c r="E154" s="4"/>
      <c r="F154" s="5"/>
      <c r="G154" s="5"/>
      <c r="J154" s="3"/>
      <c r="K154" s="3"/>
      <c r="L154" s="6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5"/>
      <c r="Y154" s="3"/>
      <c r="Z154" s="3"/>
      <c r="AA154" s="3"/>
      <c r="AB154" s="5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7"/>
      <c r="AV154" s="7"/>
      <c r="AW154" s="7"/>
      <c r="AX154" s="7"/>
      <c r="AY154" s="8"/>
      <c r="AZ154" s="3"/>
      <c r="BA154" s="3"/>
      <c r="BB154" s="3"/>
      <c r="BC154" s="3"/>
    </row>
    <row r="155" spans="1:55" x14ac:dyDescent="0.25">
      <c r="A155" s="2"/>
      <c r="D155" s="3"/>
      <c r="E155" s="4"/>
      <c r="F155" s="5"/>
      <c r="G155" s="5"/>
      <c r="J155" s="3"/>
      <c r="K155" s="3"/>
      <c r="L155" s="6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5"/>
      <c r="Y155" s="3"/>
      <c r="Z155" s="3"/>
      <c r="AA155" s="3"/>
      <c r="AB155" s="5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7"/>
      <c r="AV155" s="7"/>
      <c r="AW155" s="7"/>
      <c r="AX155" s="7"/>
      <c r="AY155" s="8"/>
      <c r="AZ155" s="3"/>
      <c r="BA155" s="3"/>
      <c r="BB155" s="3"/>
      <c r="BC155" s="3"/>
    </row>
    <row r="156" spans="1:55" x14ac:dyDescent="0.25">
      <c r="A156" s="2"/>
      <c r="D156" s="3"/>
      <c r="E156" s="4"/>
      <c r="F156" s="5"/>
      <c r="G156" s="5"/>
      <c r="J156" s="3"/>
      <c r="K156" s="3"/>
      <c r="L156" s="6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5"/>
      <c r="Y156" s="3"/>
      <c r="Z156" s="3"/>
      <c r="AA156" s="3"/>
      <c r="AB156" s="5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7"/>
      <c r="AV156" s="7"/>
      <c r="AW156" s="7"/>
      <c r="AX156" s="7"/>
      <c r="AY156" s="8"/>
      <c r="AZ156" s="3"/>
      <c r="BA156" s="3"/>
      <c r="BB156" s="3"/>
      <c r="BC156" s="3"/>
    </row>
    <row r="157" spans="1:55" x14ac:dyDescent="0.25">
      <c r="A157" s="2"/>
      <c r="D157" s="3"/>
      <c r="E157" s="4"/>
      <c r="F157" s="5"/>
      <c r="G157" s="5"/>
      <c r="J157" s="3"/>
      <c r="K157" s="3"/>
      <c r="L157" s="6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5"/>
      <c r="Y157" s="3"/>
      <c r="Z157" s="3"/>
      <c r="AA157" s="3"/>
      <c r="AB157" s="5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7"/>
      <c r="AV157" s="7"/>
      <c r="AW157" s="7"/>
      <c r="AX157" s="7"/>
      <c r="AY157" s="8"/>
      <c r="AZ157" s="3"/>
      <c r="BA157" s="3"/>
      <c r="BB157" s="3"/>
      <c r="BC157" s="3"/>
    </row>
    <row r="158" spans="1:55" x14ac:dyDescent="0.25">
      <c r="A158" s="2"/>
      <c r="D158" s="3"/>
      <c r="E158" s="4"/>
      <c r="F158" s="5"/>
      <c r="G158" s="5"/>
      <c r="J158" s="3"/>
      <c r="K158" s="3"/>
      <c r="L158" s="6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5"/>
      <c r="Y158" s="3"/>
      <c r="Z158" s="3"/>
      <c r="AA158" s="3"/>
      <c r="AB158" s="5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7"/>
      <c r="AV158" s="7"/>
      <c r="AW158" s="7"/>
      <c r="AX158" s="7"/>
      <c r="AY158" s="8"/>
      <c r="AZ158" s="3"/>
      <c r="BA158" s="3"/>
      <c r="BB158" s="3"/>
      <c r="BC158" s="3"/>
    </row>
    <row r="159" spans="1:55" x14ac:dyDescent="0.25">
      <c r="A159" s="2"/>
      <c r="D159" s="3"/>
      <c r="E159" s="4"/>
      <c r="F159" s="5"/>
      <c r="G159" s="5"/>
      <c r="J159" s="3"/>
      <c r="K159" s="3"/>
      <c r="L159" s="6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5"/>
      <c r="Y159" s="3"/>
      <c r="Z159" s="3"/>
      <c r="AA159" s="3"/>
      <c r="AB159" s="5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7"/>
      <c r="AV159" s="7"/>
      <c r="AW159" s="7"/>
      <c r="AX159" s="7"/>
      <c r="AY159" s="8"/>
      <c r="AZ159" s="3"/>
      <c r="BA159" s="3"/>
      <c r="BB159" s="3"/>
      <c r="BC159" s="3"/>
    </row>
    <row r="160" spans="1:55" x14ac:dyDescent="0.25">
      <c r="A160" s="2"/>
      <c r="D160" s="3"/>
      <c r="E160" s="4"/>
      <c r="F160" s="5"/>
      <c r="G160" s="5"/>
      <c r="J160" s="3"/>
      <c r="K160" s="3"/>
      <c r="L160" s="6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5"/>
      <c r="Y160" s="3"/>
      <c r="Z160" s="3"/>
      <c r="AA160" s="3"/>
      <c r="AB160" s="5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7"/>
      <c r="AV160" s="7"/>
      <c r="AW160" s="7"/>
      <c r="AX160" s="7"/>
      <c r="AY160" s="8"/>
      <c r="AZ160" s="3"/>
      <c r="BA160" s="3"/>
      <c r="BB160" s="3"/>
      <c r="BC160" s="3"/>
    </row>
    <row r="161" spans="1:55" x14ac:dyDescent="0.25">
      <c r="A161" s="2"/>
      <c r="D161" s="3"/>
      <c r="E161" s="4"/>
      <c r="F161" s="5"/>
      <c r="G161" s="5"/>
      <c r="J161" s="3"/>
      <c r="K161" s="3"/>
      <c r="L161" s="6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5"/>
      <c r="Y161" s="3"/>
      <c r="Z161" s="3"/>
      <c r="AA161" s="3"/>
      <c r="AB161" s="5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7"/>
      <c r="AV161" s="7"/>
      <c r="AW161" s="7"/>
      <c r="AX161" s="7"/>
      <c r="AY161" s="8"/>
      <c r="AZ161" s="3"/>
      <c r="BA161" s="3"/>
      <c r="BB161" s="3"/>
      <c r="BC161" s="3"/>
    </row>
    <row r="162" spans="1:55" x14ac:dyDescent="0.25">
      <c r="A162" s="2"/>
      <c r="D162" s="3"/>
      <c r="E162" s="4"/>
      <c r="F162" s="5"/>
      <c r="G162" s="5"/>
      <c r="J162" s="3"/>
      <c r="K162" s="3"/>
      <c r="L162" s="6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5"/>
      <c r="Y162" s="3"/>
      <c r="Z162" s="3"/>
      <c r="AA162" s="3"/>
      <c r="AB162" s="5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7"/>
      <c r="AV162" s="7"/>
      <c r="AW162" s="7"/>
      <c r="AX162" s="7"/>
      <c r="AY162" s="8"/>
      <c r="AZ162" s="3"/>
      <c r="BA162" s="3"/>
      <c r="BB162" s="3"/>
      <c r="BC162" s="3"/>
    </row>
    <row r="163" spans="1:55" x14ac:dyDescent="0.25">
      <c r="A163" s="2"/>
      <c r="D163" s="3"/>
      <c r="E163" s="4"/>
      <c r="F163" s="5"/>
      <c r="G163" s="5"/>
      <c r="J163" s="3"/>
      <c r="K163" s="3"/>
      <c r="L163" s="6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5"/>
      <c r="Y163" s="3"/>
      <c r="Z163" s="3"/>
      <c r="AA163" s="3"/>
      <c r="AB163" s="5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7"/>
      <c r="AV163" s="7"/>
      <c r="AW163" s="7"/>
      <c r="AX163" s="7"/>
      <c r="AY163" s="8"/>
      <c r="AZ163" s="3"/>
      <c r="BA163" s="3"/>
      <c r="BB163" s="3"/>
      <c r="BC163" s="3"/>
    </row>
    <row r="164" spans="1:55" x14ac:dyDescent="0.25">
      <c r="A164" s="2"/>
      <c r="D164" s="3"/>
      <c r="E164" s="4"/>
      <c r="F164" s="5"/>
      <c r="G164" s="5"/>
      <c r="J164" s="3"/>
      <c r="K164" s="3"/>
      <c r="L164" s="6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5"/>
      <c r="Y164" s="3"/>
      <c r="Z164" s="3"/>
      <c r="AA164" s="3"/>
      <c r="AB164" s="5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7"/>
      <c r="AV164" s="7"/>
      <c r="AW164" s="7"/>
      <c r="AX164" s="7"/>
      <c r="AY164" s="8"/>
      <c r="AZ164" s="3"/>
      <c r="BA164" s="3"/>
      <c r="BB164" s="3"/>
      <c r="BC164" s="3"/>
    </row>
    <row r="165" spans="1:55" x14ac:dyDescent="0.25">
      <c r="A165" s="2"/>
      <c r="D165" s="3"/>
      <c r="E165" s="4"/>
      <c r="F165" s="5"/>
      <c r="G165" s="5"/>
      <c r="J165" s="3"/>
      <c r="K165" s="3"/>
      <c r="L165" s="6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5"/>
      <c r="Y165" s="3"/>
      <c r="Z165" s="3"/>
      <c r="AA165" s="3"/>
      <c r="AB165" s="5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7"/>
      <c r="AV165" s="7"/>
      <c r="AW165" s="7"/>
      <c r="AX165" s="7"/>
      <c r="AY165" s="8"/>
      <c r="AZ165" s="3"/>
      <c r="BA165" s="3"/>
      <c r="BB165" s="3"/>
      <c r="BC165" s="3"/>
    </row>
    <row r="166" spans="1:55" x14ac:dyDescent="0.25">
      <c r="A166" s="2"/>
      <c r="D166" s="3"/>
      <c r="E166" s="4"/>
      <c r="F166" s="5"/>
      <c r="G166" s="5"/>
      <c r="J166" s="3"/>
      <c r="K166" s="3"/>
      <c r="L166" s="6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5"/>
      <c r="Y166" s="3"/>
      <c r="Z166" s="3"/>
      <c r="AA166" s="3"/>
      <c r="AB166" s="5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7"/>
      <c r="AV166" s="7"/>
      <c r="AW166" s="7"/>
      <c r="AX166" s="7"/>
      <c r="AY166" s="8"/>
      <c r="AZ166" s="3"/>
      <c r="BA166" s="3"/>
      <c r="BB166" s="3"/>
      <c r="BC166" s="3"/>
    </row>
    <row r="167" spans="1:55" x14ac:dyDescent="0.25">
      <c r="A167" s="2"/>
      <c r="D167" s="3"/>
      <c r="E167" s="4"/>
      <c r="F167" s="5"/>
      <c r="G167" s="5"/>
      <c r="J167" s="3"/>
      <c r="K167" s="3"/>
      <c r="L167" s="6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5"/>
      <c r="Y167" s="3"/>
      <c r="Z167" s="3"/>
      <c r="AA167" s="3"/>
      <c r="AB167" s="5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7"/>
      <c r="AV167" s="7"/>
      <c r="AW167" s="7"/>
      <c r="AX167" s="7"/>
      <c r="AY167" s="8"/>
      <c r="AZ167" s="3"/>
      <c r="BA167" s="3"/>
      <c r="BB167" s="3"/>
      <c r="BC167" s="3"/>
    </row>
    <row r="168" spans="1:55" x14ac:dyDescent="0.25">
      <c r="A168" s="2"/>
      <c r="D168" s="3"/>
      <c r="E168" s="4"/>
      <c r="F168" s="5"/>
      <c r="G168" s="5"/>
      <c r="J168" s="3"/>
      <c r="K168" s="3"/>
      <c r="L168" s="6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5"/>
      <c r="Y168" s="3"/>
      <c r="Z168" s="3"/>
      <c r="AA168" s="3"/>
      <c r="AB168" s="5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7"/>
      <c r="AV168" s="7"/>
      <c r="AW168" s="7"/>
      <c r="AX168" s="7"/>
      <c r="AY168" s="8"/>
      <c r="AZ168" s="3"/>
      <c r="BA168" s="3"/>
      <c r="BB168" s="3"/>
      <c r="BC168" s="3"/>
    </row>
    <row r="169" spans="1:55" x14ac:dyDescent="0.25">
      <c r="A169" s="2"/>
      <c r="D169" s="3"/>
      <c r="E169" s="4"/>
      <c r="F169" s="5"/>
      <c r="G169" s="5"/>
      <c r="J169" s="3"/>
      <c r="K169" s="3"/>
      <c r="L169" s="6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5"/>
      <c r="Y169" s="3"/>
      <c r="Z169" s="3"/>
      <c r="AA169" s="3"/>
      <c r="AB169" s="5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7"/>
      <c r="AV169" s="7"/>
      <c r="AW169" s="7"/>
      <c r="AX169" s="7"/>
      <c r="AY169" s="8"/>
      <c r="AZ169" s="3"/>
      <c r="BA169" s="3"/>
      <c r="BB169" s="3"/>
      <c r="BC169" s="3"/>
    </row>
    <row r="170" spans="1:55" x14ac:dyDescent="0.25">
      <c r="A170" s="2"/>
      <c r="D170" s="3"/>
      <c r="E170" s="4"/>
      <c r="F170" s="5"/>
      <c r="G170" s="5"/>
      <c r="J170" s="3"/>
      <c r="K170" s="3"/>
      <c r="L170" s="6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5"/>
      <c r="Y170" s="3"/>
      <c r="Z170" s="3"/>
      <c r="AA170" s="3"/>
      <c r="AB170" s="5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7"/>
      <c r="AV170" s="7"/>
      <c r="AW170" s="7"/>
      <c r="AX170" s="7"/>
      <c r="AY170" s="8"/>
      <c r="AZ170" s="3"/>
      <c r="BA170" s="3"/>
      <c r="BB170" s="3"/>
      <c r="BC170" s="3"/>
    </row>
    <row r="171" spans="1:55" x14ac:dyDescent="0.25">
      <c r="A171" s="2"/>
      <c r="D171" s="3"/>
      <c r="E171" s="4"/>
      <c r="F171" s="5"/>
      <c r="G171" s="5"/>
      <c r="J171" s="3"/>
      <c r="K171" s="3"/>
      <c r="L171" s="6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5"/>
      <c r="Y171" s="3"/>
      <c r="Z171" s="3"/>
      <c r="AA171" s="3"/>
      <c r="AB171" s="5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7"/>
      <c r="AV171" s="7"/>
      <c r="AW171" s="7"/>
      <c r="AX171" s="7"/>
      <c r="AY171" s="8"/>
      <c r="AZ171" s="3"/>
      <c r="BA171" s="3"/>
      <c r="BB171" s="3"/>
      <c r="BC171" s="3"/>
    </row>
    <row r="172" spans="1:55" x14ac:dyDescent="0.25">
      <c r="A172" s="2"/>
      <c r="D172" s="3"/>
      <c r="E172" s="4"/>
      <c r="F172" s="5"/>
      <c r="G172" s="5"/>
      <c r="J172" s="3"/>
      <c r="K172" s="3"/>
      <c r="L172" s="6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5"/>
      <c r="Y172" s="3"/>
      <c r="Z172" s="3"/>
      <c r="AA172" s="3"/>
      <c r="AB172" s="5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7"/>
      <c r="AV172" s="7"/>
      <c r="AW172" s="7"/>
      <c r="AX172" s="7"/>
      <c r="AY172" s="8"/>
      <c r="AZ172" s="3"/>
      <c r="BA172" s="3"/>
      <c r="BB172" s="3"/>
      <c r="BC172" s="3"/>
    </row>
    <row r="173" spans="1:55" x14ac:dyDescent="0.25">
      <c r="A173" s="2"/>
      <c r="D173" s="3"/>
      <c r="E173" s="4"/>
      <c r="F173" s="5"/>
      <c r="G173" s="5"/>
      <c r="J173" s="3"/>
      <c r="K173" s="3"/>
      <c r="L173" s="6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5"/>
      <c r="Y173" s="3"/>
      <c r="Z173" s="3"/>
      <c r="AA173" s="3"/>
      <c r="AB173" s="5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7"/>
      <c r="AV173" s="7"/>
      <c r="AW173" s="7"/>
      <c r="AX173" s="7"/>
      <c r="AY173" s="8"/>
      <c r="AZ173" s="3"/>
      <c r="BA173" s="3"/>
      <c r="BB173" s="3"/>
      <c r="BC173" s="3"/>
    </row>
    <row r="174" spans="1:55" x14ac:dyDescent="0.25">
      <c r="A174" s="2"/>
      <c r="D174" s="3"/>
      <c r="E174" s="4"/>
      <c r="F174" s="5"/>
      <c r="G174" s="5"/>
      <c r="J174" s="3"/>
      <c r="K174" s="3"/>
      <c r="L174" s="6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5"/>
      <c r="Y174" s="3"/>
      <c r="Z174" s="3"/>
      <c r="AA174" s="3"/>
      <c r="AB174" s="5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7"/>
      <c r="AV174" s="7"/>
      <c r="AW174" s="7"/>
      <c r="AX174" s="7"/>
      <c r="AY174" s="8"/>
      <c r="AZ174" s="3"/>
      <c r="BA174" s="3"/>
      <c r="BB174" s="3"/>
      <c r="BC174" s="3"/>
    </row>
    <row r="175" spans="1:55" x14ac:dyDescent="0.25">
      <c r="A175" s="2"/>
      <c r="D175" s="3"/>
      <c r="E175" s="4"/>
      <c r="F175" s="5"/>
      <c r="G175" s="5"/>
      <c r="J175" s="3"/>
      <c r="K175" s="3"/>
      <c r="L175" s="6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5"/>
      <c r="Y175" s="3"/>
      <c r="Z175" s="3"/>
      <c r="AA175" s="3"/>
      <c r="AB175" s="5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7"/>
      <c r="AV175" s="7"/>
      <c r="AW175" s="7"/>
      <c r="AX175" s="7"/>
      <c r="AY175" s="8"/>
      <c r="AZ175" s="3"/>
      <c r="BA175" s="3"/>
      <c r="BB175" s="3"/>
      <c r="BC175" s="3"/>
    </row>
    <row r="176" spans="1:55" x14ac:dyDescent="0.25">
      <c r="A176" s="2"/>
      <c r="D176" s="3"/>
      <c r="E176" s="4"/>
      <c r="F176" s="5"/>
      <c r="G176" s="5"/>
      <c r="J176" s="3"/>
      <c r="K176" s="3"/>
      <c r="L176" s="6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5"/>
      <c r="Y176" s="3"/>
      <c r="Z176" s="3"/>
      <c r="AA176" s="3"/>
      <c r="AB176" s="5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7"/>
      <c r="AV176" s="7"/>
      <c r="AW176" s="7"/>
      <c r="AX176" s="7"/>
      <c r="AY176" s="8"/>
      <c r="AZ176" s="3"/>
      <c r="BA176" s="3"/>
      <c r="BB176" s="3"/>
      <c r="BC176" s="3"/>
    </row>
    <row r="177" spans="1:55" x14ac:dyDescent="0.25">
      <c r="A177" s="2"/>
      <c r="D177" s="3"/>
      <c r="E177" s="4"/>
      <c r="F177" s="5"/>
      <c r="G177" s="5"/>
      <c r="J177" s="3"/>
      <c r="K177" s="3"/>
      <c r="L177" s="6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5"/>
      <c r="Y177" s="3"/>
      <c r="Z177" s="3"/>
      <c r="AA177" s="3"/>
      <c r="AB177" s="5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7"/>
      <c r="AV177" s="7"/>
      <c r="AW177" s="7"/>
      <c r="AX177" s="7"/>
      <c r="AY177" s="8"/>
      <c r="AZ177" s="3"/>
      <c r="BA177" s="3"/>
      <c r="BB177" s="3"/>
      <c r="BC177" s="3"/>
    </row>
    <row r="178" spans="1:55" x14ac:dyDescent="0.25">
      <c r="A178" s="2"/>
      <c r="D178" s="3"/>
      <c r="E178" s="4"/>
      <c r="F178" s="5"/>
      <c r="G178" s="5"/>
      <c r="J178" s="3"/>
      <c r="K178" s="3"/>
      <c r="L178" s="6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5"/>
      <c r="Y178" s="3"/>
      <c r="Z178" s="3"/>
      <c r="AA178" s="3"/>
      <c r="AB178" s="5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7"/>
      <c r="AV178" s="7"/>
      <c r="AW178" s="7"/>
      <c r="AX178" s="7"/>
      <c r="AY178" s="8"/>
      <c r="AZ178" s="3"/>
      <c r="BA178" s="3"/>
      <c r="BB178" s="3"/>
      <c r="BC178" s="3"/>
    </row>
    <row r="179" spans="1:55" x14ac:dyDescent="0.25">
      <c r="A179" s="2"/>
      <c r="D179" s="3"/>
      <c r="E179" s="4"/>
      <c r="F179" s="5"/>
      <c r="G179" s="5"/>
      <c r="J179" s="3"/>
      <c r="K179" s="3"/>
      <c r="L179" s="6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5"/>
      <c r="Y179" s="3"/>
      <c r="Z179" s="3"/>
      <c r="AA179" s="3"/>
      <c r="AB179" s="5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7"/>
      <c r="AV179" s="7"/>
      <c r="AW179" s="7"/>
      <c r="AX179" s="7"/>
      <c r="AY179" s="8"/>
      <c r="AZ179" s="3"/>
      <c r="BA179" s="3"/>
      <c r="BB179" s="3"/>
      <c r="BC179" s="3"/>
    </row>
    <row r="180" spans="1:55" x14ac:dyDescent="0.25">
      <c r="A180" s="2"/>
      <c r="D180" s="3"/>
      <c r="E180" s="4"/>
      <c r="F180" s="5"/>
      <c r="G180" s="5"/>
      <c r="J180" s="3"/>
      <c r="K180" s="3"/>
      <c r="L180" s="6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5"/>
      <c r="Y180" s="3"/>
      <c r="Z180" s="3"/>
      <c r="AA180" s="3"/>
      <c r="AB180" s="5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7"/>
      <c r="AV180" s="7"/>
      <c r="AW180" s="7"/>
      <c r="AX180" s="7"/>
      <c r="AY180" s="8"/>
      <c r="AZ180" s="3"/>
      <c r="BA180" s="3"/>
      <c r="BB180" s="3"/>
      <c r="BC180" s="3"/>
    </row>
    <row r="181" spans="1:55" x14ac:dyDescent="0.25">
      <c r="A181" s="2"/>
      <c r="D181" s="3"/>
      <c r="E181" s="4"/>
      <c r="F181" s="5"/>
      <c r="G181" s="5"/>
      <c r="J181" s="3"/>
      <c r="K181" s="3"/>
      <c r="L181" s="6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5"/>
      <c r="Y181" s="3"/>
      <c r="Z181" s="3"/>
      <c r="AA181" s="3"/>
      <c r="AB181" s="5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7"/>
      <c r="AV181" s="7"/>
      <c r="AW181" s="7"/>
      <c r="AX181" s="7"/>
      <c r="AY181" s="8"/>
      <c r="AZ181" s="3"/>
      <c r="BA181" s="3"/>
      <c r="BB181" s="3"/>
      <c r="BC181" s="3"/>
    </row>
    <row r="182" spans="1:55" x14ac:dyDescent="0.25">
      <c r="A182" s="2"/>
      <c r="D182" s="3"/>
      <c r="E182" s="4"/>
      <c r="F182" s="5"/>
      <c r="G182" s="5"/>
      <c r="J182" s="3"/>
      <c r="K182" s="3"/>
      <c r="L182" s="6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5"/>
      <c r="Y182" s="3"/>
      <c r="Z182" s="3"/>
      <c r="AA182" s="3"/>
      <c r="AB182" s="5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7"/>
      <c r="AV182" s="7"/>
      <c r="AW182" s="7"/>
      <c r="AX182" s="7"/>
      <c r="AY182" s="8"/>
      <c r="AZ182" s="3"/>
      <c r="BA182" s="3"/>
      <c r="BB182" s="3"/>
      <c r="BC182" s="3"/>
    </row>
    <row r="183" spans="1:55" x14ac:dyDescent="0.25">
      <c r="A183" s="2"/>
      <c r="D183" s="3"/>
      <c r="E183" s="4"/>
      <c r="F183" s="5"/>
      <c r="G183" s="5"/>
      <c r="J183" s="3"/>
      <c r="K183" s="3"/>
      <c r="L183" s="6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5"/>
      <c r="Y183" s="3"/>
      <c r="Z183" s="3"/>
      <c r="AA183" s="3"/>
      <c r="AB183" s="5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7"/>
      <c r="AV183" s="7"/>
      <c r="AW183" s="7"/>
      <c r="AX183" s="7"/>
      <c r="AY183" s="8"/>
      <c r="AZ183" s="3"/>
      <c r="BA183" s="3"/>
      <c r="BB183" s="3"/>
      <c r="BC183" s="3"/>
    </row>
    <row r="184" spans="1:55" x14ac:dyDescent="0.25">
      <c r="A184" s="2"/>
      <c r="D184" s="3"/>
      <c r="E184" s="4"/>
      <c r="F184" s="5"/>
      <c r="G184" s="5"/>
      <c r="J184" s="3"/>
      <c r="K184" s="3"/>
      <c r="L184" s="6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5"/>
      <c r="Y184" s="3"/>
      <c r="Z184" s="3"/>
      <c r="AA184" s="3"/>
      <c r="AB184" s="5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7"/>
      <c r="AV184" s="7"/>
      <c r="AW184" s="7"/>
      <c r="AX184" s="7"/>
      <c r="AY184" s="8"/>
      <c r="AZ184" s="3"/>
      <c r="BA184" s="3"/>
      <c r="BB184" s="3"/>
      <c r="BC184" s="3"/>
    </row>
    <row r="185" spans="1:55" x14ac:dyDescent="0.25">
      <c r="A185" s="2"/>
      <c r="D185" s="3"/>
      <c r="E185" s="4"/>
      <c r="F185" s="5"/>
      <c r="G185" s="5"/>
      <c r="J185" s="3"/>
      <c r="K185" s="3"/>
      <c r="L185" s="6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5"/>
      <c r="Y185" s="3"/>
      <c r="Z185" s="3"/>
      <c r="AA185" s="3"/>
      <c r="AB185" s="5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7"/>
      <c r="AV185" s="7"/>
      <c r="AW185" s="7"/>
      <c r="AX185" s="7"/>
      <c r="AY185" s="8"/>
      <c r="AZ185" s="3"/>
      <c r="BA185" s="3"/>
      <c r="BB185" s="3"/>
      <c r="BC185" s="3"/>
    </row>
    <row r="186" spans="1:55" x14ac:dyDescent="0.25">
      <c r="A186" s="2"/>
      <c r="D186" s="3"/>
      <c r="E186" s="4"/>
      <c r="F186" s="5"/>
      <c r="G186" s="5"/>
      <c r="J186" s="3"/>
      <c r="K186" s="3"/>
      <c r="L186" s="6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5"/>
      <c r="Y186" s="3"/>
      <c r="Z186" s="3"/>
      <c r="AA186" s="3"/>
      <c r="AB186" s="5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7"/>
      <c r="AV186" s="7"/>
      <c r="AW186" s="7"/>
      <c r="AX186" s="7"/>
      <c r="AY186" s="8"/>
      <c r="AZ186" s="3"/>
      <c r="BA186" s="3"/>
      <c r="BB186" s="3"/>
      <c r="BC186" s="3"/>
    </row>
    <row r="187" spans="1:55" x14ac:dyDescent="0.25">
      <c r="A187" s="2"/>
      <c r="D187" s="3"/>
      <c r="E187" s="4"/>
      <c r="F187" s="5"/>
      <c r="G187" s="5"/>
      <c r="J187" s="3"/>
      <c r="K187" s="3"/>
      <c r="L187" s="6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5"/>
      <c r="Y187" s="3"/>
      <c r="Z187" s="3"/>
      <c r="AA187" s="3"/>
      <c r="AB187" s="5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7"/>
      <c r="AV187" s="7"/>
      <c r="AW187" s="7"/>
      <c r="AX187" s="7"/>
      <c r="AY187" s="8"/>
      <c r="AZ187" s="3"/>
      <c r="BA187" s="3"/>
      <c r="BB187" s="3"/>
      <c r="BC187" s="3"/>
    </row>
    <row r="188" spans="1:55" x14ac:dyDescent="0.25">
      <c r="A188" s="2"/>
      <c r="D188" s="3"/>
      <c r="E188" s="4"/>
      <c r="F188" s="5"/>
      <c r="G188" s="5"/>
      <c r="J188" s="3"/>
      <c r="K188" s="3"/>
      <c r="L188" s="6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5"/>
      <c r="Y188" s="3"/>
      <c r="Z188" s="3"/>
      <c r="AA188" s="3"/>
      <c r="AB188" s="5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7"/>
      <c r="AV188" s="7"/>
      <c r="AW188" s="7"/>
      <c r="AX188" s="7"/>
      <c r="AY188" s="8"/>
      <c r="AZ188" s="3"/>
      <c r="BA188" s="3"/>
      <c r="BB188" s="3"/>
      <c r="BC188" s="3"/>
    </row>
    <row r="189" spans="1:55" x14ac:dyDescent="0.25">
      <c r="A189" s="2"/>
      <c r="D189" s="3"/>
      <c r="E189" s="4"/>
      <c r="F189" s="5"/>
      <c r="G189" s="5"/>
      <c r="J189" s="3"/>
      <c r="K189" s="3"/>
      <c r="L189" s="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5"/>
      <c r="Y189" s="3"/>
      <c r="Z189" s="3"/>
      <c r="AA189" s="3"/>
      <c r="AB189" s="5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7"/>
      <c r="AV189" s="7"/>
      <c r="AW189" s="7"/>
      <c r="AX189" s="7"/>
      <c r="AY189" s="8"/>
      <c r="AZ189" s="3"/>
      <c r="BA189" s="3"/>
      <c r="BB189" s="3"/>
      <c r="BC189" s="3"/>
    </row>
    <row r="190" spans="1:55" x14ac:dyDescent="0.25">
      <c r="A190" s="2"/>
      <c r="D190" s="3"/>
      <c r="E190" s="4"/>
      <c r="F190" s="5"/>
      <c r="G190" s="5"/>
      <c r="J190" s="3"/>
      <c r="K190" s="3"/>
      <c r="L190" s="6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5"/>
      <c r="Y190" s="3"/>
      <c r="Z190" s="3"/>
      <c r="AA190" s="3"/>
      <c r="AB190" s="5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7"/>
      <c r="AV190" s="7"/>
      <c r="AW190" s="7"/>
      <c r="AX190" s="7"/>
      <c r="AY190" s="8"/>
      <c r="AZ190" s="3"/>
      <c r="BA190" s="3"/>
      <c r="BB190" s="3"/>
      <c r="BC190" s="3"/>
    </row>
    <row r="191" spans="1:55" x14ac:dyDescent="0.25">
      <c r="A191" s="2"/>
      <c r="D191" s="3"/>
      <c r="E191" s="4"/>
      <c r="F191" s="5"/>
      <c r="G191" s="5"/>
      <c r="J191" s="3"/>
      <c r="K191" s="3"/>
      <c r="L191" s="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5"/>
      <c r="Y191" s="3"/>
      <c r="Z191" s="3"/>
      <c r="AA191" s="3"/>
      <c r="AB191" s="5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7"/>
      <c r="AV191" s="7"/>
      <c r="AW191" s="7"/>
      <c r="AX191" s="7"/>
      <c r="AY191" s="8"/>
      <c r="AZ191" s="3"/>
      <c r="BA191" s="3"/>
      <c r="BB191" s="3"/>
      <c r="BC191" s="3"/>
    </row>
    <row r="192" spans="1:55" x14ac:dyDescent="0.25">
      <c r="A192" s="2"/>
      <c r="D192" s="3"/>
      <c r="E192" s="4"/>
      <c r="F192" s="5"/>
      <c r="G192" s="5"/>
      <c r="J192" s="3"/>
      <c r="K192" s="3"/>
      <c r="L192" s="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5"/>
      <c r="Y192" s="3"/>
      <c r="Z192" s="3"/>
      <c r="AA192" s="3"/>
      <c r="AB192" s="5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7"/>
      <c r="AV192" s="7"/>
      <c r="AW192" s="7"/>
      <c r="AX192" s="7"/>
      <c r="AY192" s="8"/>
      <c r="AZ192" s="3"/>
      <c r="BA192" s="3"/>
      <c r="BB192" s="3"/>
      <c r="BC192" s="3"/>
    </row>
    <row r="193" spans="1:55" x14ac:dyDescent="0.25">
      <c r="A193" s="2"/>
      <c r="D193" s="3"/>
      <c r="E193" s="4"/>
      <c r="F193" s="5"/>
      <c r="G193" s="5"/>
      <c r="J193" s="3"/>
      <c r="K193" s="3"/>
      <c r="L193" s="6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5"/>
      <c r="Y193" s="3"/>
      <c r="Z193" s="3"/>
      <c r="AA193" s="3"/>
      <c r="AB193" s="5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7"/>
      <c r="AV193" s="7"/>
      <c r="AW193" s="7"/>
      <c r="AX193" s="7"/>
      <c r="AY193" s="8"/>
      <c r="AZ193" s="3"/>
      <c r="BA193" s="3"/>
      <c r="BB193" s="3"/>
      <c r="BC193" s="3"/>
    </row>
    <row r="194" spans="1:55" x14ac:dyDescent="0.25">
      <c r="A194" s="2"/>
      <c r="D194" s="3"/>
      <c r="E194" s="4"/>
      <c r="F194" s="5"/>
      <c r="G194" s="5"/>
      <c r="J194" s="3"/>
      <c r="K194" s="3"/>
      <c r="L194" s="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5"/>
      <c r="Y194" s="3"/>
      <c r="Z194" s="3"/>
      <c r="AA194" s="3"/>
      <c r="AB194" s="5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7"/>
      <c r="AV194" s="7"/>
      <c r="AW194" s="7"/>
      <c r="AX194" s="7"/>
      <c r="AY194" s="8"/>
      <c r="AZ194" s="3"/>
      <c r="BA194" s="3"/>
      <c r="BB194" s="3"/>
      <c r="BC194" s="3"/>
    </row>
    <row r="195" spans="1:55" x14ac:dyDescent="0.25">
      <c r="A195" s="2"/>
      <c r="D195" s="3"/>
      <c r="E195" s="4"/>
      <c r="F195" s="5"/>
      <c r="G195" s="5"/>
      <c r="J195" s="3"/>
      <c r="K195" s="3"/>
      <c r="L195" s="6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5"/>
      <c r="Y195" s="3"/>
      <c r="Z195" s="3"/>
      <c r="AA195" s="3"/>
      <c r="AB195" s="5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7"/>
      <c r="AV195" s="7"/>
      <c r="AW195" s="7"/>
      <c r="AX195" s="7"/>
      <c r="AY195" s="8"/>
      <c r="AZ195" s="3"/>
      <c r="BA195" s="3"/>
      <c r="BB195" s="3"/>
      <c r="BC195" s="3"/>
    </row>
    <row r="196" spans="1:55" x14ac:dyDescent="0.25">
      <c r="A196" s="2"/>
      <c r="D196" s="3"/>
      <c r="E196" s="4"/>
      <c r="F196" s="5"/>
      <c r="G196" s="5"/>
      <c r="J196" s="3"/>
      <c r="K196" s="3"/>
      <c r="L196" s="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5"/>
      <c r="Y196" s="3"/>
      <c r="Z196" s="3"/>
      <c r="AA196" s="3"/>
      <c r="AB196" s="5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7"/>
      <c r="AV196" s="7"/>
      <c r="AW196" s="7"/>
      <c r="AX196" s="7"/>
      <c r="AY196" s="8"/>
      <c r="AZ196" s="3"/>
      <c r="BA196" s="3"/>
      <c r="BB196" s="3"/>
      <c r="BC196" s="3"/>
    </row>
    <row r="197" spans="1:55" x14ac:dyDescent="0.25">
      <c r="A197" s="2"/>
      <c r="D197" s="3"/>
      <c r="E197" s="4"/>
      <c r="F197" s="5"/>
      <c r="G197" s="5"/>
      <c r="J197" s="3"/>
      <c r="K197" s="3"/>
      <c r="L197" s="6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5"/>
      <c r="Y197" s="3"/>
      <c r="Z197" s="3"/>
      <c r="AA197" s="3"/>
      <c r="AB197" s="5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7"/>
      <c r="AV197" s="7"/>
      <c r="AW197" s="7"/>
      <c r="AX197" s="7"/>
      <c r="AY197" s="8"/>
      <c r="AZ197" s="3"/>
      <c r="BA197" s="3"/>
      <c r="BB197" s="3"/>
      <c r="BC197" s="3"/>
    </row>
    <row r="198" spans="1:55" x14ac:dyDescent="0.25">
      <c r="A198" s="2"/>
      <c r="D198" s="3"/>
      <c r="E198" s="4"/>
      <c r="F198" s="5"/>
      <c r="G198" s="5"/>
      <c r="J198" s="3"/>
      <c r="K198" s="3"/>
      <c r="L198" s="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5"/>
      <c r="Y198" s="3"/>
      <c r="Z198" s="3"/>
      <c r="AA198" s="3"/>
      <c r="AB198" s="5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7"/>
      <c r="AV198" s="7"/>
      <c r="AW198" s="7"/>
      <c r="AX198" s="7"/>
      <c r="AY198" s="8"/>
      <c r="AZ198" s="3"/>
      <c r="BA198" s="3"/>
      <c r="BB198" s="3"/>
      <c r="BC198" s="3"/>
    </row>
    <row r="199" spans="1:55" x14ac:dyDescent="0.25">
      <c r="A199" s="2"/>
      <c r="D199" s="3"/>
      <c r="E199" s="4"/>
      <c r="F199" s="5"/>
      <c r="G199" s="5"/>
      <c r="J199" s="3"/>
      <c r="K199" s="3"/>
      <c r="L199" s="6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5"/>
      <c r="Y199" s="3"/>
      <c r="Z199" s="3"/>
      <c r="AA199" s="3"/>
      <c r="AB199" s="5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7"/>
      <c r="AV199" s="7"/>
      <c r="AW199" s="7"/>
      <c r="AX199" s="7"/>
      <c r="AY199" s="8"/>
      <c r="AZ199" s="3"/>
      <c r="BA199" s="3"/>
      <c r="BB199" s="3"/>
      <c r="BC199" s="3"/>
    </row>
    <row r="200" spans="1:55" x14ac:dyDescent="0.25">
      <c r="A200" s="2"/>
      <c r="D200" s="3"/>
      <c r="E200" s="4"/>
      <c r="F200" s="5"/>
      <c r="G200" s="5"/>
      <c r="J200" s="3"/>
      <c r="K200" s="3"/>
      <c r="L200" s="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5"/>
      <c r="Y200" s="3"/>
      <c r="Z200" s="3"/>
      <c r="AA200" s="3"/>
      <c r="AB200" s="5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7"/>
      <c r="AV200" s="7"/>
      <c r="AW200" s="7"/>
      <c r="AX200" s="7"/>
      <c r="AY200" s="8"/>
      <c r="AZ200" s="3"/>
      <c r="BA200" s="3"/>
      <c r="BB200" s="3"/>
      <c r="BC200" s="3"/>
    </row>
    <row r="201" spans="1:55" x14ac:dyDescent="0.25">
      <c r="A201" s="2"/>
      <c r="D201" s="3"/>
      <c r="E201" s="4"/>
      <c r="F201" s="5"/>
      <c r="G201" s="5"/>
      <c r="J201" s="3"/>
      <c r="K201" s="3"/>
      <c r="L201" s="6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5"/>
      <c r="Y201" s="3"/>
      <c r="Z201" s="3"/>
      <c r="AA201" s="3"/>
      <c r="AB201" s="5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7"/>
      <c r="AV201" s="7"/>
      <c r="AW201" s="7"/>
      <c r="AX201" s="7"/>
      <c r="AY201" s="8"/>
      <c r="AZ201" s="3"/>
      <c r="BA201" s="3"/>
      <c r="BB201" s="3"/>
      <c r="BC201" s="3"/>
    </row>
    <row r="202" spans="1:55" x14ac:dyDescent="0.25">
      <c r="A202" s="2"/>
      <c r="D202" s="3"/>
      <c r="E202" s="4"/>
      <c r="F202" s="5"/>
      <c r="G202" s="5"/>
      <c r="J202" s="3"/>
      <c r="K202" s="3"/>
      <c r="L202" s="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5"/>
      <c r="Y202" s="3"/>
      <c r="Z202" s="3"/>
      <c r="AA202" s="3"/>
      <c r="AB202" s="5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7"/>
      <c r="AV202" s="7"/>
      <c r="AW202" s="7"/>
      <c r="AX202" s="7"/>
      <c r="AY202" s="8"/>
      <c r="AZ202" s="3"/>
      <c r="BA202" s="3"/>
      <c r="BB202" s="3"/>
      <c r="BC202" s="3"/>
    </row>
    <row r="203" spans="1:55" x14ac:dyDescent="0.25">
      <c r="A203" s="2"/>
      <c r="D203" s="3"/>
      <c r="E203" s="4"/>
      <c r="F203" s="5"/>
      <c r="G203" s="5"/>
      <c r="J203" s="3"/>
      <c r="K203" s="3"/>
      <c r="L203" s="6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5"/>
      <c r="Y203" s="3"/>
      <c r="Z203" s="3"/>
      <c r="AA203" s="3"/>
      <c r="AB203" s="5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7"/>
      <c r="AV203" s="7"/>
      <c r="AW203" s="7"/>
      <c r="AX203" s="7"/>
      <c r="AY203" s="8"/>
      <c r="AZ203" s="3"/>
      <c r="BA203" s="3"/>
      <c r="BB203" s="3"/>
      <c r="BC203" s="3"/>
    </row>
    <row r="204" spans="1:55" x14ac:dyDescent="0.25">
      <c r="A204" s="2"/>
      <c r="D204" s="3"/>
      <c r="E204" s="4"/>
      <c r="F204" s="5"/>
      <c r="G204" s="5"/>
      <c r="J204" s="3"/>
      <c r="K204" s="3"/>
      <c r="L204" s="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5"/>
      <c r="Y204" s="3"/>
      <c r="Z204" s="3"/>
      <c r="AA204" s="3"/>
      <c r="AB204" s="5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7"/>
      <c r="AV204" s="7"/>
      <c r="AW204" s="7"/>
      <c r="AX204" s="7"/>
      <c r="AY204" s="8"/>
      <c r="AZ204" s="3"/>
      <c r="BA204" s="3"/>
      <c r="BB204" s="3"/>
      <c r="BC204" s="3"/>
    </row>
    <row r="205" spans="1:55" x14ac:dyDescent="0.25">
      <c r="A205" s="2"/>
      <c r="D205" s="3"/>
      <c r="E205" s="4"/>
      <c r="F205" s="5"/>
      <c r="G205" s="5"/>
      <c r="J205" s="3"/>
      <c r="K205" s="3"/>
      <c r="L205" s="6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5"/>
      <c r="Y205" s="3"/>
      <c r="Z205" s="3"/>
      <c r="AA205" s="3"/>
      <c r="AB205" s="5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7"/>
      <c r="AV205" s="7"/>
      <c r="AW205" s="7"/>
      <c r="AX205" s="7"/>
      <c r="AY205" s="8"/>
      <c r="AZ205" s="3"/>
      <c r="BA205" s="3"/>
      <c r="BB205" s="3"/>
      <c r="BC205" s="3"/>
    </row>
    <row r="206" spans="1:55" x14ac:dyDescent="0.25">
      <c r="A206" s="2"/>
      <c r="D206" s="3"/>
      <c r="E206" s="4"/>
      <c r="F206" s="5"/>
      <c r="G206" s="5"/>
      <c r="J206" s="3"/>
      <c r="K206" s="3"/>
      <c r="L206" s="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5"/>
      <c r="Y206" s="3"/>
      <c r="Z206" s="3"/>
      <c r="AA206" s="3"/>
      <c r="AB206" s="5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7"/>
      <c r="AV206" s="7"/>
      <c r="AW206" s="7"/>
      <c r="AX206" s="7"/>
      <c r="AY206" s="8"/>
      <c r="AZ206" s="3"/>
      <c r="BA206" s="3"/>
      <c r="BB206" s="3"/>
      <c r="BC206" s="3"/>
    </row>
    <row r="207" spans="1:55" x14ac:dyDescent="0.25">
      <c r="A207" s="2"/>
      <c r="D207" s="3"/>
      <c r="E207" s="4"/>
      <c r="F207" s="5"/>
      <c r="G207" s="5"/>
      <c r="J207" s="3"/>
      <c r="K207" s="3"/>
      <c r="L207" s="6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5"/>
      <c r="Y207" s="3"/>
      <c r="Z207" s="3"/>
      <c r="AA207" s="3"/>
      <c r="AB207" s="5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7"/>
      <c r="AV207" s="7"/>
      <c r="AW207" s="7"/>
      <c r="AX207" s="7"/>
      <c r="AY207" s="8"/>
      <c r="AZ207" s="3"/>
      <c r="BA207" s="3"/>
      <c r="BB207" s="3"/>
      <c r="BC207" s="3"/>
    </row>
    <row r="208" spans="1:55" x14ac:dyDescent="0.25">
      <c r="A208" s="2"/>
      <c r="D208" s="3"/>
      <c r="E208" s="4"/>
      <c r="F208" s="5"/>
      <c r="G208" s="5"/>
      <c r="J208" s="3"/>
      <c r="K208" s="3"/>
      <c r="L208" s="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5"/>
      <c r="Y208" s="3"/>
      <c r="Z208" s="3"/>
      <c r="AA208" s="3"/>
      <c r="AB208" s="5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7"/>
      <c r="AV208" s="7"/>
      <c r="AW208" s="7"/>
      <c r="AX208" s="7"/>
      <c r="AY208" s="8"/>
      <c r="AZ208" s="3"/>
      <c r="BA208" s="3"/>
      <c r="BB208" s="3"/>
      <c r="BC208" s="3"/>
    </row>
    <row r="209" spans="1:55" x14ac:dyDescent="0.25">
      <c r="A209" s="2"/>
      <c r="D209" s="3"/>
      <c r="E209" s="4"/>
      <c r="F209" s="5"/>
      <c r="G209" s="5"/>
      <c r="J209" s="3"/>
      <c r="K209" s="3"/>
      <c r="L209" s="6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5"/>
      <c r="Y209" s="3"/>
      <c r="Z209" s="3"/>
      <c r="AA209" s="3"/>
      <c r="AB209" s="5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7"/>
      <c r="AV209" s="7"/>
      <c r="AW209" s="7"/>
      <c r="AX209" s="7"/>
      <c r="AY209" s="8"/>
      <c r="AZ209" s="3"/>
      <c r="BA209" s="3"/>
      <c r="BB209" s="3"/>
      <c r="BC209" s="3"/>
    </row>
    <row r="210" spans="1:55" x14ac:dyDescent="0.25">
      <c r="A210" s="2"/>
      <c r="D210" s="3"/>
      <c r="E210" s="4"/>
      <c r="F210" s="5"/>
      <c r="G210" s="5"/>
      <c r="J210" s="3"/>
      <c r="K210" s="3"/>
      <c r="L210" s="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5"/>
      <c r="Y210" s="3"/>
      <c r="Z210" s="3"/>
      <c r="AA210" s="3"/>
      <c r="AB210" s="5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7"/>
      <c r="AV210" s="7"/>
      <c r="AW210" s="7"/>
      <c r="AX210" s="7"/>
      <c r="AY210" s="8"/>
      <c r="AZ210" s="3"/>
      <c r="BA210" s="3"/>
      <c r="BB210" s="3"/>
      <c r="BC210" s="3"/>
    </row>
    <row r="211" spans="1:55" x14ac:dyDescent="0.25">
      <c r="A211" s="2"/>
      <c r="D211" s="3"/>
      <c r="E211" s="4"/>
      <c r="F211" s="5"/>
      <c r="G211" s="5"/>
      <c r="J211" s="3"/>
      <c r="K211" s="3"/>
      <c r="L211" s="6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5"/>
      <c r="Y211" s="3"/>
      <c r="Z211" s="3"/>
      <c r="AA211" s="3"/>
      <c r="AB211" s="5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7"/>
      <c r="AV211" s="7"/>
      <c r="AW211" s="7"/>
      <c r="AX211" s="7"/>
      <c r="AY211" s="8"/>
      <c r="AZ211" s="3"/>
      <c r="BA211" s="3"/>
      <c r="BB211" s="3"/>
      <c r="BC211" s="3"/>
    </row>
    <row r="212" spans="1:55" x14ac:dyDescent="0.25">
      <c r="A212" s="2"/>
      <c r="D212" s="3"/>
      <c r="E212" s="4"/>
      <c r="F212" s="5"/>
      <c r="G212" s="5"/>
      <c r="J212" s="3"/>
      <c r="K212" s="3"/>
      <c r="L212" s="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5"/>
      <c r="Y212" s="3"/>
      <c r="Z212" s="3"/>
      <c r="AA212" s="3"/>
      <c r="AB212" s="5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7"/>
      <c r="AV212" s="7"/>
      <c r="AW212" s="7"/>
      <c r="AX212" s="7"/>
      <c r="AY212" s="8"/>
      <c r="AZ212" s="3"/>
      <c r="BA212" s="3"/>
      <c r="BB212" s="3"/>
      <c r="BC212" s="3"/>
    </row>
    <row r="213" spans="1:55" x14ac:dyDescent="0.25">
      <c r="A213" s="2"/>
      <c r="D213" s="3"/>
      <c r="E213" s="4"/>
      <c r="F213" s="5"/>
      <c r="G213" s="5"/>
      <c r="J213" s="3"/>
      <c r="K213" s="3"/>
      <c r="L213" s="6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5"/>
      <c r="Y213" s="3"/>
      <c r="Z213" s="3"/>
      <c r="AA213" s="3"/>
      <c r="AB213" s="5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7"/>
      <c r="AV213" s="7"/>
      <c r="AW213" s="7"/>
      <c r="AX213" s="7"/>
      <c r="AY213" s="8"/>
      <c r="AZ213" s="3"/>
      <c r="BA213" s="3"/>
      <c r="BB213" s="3"/>
      <c r="BC213" s="3"/>
    </row>
    <row r="214" spans="1:55" x14ac:dyDescent="0.25">
      <c r="A214" s="2"/>
      <c r="D214" s="3"/>
      <c r="E214" s="4"/>
      <c r="F214" s="5"/>
      <c r="G214" s="5"/>
      <c r="J214" s="3"/>
      <c r="K214" s="3"/>
      <c r="L214" s="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5"/>
      <c r="Y214" s="3"/>
      <c r="Z214" s="3"/>
      <c r="AA214" s="3"/>
      <c r="AB214" s="5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7"/>
      <c r="AV214" s="7"/>
      <c r="AW214" s="7"/>
      <c r="AX214" s="7"/>
      <c r="AY214" s="8"/>
      <c r="AZ214" s="3"/>
      <c r="BA214" s="3"/>
      <c r="BB214" s="3"/>
      <c r="BC214" s="3"/>
    </row>
    <row r="215" spans="1:55" x14ac:dyDescent="0.25">
      <c r="A215" s="2"/>
      <c r="D215" s="3"/>
      <c r="E215" s="4"/>
      <c r="F215" s="5"/>
      <c r="G215" s="5"/>
      <c r="J215" s="3"/>
      <c r="K215" s="3"/>
      <c r="L215" s="6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5"/>
      <c r="Y215" s="3"/>
      <c r="Z215" s="3"/>
      <c r="AA215" s="3"/>
      <c r="AB215" s="5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7"/>
      <c r="AV215" s="7"/>
      <c r="AW215" s="7"/>
      <c r="AX215" s="7"/>
      <c r="AY215" s="8"/>
      <c r="AZ215" s="3"/>
      <c r="BA215" s="3"/>
      <c r="BB215" s="3"/>
      <c r="BC215" s="3"/>
    </row>
    <row r="216" spans="1:55" x14ac:dyDescent="0.25">
      <c r="A216" s="2"/>
      <c r="D216" s="3"/>
      <c r="E216" s="4"/>
      <c r="F216" s="5"/>
      <c r="G216" s="5"/>
      <c r="J216" s="3"/>
      <c r="K216" s="3"/>
      <c r="L216" s="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5"/>
      <c r="Y216" s="3"/>
      <c r="Z216" s="3"/>
      <c r="AA216" s="3"/>
      <c r="AB216" s="5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7"/>
      <c r="AV216" s="7"/>
      <c r="AW216" s="7"/>
      <c r="AX216" s="7"/>
      <c r="AY216" s="8"/>
      <c r="AZ216" s="3"/>
      <c r="BA216" s="3"/>
      <c r="BB216" s="3"/>
      <c r="BC216" s="3"/>
    </row>
    <row r="217" spans="1:55" x14ac:dyDescent="0.25">
      <c r="A217" s="2"/>
      <c r="D217" s="3"/>
      <c r="E217" s="4"/>
      <c r="F217" s="5"/>
      <c r="G217" s="5"/>
      <c r="J217" s="3"/>
      <c r="K217" s="3"/>
      <c r="L217" s="6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5"/>
      <c r="Y217" s="3"/>
      <c r="Z217" s="3"/>
      <c r="AA217" s="3"/>
      <c r="AB217" s="5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7"/>
      <c r="AV217" s="7"/>
      <c r="AW217" s="7"/>
      <c r="AX217" s="7"/>
      <c r="AY217" s="8"/>
      <c r="AZ217" s="3"/>
      <c r="BA217" s="3"/>
      <c r="BB217" s="3"/>
      <c r="BC217" s="3"/>
    </row>
    <row r="218" spans="1:55" x14ac:dyDescent="0.25">
      <c r="A218" s="2"/>
      <c r="D218" s="3"/>
      <c r="E218" s="4"/>
      <c r="F218" s="5"/>
      <c r="G218" s="5"/>
      <c r="J218" s="3"/>
      <c r="K218" s="3"/>
      <c r="L218" s="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5"/>
      <c r="Y218" s="3"/>
      <c r="Z218" s="3"/>
      <c r="AA218" s="3"/>
      <c r="AB218" s="5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7"/>
      <c r="AV218" s="7"/>
      <c r="AW218" s="7"/>
      <c r="AX218" s="7"/>
      <c r="AY218" s="8"/>
      <c r="AZ218" s="3"/>
      <c r="BA218" s="3"/>
      <c r="BB218" s="3"/>
      <c r="BC218" s="3"/>
    </row>
    <row r="219" spans="1:55" x14ac:dyDescent="0.25">
      <c r="A219" s="2"/>
      <c r="D219" s="3"/>
      <c r="E219" s="4"/>
      <c r="F219" s="5"/>
      <c r="G219" s="5"/>
      <c r="J219" s="3"/>
      <c r="K219" s="3"/>
      <c r="L219" s="6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5"/>
      <c r="Y219" s="3"/>
      <c r="Z219" s="3"/>
      <c r="AA219" s="3"/>
      <c r="AB219" s="5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7"/>
      <c r="AV219" s="7"/>
      <c r="AW219" s="7"/>
      <c r="AX219" s="7"/>
      <c r="AY219" s="8"/>
      <c r="AZ219" s="3"/>
      <c r="BA219" s="3"/>
      <c r="BB219" s="3"/>
      <c r="BC219" s="3"/>
    </row>
    <row r="220" spans="1:55" x14ac:dyDescent="0.25">
      <c r="A220" s="2"/>
      <c r="D220" s="3"/>
      <c r="E220" s="4"/>
      <c r="F220" s="5"/>
      <c r="G220" s="5"/>
      <c r="J220" s="3"/>
      <c r="K220" s="3"/>
      <c r="L220" s="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5"/>
      <c r="Y220" s="3"/>
      <c r="Z220" s="3"/>
      <c r="AA220" s="3"/>
      <c r="AB220" s="5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7"/>
      <c r="AV220" s="7"/>
      <c r="AW220" s="7"/>
      <c r="AX220" s="7"/>
      <c r="AY220" s="8"/>
      <c r="AZ220" s="3"/>
      <c r="BA220" s="3"/>
      <c r="BB220" s="3"/>
      <c r="BC220" s="3"/>
    </row>
    <row r="221" spans="1:55" x14ac:dyDescent="0.25">
      <c r="A221" s="2"/>
      <c r="D221" s="3"/>
      <c r="E221" s="4"/>
      <c r="F221" s="5"/>
      <c r="G221" s="5"/>
      <c r="J221" s="3"/>
      <c r="K221" s="3"/>
      <c r="L221" s="6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5"/>
      <c r="Y221" s="3"/>
      <c r="Z221" s="3"/>
      <c r="AA221" s="3"/>
      <c r="AB221" s="5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7"/>
      <c r="AV221" s="7"/>
      <c r="AW221" s="7"/>
      <c r="AX221" s="7"/>
      <c r="AY221" s="8"/>
      <c r="AZ221" s="3"/>
      <c r="BA221" s="3"/>
      <c r="BB221" s="3"/>
      <c r="BC221" s="3"/>
    </row>
    <row r="222" spans="1:55" x14ac:dyDescent="0.25">
      <c r="A222" s="2"/>
      <c r="D222" s="3"/>
      <c r="E222" s="4"/>
      <c r="F222" s="5"/>
      <c r="G222" s="5"/>
      <c r="J222" s="3"/>
      <c r="K222" s="3"/>
      <c r="L222" s="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5"/>
      <c r="Y222" s="3"/>
      <c r="Z222" s="3"/>
      <c r="AA222" s="3"/>
      <c r="AB222" s="5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7"/>
      <c r="AV222" s="7"/>
      <c r="AW222" s="7"/>
      <c r="AX222" s="7"/>
      <c r="AY222" s="8"/>
      <c r="AZ222" s="3"/>
      <c r="BA222" s="3"/>
      <c r="BB222" s="3"/>
      <c r="BC222" s="3"/>
    </row>
    <row r="223" spans="1:55" x14ac:dyDescent="0.25">
      <c r="A223" s="2"/>
      <c r="D223" s="3"/>
      <c r="E223" s="4"/>
      <c r="F223" s="5"/>
      <c r="G223" s="5"/>
      <c r="J223" s="3"/>
      <c r="K223" s="3"/>
      <c r="L223" s="6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5"/>
      <c r="Y223" s="3"/>
      <c r="Z223" s="3"/>
      <c r="AA223" s="3"/>
      <c r="AB223" s="5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7"/>
      <c r="AV223" s="7"/>
      <c r="AW223" s="7"/>
      <c r="AX223" s="7"/>
      <c r="AY223" s="8"/>
      <c r="AZ223" s="3"/>
      <c r="BA223" s="3"/>
      <c r="BB223" s="3"/>
      <c r="BC223" s="3"/>
    </row>
    <row r="224" spans="1:55" x14ac:dyDescent="0.25">
      <c r="A224" s="2"/>
      <c r="D224" s="3"/>
      <c r="E224" s="4"/>
      <c r="F224" s="5"/>
      <c r="G224" s="5"/>
      <c r="J224" s="3"/>
      <c r="K224" s="3"/>
      <c r="L224" s="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5"/>
      <c r="Y224" s="3"/>
      <c r="Z224" s="3"/>
      <c r="AA224" s="3"/>
      <c r="AB224" s="5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7"/>
      <c r="AV224" s="7"/>
      <c r="AW224" s="7"/>
      <c r="AX224" s="7"/>
      <c r="AY224" s="8"/>
      <c r="AZ224" s="3"/>
      <c r="BA224" s="3"/>
      <c r="BB224" s="3"/>
      <c r="BC224" s="3"/>
    </row>
    <row r="225" spans="1:55" x14ac:dyDescent="0.25">
      <c r="A225" s="2"/>
      <c r="D225" s="3"/>
      <c r="E225" s="4"/>
      <c r="F225" s="5"/>
      <c r="G225" s="5"/>
      <c r="J225" s="3"/>
      <c r="K225" s="3"/>
      <c r="L225" s="6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5"/>
      <c r="Y225" s="3"/>
      <c r="Z225" s="3"/>
      <c r="AA225" s="3"/>
      <c r="AB225" s="5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7"/>
      <c r="AV225" s="7"/>
      <c r="AW225" s="7"/>
      <c r="AX225" s="7"/>
      <c r="AY225" s="8"/>
      <c r="AZ225" s="3"/>
      <c r="BA225" s="3"/>
      <c r="BB225" s="3"/>
      <c r="BC225" s="3"/>
    </row>
    <row r="226" spans="1:55" x14ac:dyDescent="0.25">
      <c r="A226" s="2"/>
      <c r="D226" s="3"/>
      <c r="E226" s="4"/>
      <c r="F226" s="5"/>
      <c r="G226" s="5"/>
      <c r="J226" s="3"/>
      <c r="K226" s="3"/>
      <c r="L226" s="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5"/>
      <c r="Y226" s="3"/>
      <c r="Z226" s="3"/>
      <c r="AA226" s="3"/>
      <c r="AB226" s="5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7"/>
      <c r="AV226" s="7"/>
      <c r="AW226" s="7"/>
      <c r="AX226" s="7"/>
      <c r="AY226" s="8"/>
      <c r="AZ226" s="3"/>
      <c r="BA226" s="3"/>
      <c r="BB226" s="3"/>
      <c r="BC226" s="3"/>
    </row>
    <row r="227" spans="1:55" x14ac:dyDescent="0.25">
      <c r="A227" s="2"/>
      <c r="D227" s="3"/>
      <c r="E227" s="4"/>
      <c r="F227" s="5"/>
      <c r="G227" s="5"/>
      <c r="J227" s="3"/>
      <c r="K227" s="3"/>
      <c r="L227" s="6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5"/>
      <c r="Y227" s="3"/>
      <c r="Z227" s="3"/>
      <c r="AA227" s="3"/>
      <c r="AB227" s="5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7"/>
      <c r="AV227" s="7"/>
      <c r="AW227" s="7"/>
      <c r="AX227" s="7"/>
      <c r="AY227" s="8"/>
      <c r="AZ227" s="3"/>
      <c r="BA227" s="3"/>
      <c r="BB227" s="3"/>
      <c r="BC227" s="3"/>
    </row>
    <row r="228" spans="1:55" x14ac:dyDescent="0.25">
      <c r="A228" s="2"/>
      <c r="D228" s="3"/>
      <c r="E228" s="4"/>
      <c r="F228" s="5"/>
      <c r="G228" s="5"/>
      <c r="J228" s="3"/>
      <c r="K228" s="3"/>
      <c r="L228" s="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5"/>
      <c r="Y228" s="3"/>
      <c r="Z228" s="3"/>
      <c r="AA228" s="3"/>
      <c r="AB228" s="5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7"/>
      <c r="AV228" s="7"/>
      <c r="AW228" s="7"/>
      <c r="AX228" s="7"/>
      <c r="AY228" s="8"/>
      <c r="AZ228" s="3"/>
      <c r="BA228" s="3"/>
      <c r="BB228" s="3"/>
      <c r="BC228" s="3"/>
    </row>
    <row r="229" spans="1:55" x14ac:dyDescent="0.25">
      <c r="A229" s="2"/>
      <c r="D229" s="3"/>
      <c r="E229" s="4"/>
      <c r="F229" s="5"/>
      <c r="G229" s="5"/>
      <c r="J229" s="3"/>
      <c r="K229" s="3"/>
      <c r="L229" s="6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5"/>
      <c r="Y229" s="3"/>
      <c r="Z229" s="3"/>
      <c r="AA229" s="3"/>
      <c r="AB229" s="5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7"/>
      <c r="AV229" s="7"/>
      <c r="AW229" s="7"/>
      <c r="AX229" s="7"/>
      <c r="AY229" s="8"/>
      <c r="AZ229" s="3"/>
      <c r="BA229" s="3"/>
      <c r="BB229" s="3"/>
      <c r="BC229" s="3"/>
    </row>
    <row r="230" spans="1:55" x14ac:dyDescent="0.25">
      <c r="A230" s="2"/>
      <c r="D230" s="3"/>
      <c r="E230" s="4"/>
      <c r="F230" s="5"/>
      <c r="G230" s="5"/>
      <c r="J230" s="3"/>
      <c r="K230" s="3"/>
      <c r="L230" s="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5"/>
      <c r="Y230" s="3"/>
      <c r="Z230" s="3"/>
      <c r="AA230" s="3"/>
      <c r="AB230" s="5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7"/>
      <c r="AV230" s="7"/>
      <c r="AW230" s="7"/>
      <c r="AX230" s="7"/>
      <c r="AY230" s="8"/>
      <c r="AZ230" s="3"/>
      <c r="BA230" s="3"/>
      <c r="BB230" s="3"/>
      <c r="BC230" s="3"/>
    </row>
    <row r="231" spans="1:55" x14ac:dyDescent="0.25">
      <c r="A231" s="2"/>
      <c r="D231" s="3"/>
      <c r="E231" s="4"/>
      <c r="F231" s="5"/>
      <c r="G231" s="5"/>
      <c r="J231" s="3"/>
      <c r="K231" s="3"/>
      <c r="L231" s="6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5"/>
      <c r="Y231" s="3"/>
      <c r="Z231" s="3"/>
      <c r="AA231" s="3"/>
      <c r="AB231" s="5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7"/>
      <c r="AV231" s="7"/>
      <c r="AW231" s="7"/>
      <c r="AX231" s="7"/>
      <c r="AY231" s="8"/>
      <c r="AZ231" s="3"/>
      <c r="BA231" s="3"/>
      <c r="BB231" s="3"/>
      <c r="BC231" s="3"/>
    </row>
    <row r="232" spans="1:55" x14ac:dyDescent="0.25">
      <c r="A232" s="2"/>
      <c r="D232" s="3"/>
      <c r="E232" s="4"/>
      <c r="F232" s="5"/>
      <c r="G232" s="5"/>
      <c r="J232" s="3"/>
      <c r="K232" s="3"/>
      <c r="L232" s="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5"/>
      <c r="Y232" s="3"/>
      <c r="Z232" s="3"/>
      <c r="AA232" s="3"/>
      <c r="AB232" s="5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7"/>
      <c r="AV232" s="7"/>
      <c r="AW232" s="7"/>
      <c r="AX232" s="7"/>
      <c r="AY232" s="8"/>
      <c r="AZ232" s="3"/>
      <c r="BA232" s="3"/>
      <c r="BB232" s="3"/>
      <c r="BC232" s="3"/>
    </row>
    <row r="233" spans="1:55" x14ac:dyDescent="0.25">
      <c r="A233" s="2"/>
      <c r="D233" s="3"/>
      <c r="E233" s="4"/>
      <c r="F233" s="5"/>
      <c r="G233" s="5"/>
      <c r="J233" s="3"/>
      <c r="K233" s="3"/>
      <c r="L233" s="6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5"/>
      <c r="Y233" s="3"/>
      <c r="Z233" s="3"/>
      <c r="AA233" s="3"/>
      <c r="AB233" s="5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7"/>
      <c r="AV233" s="7"/>
      <c r="AW233" s="7"/>
      <c r="AX233" s="7"/>
      <c r="AY233" s="8"/>
      <c r="AZ233" s="3"/>
      <c r="BA233" s="3"/>
      <c r="BB233" s="3"/>
      <c r="BC233" s="3"/>
    </row>
    <row r="234" spans="1:55" x14ac:dyDescent="0.25">
      <c r="A234" s="2"/>
      <c r="D234" s="3"/>
      <c r="E234" s="4"/>
      <c r="F234" s="5"/>
      <c r="G234" s="5"/>
      <c r="J234" s="3"/>
      <c r="K234" s="3"/>
      <c r="L234" s="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5"/>
      <c r="Y234" s="3"/>
      <c r="Z234" s="3"/>
      <c r="AA234" s="3"/>
      <c r="AB234" s="5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7"/>
      <c r="AV234" s="7"/>
      <c r="AW234" s="7"/>
      <c r="AX234" s="7"/>
      <c r="AY234" s="8"/>
      <c r="AZ234" s="3"/>
      <c r="BA234" s="3"/>
      <c r="BB234" s="3"/>
      <c r="BC234" s="3"/>
    </row>
    <row r="235" spans="1:55" x14ac:dyDescent="0.25">
      <c r="A235" s="2"/>
      <c r="D235" s="3"/>
      <c r="E235" s="4"/>
      <c r="F235" s="5"/>
      <c r="G235" s="5"/>
      <c r="J235" s="3"/>
      <c r="K235" s="3"/>
      <c r="L235" s="6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5"/>
      <c r="Y235" s="3"/>
      <c r="Z235" s="3"/>
      <c r="AA235" s="3"/>
      <c r="AB235" s="5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7"/>
      <c r="AV235" s="7"/>
      <c r="AW235" s="7"/>
      <c r="AX235" s="7"/>
      <c r="AY235" s="8"/>
      <c r="AZ235" s="3"/>
      <c r="BA235" s="3"/>
      <c r="BB235" s="3"/>
      <c r="BC235" s="3"/>
    </row>
    <row r="236" spans="1:55" x14ac:dyDescent="0.25">
      <c r="A236" s="2"/>
      <c r="D236" s="3"/>
      <c r="E236" s="4"/>
      <c r="F236" s="5"/>
      <c r="G236" s="5"/>
      <c r="J236" s="3"/>
      <c r="K236" s="3"/>
      <c r="L236" s="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5"/>
      <c r="Y236" s="3"/>
      <c r="Z236" s="3"/>
      <c r="AA236" s="3"/>
      <c r="AB236" s="5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7"/>
      <c r="AV236" s="7"/>
      <c r="AW236" s="7"/>
      <c r="AX236" s="7"/>
      <c r="AY236" s="8"/>
      <c r="AZ236" s="3"/>
      <c r="BA236" s="3"/>
      <c r="BB236" s="3"/>
      <c r="BC236" s="3"/>
    </row>
    <row r="237" spans="1:55" x14ac:dyDescent="0.25">
      <c r="A237" s="2"/>
      <c r="D237" s="3"/>
      <c r="E237" s="4"/>
      <c r="F237" s="5"/>
      <c r="G237" s="5"/>
      <c r="J237" s="3"/>
      <c r="K237" s="3"/>
      <c r="L237" s="6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5"/>
      <c r="Y237" s="3"/>
      <c r="Z237" s="3"/>
      <c r="AA237" s="3"/>
      <c r="AB237" s="5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7"/>
      <c r="AV237" s="7"/>
      <c r="AW237" s="7"/>
      <c r="AX237" s="7"/>
      <c r="AY237" s="8"/>
      <c r="AZ237" s="3"/>
      <c r="BA237" s="3"/>
      <c r="BB237" s="3"/>
      <c r="BC237" s="3"/>
    </row>
    <row r="238" spans="1:55" x14ac:dyDescent="0.25">
      <c r="A238" s="2"/>
      <c r="D238" s="3"/>
      <c r="E238" s="4"/>
      <c r="F238" s="5"/>
      <c r="G238" s="5"/>
      <c r="J238" s="3"/>
      <c r="K238" s="3"/>
      <c r="L238" s="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5"/>
      <c r="Y238" s="3"/>
      <c r="Z238" s="3"/>
      <c r="AA238" s="3"/>
      <c r="AB238" s="5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7"/>
      <c r="AV238" s="7"/>
      <c r="AW238" s="7"/>
      <c r="AX238" s="7"/>
      <c r="AY238" s="8"/>
      <c r="AZ238" s="3"/>
      <c r="BA238" s="3"/>
      <c r="BB238" s="3"/>
      <c r="BC238" s="3"/>
    </row>
    <row r="239" spans="1:55" x14ac:dyDescent="0.25">
      <c r="A239" s="2"/>
      <c r="D239" s="3"/>
      <c r="E239" s="4"/>
      <c r="F239" s="5"/>
      <c r="G239" s="5"/>
      <c r="J239" s="3"/>
      <c r="K239" s="3"/>
      <c r="L239" s="6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5"/>
      <c r="Y239" s="3"/>
      <c r="Z239" s="3"/>
      <c r="AA239" s="3"/>
      <c r="AB239" s="5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7"/>
      <c r="AV239" s="7"/>
      <c r="AW239" s="7"/>
      <c r="AX239" s="7"/>
      <c r="AY239" s="8"/>
      <c r="AZ239" s="3"/>
      <c r="BA239" s="3"/>
      <c r="BB239" s="3"/>
      <c r="BC239" s="3"/>
    </row>
    <row r="240" spans="1:55" x14ac:dyDescent="0.25">
      <c r="A240" s="2"/>
      <c r="D240" s="3"/>
      <c r="E240" s="4"/>
      <c r="F240" s="5"/>
      <c r="G240" s="5"/>
      <c r="J240" s="3"/>
      <c r="K240" s="3"/>
      <c r="L240" s="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5"/>
      <c r="Y240" s="3"/>
      <c r="Z240" s="3"/>
      <c r="AA240" s="3"/>
      <c r="AB240" s="5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7"/>
      <c r="AV240" s="7"/>
      <c r="AW240" s="7"/>
      <c r="AX240" s="7"/>
      <c r="AY240" s="8"/>
      <c r="AZ240" s="3"/>
      <c r="BA240" s="3"/>
      <c r="BB240" s="3"/>
      <c r="BC240" s="3"/>
    </row>
    <row r="241" spans="1:55" x14ac:dyDescent="0.25">
      <c r="A241" s="2"/>
      <c r="D241" s="3"/>
      <c r="E241" s="4"/>
      <c r="F241" s="5"/>
      <c r="G241" s="5"/>
      <c r="J241" s="3"/>
      <c r="K241" s="3"/>
      <c r="L241" s="6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5"/>
      <c r="Y241" s="3"/>
      <c r="Z241" s="3"/>
      <c r="AA241" s="3"/>
      <c r="AB241" s="5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7"/>
      <c r="AV241" s="7"/>
      <c r="AW241" s="7"/>
      <c r="AX241" s="7"/>
      <c r="AY241" s="8"/>
      <c r="AZ241" s="3"/>
      <c r="BA241" s="3"/>
      <c r="BB241" s="3"/>
      <c r="BC241" s="3"/>
    </row>
    <row r="242" spans="1:55" x14ac:dyDescent="0.25">
      <c r="A242" s="2"/>
      <c r="D242" s="3"/>
      <c r="E242" s="4"/>
      <c r="F242" s="5"/>
      <c r="G242" s="5"/>
      <c r="J242" s="3"/>
      <c r="K242" s="3"/>
      <c r="L242" s="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5"/>
      <c r="Y242" s="3"/>
      <c r="Z242" s="3"/>
      <c r="AA242" s="3"/>
      <c r="AB242" s="5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7"/>
      <c r="AV242" s="7"/>
      <c r="AW242" s="7"/>
      <c r="AX242" s="7"/>
      <c r="AY242" s="8"/>
      <c r="AZ242" s="3"/>
      <c r="BA242" s="3"/>
      <c r="BB242" s="3"/>
      <c r="BC242" s="3"/>
    </row>
    <row r="243" spans="1:55" x14ac:dyDescent="0.25">
      <c r="A243" s="2"/>
      <c r="D243" s="3"/>
      <c r="E243" s="4"/>
      <c r="F243" s="5"/>
      <c r="G243" s="5"/>
      <c r="J243" s="3"/>
      <c r="K243" s="3"/>
      <c r="L243" s="6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5"/>
      <c r="Y243" s="3"/>
      <c r="Z243" s="3"/>
      <c r="AA243" s="3"/>
      <c r="AB243" s="5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7"/>
      <c r="AV243" s="7"/>
      <c r="AW243" s="7"/>
      <c r="AX243" s="7"/>
      <c r="AY243" s="8"/>
      <c r="AZ243" s="3"/>
      <c r="BA243" s="3"/>
      <c r="BB243" s="3"/>
      <c r="BC243" s="3"/>
    </row>
    <row r="244" spans="1:55" x14ac:dyDescent="0.25">
      <c r="A244" s="2"/>
      <c r="D244" s="3"/>
      <c r="E244" s="4"/>
      <c r="F244" s="5"/>
      <c r="G244" s="5"/>
      <c r="J244" s="3"/>
      <c r="K244" s="3"/>
      <c r="L244" s="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5"/>
      <c r="Y244" s="3"/>
      <c r="Z244" s="3"/>
      <c r="AA244" s="3"/>
      <c r="AB244" s="5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7"/>
      <c r="AV244" s="7"/>
      <c r="AW244" s="7"/>
      <c r="AX244" s="7"/>
      <c r="AY244" s="8"/>
      <c r="AZ244" s="3"/>
      <c r="BA244" s="3"/>
      <c r="BB244" s="3"/>
      <c r="BC244" s="3"/>
    </row>
    <row r="245" spans="1:55" x14ac:dyDescent="0.25">
      <c r="A245" s="2"/>
      <c r="D245" s="3"/>
      <c r="E245" s="4"/>
      <c r="F245" s="5"/>
      <c r="G245" s="5"/>
      <c r="J245" s="3"/>
      <c r="K245" s="3"/>
      <c r="L245" s="6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5"/>
      <c r="Y245" s="3"/>
      <c r="Z245" s="3"/>
      <c r="AA245" s="3"/>
      <c r="AB245" s="5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7"/>
      <c r="AV245" s="7"/>
      <c r="AW245" s="7"/>
      <c r="AX245" s="7"/>
      <c r="AY245" s="8"/>
      <c r="AZ245" s="3"/>
      <c r="BA245" s="3"/>
      <c r="BB245" s="3"/>
      <c r="BC245" s="3"/>
    </row>
    <row r="246" spans="1:55" x14ac:dyDescent="0.25">
      <c r="A246" s="2"/>
      <c r="D246" s="3"/>
      <c r="E246" s="4"/>
      <c r="F246" s="5"/>
      <c r="G246" s="5"/>
      <c r="J246" s="3"/>
      <c r="K246" s="3"/>
      <c r="L246" s="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5"/>
      <c r="Y246" s="3"/>
      <c r="Z246" s="3"/>
      <c r="AA246" s="3"/>
      <c r="AB246" s="5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7"/>
      <c r="AV246" s="7"/>
      <c r="AW246" s="7"/>
      <c r="AX246" s="7"/>
      <c r="AY246" s="8"/>
      <c r="AZ246" s="3"/>
      <c r="BA246" s="3"/>
      <c r="BB246" s="3"/>
      <c r="BC246" s="3"/>
    </row>
    <row r="247" spans="1:55" x14ac:dyDescent="0.25">
      <c r="A247" s="2"/>
      <c r="D247" s="3"/>
      <c r="E247" s="4"/>
      <c r="F247" s="5"/>
      <c r="G247" s="5"/>
      <c r="J247" s="3"/>
      <c r="K247" s="3"/>
      <c r="L247" s="6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5"/>
      <c r="Y247" s="3"/>
      <c r="Z247" s="3"/>
      <c r="AA247" s="3"/>
      <c r="AB247" s="5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7"/>
      <c r="AV247" s="7"/>
      <c r="AW247" s="7"/>
      <c r="AX247" s="7"/>
      <c r="AY247" s="8"/>
      <c r="AZ247" s="3"/>
      <c r="BA247" s="3"/>
      <c r="BB247" s="3"/>
      <c r="BC247" s="3"/>
    </row>
    <row r="248" spans="1:55" x14ac:dyDescent="0.25">
      <c r="A248" s="2"/>
      <c r="D248" s="3"/>
      <c r="E248" s="4"/>
      <c r="F248" s="5"/>
      <c r="G248" s="5"/>
      <c r="J248" s="3"/>
      <c r="K248" s="3"/>
      <c r="L248" s="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5"/>
      <c r="Y248" s="3"/>
      <c r="Z248" s="3"/>
      <c r="AA248" s="3"/>
      <c r="AB248" s="5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7"/>
      <c r="AV248" s="7"/>
      <c r="AW248" s="7"/>
      <c r="AX248" s="7"/>
      <c r="AY248" s="8"/>
      <c r="AZ248" s="3"/>
      <c r="BA248" s="3"/>
      <c r="BB248" s="3"/>
      <c r="BC248" s="3"/>
    </row>
    <row r="249" spans="1:55" x14ac:dyDescent="0.25">
      <c r="A249" s="2"/>
      <c r="D249" s="3"/>
      <c r="E249" s="4"/>
      <c r="F249" s="5"/>
      <c r="G249" s="5"/>
      <c r="J249" s="3"/>
      <c r="K249" s="3"/>
      <c r="L249" s="6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5"/>
      <c r="Y249" s="3"/>
      <c r="Z249" s="3"/>
      <c r="AA249" s="3"/>
      <c r="AB249" s="5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7"/>
      <c r="AV249" s="7"/>
      <c r="AW249" s="7"/>
      <c r="AX249" s="7"/>
      <c r="AY249" s="8"/>
      <c r="AZ249" s="3"/>
      <c r="BA249" s="3"/>
      <c r="BB249" s="3"/>
      <c r="BC249" s="3"/>
    </row>
    <row r="250" spans="1:55" x14ac:dyDescent="0.25">
      <c r="A250" s="2"/>
      <c r="D250" s="3"/>
      <c r="E250" s="4"/>
      <c r="F250" s="5"/>
      <c r="G250" s="5"/>
      <c r="J250" s="3"/>
      <c r="K250" s="3"/>
      <c r="L250" s="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5"/>
      <c r="Y250" s="3"/>
      <c r="Z250" s="3"/>
      <c r="AA250" s="3"/>
      <c r="AB250" s="5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7"/>
      <c r="AV250" s="7"/>
      <c r="AW250" s="7"/>
      <c r="AX250" s="7"/>
      <c r="AY250" s="8"/>
      <c r="AZ250" s="3"/>
      <c r="BA250" s="3"/>
      <c r="BB250" s="3"/>
      <c r="BC250" s="3"/>
    </row>
    <row r="251" spans="1:55" x14ac:dyDescent="0.25">
      <c r="A251" s="2"/>
      <c r="D251" s="3"/>
      <c r="E251" s="4"/>
      <c r="F251" s="5"/>
      <c r="G251" s="5"/>
      <c r="J251" s="3"/>
      <c r="K251" s="3"/>
      <c r="L251" s="6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5"/>
      <c r="Y251" s="3"/>
      <c r="Z251" s="3"/>
      <c r="AA251" s="3"/>
      <c r="AB251" s="5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7"/>
      <c r="AV251" s="7"/>
      <c r="AW251" s="7"/>
      <c r="AX251" s="7"/>
      <c r="AY251" s="8"/>
      <c r="AZ251" s="3"/>
      <c r="BA251" s="3"/>
      <c r="BB251" s="3"/>
      <c r="BC251" s="3"/>
    </row>
    <row r="252" spans="1:55" x14ac:dyDescent="0.25">
      <c r="A252" s="2"/>
      <c r="D252" s="3"/>
      <c r="E252" s="4"/>
      <c r="F252" s="5"/>
      <c r="G252" s="5"/>
      <c r="J252" s="3"/>
      <c r="K252" s="3"/>
      <c r="L252" s="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5"/>
      <c r="Y252" s="3"/>
      <c r="Z252" s="3"/>
      <c r="AA252" s="3"/>
      <c r="AB252" s="5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7"/>
      <c r="AV252" s="7"/>
      <c r="AW252" s="7"/>
      <c r="AX252" s="7"/>
      <c r="AY252" s="8"/>
      <c r="AZ252" s="3"/>
      <c r="BA252" s="3"/>
      <c r="BB252" s="3"/>
      <c r="BC252" s="3"/>
    </row>
    <row r="253" spans="1:55" x14ac:dyDescent="0.25">
      <c r="A253" s="2"/>
      <c r="D253" s="3"/>
      <c r="E253" s="4"/>
      <c r="F253" s="5"/>
      <c r="G253" s="5"/>
      <c r="J253" s="3"/>
      <c r="K253" s="3"/>
      <c r="L253" s="6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5"/>
      <c r="Y253" s="3"/>
      <c r="Z253" s="3"/>
      <c r="AA253" s="3"/>
      <c r="AB253" s="5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7"/>
      <c r="AV253" s="7"/>
      <c r="AW253" s="7"/>
      <c r="AX253" s="7"/>
      <c r="AY253" s="8"/>
      <c r="AZ253" s="3"/>
      <c r="BA253" s="3"/>
      <c r="BB253" s="3"/>
      <c r="BC253" s="3"/>
    </row>
    <row r="254" spans="1:55" x14ac:dyDescent="0.25">
      <c r="A254" s="2"/>
      <c r="D254" s="3"/>
      <c r="E254" s="4"/>
      <c r="F254" s="5"/>
      <c r="G254" s="5"/>
      <c r="J254" s="3"/>
      <c r="K254" s="3"/>
      <c r="L254" s="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5"/>
      <c r="Y254" s="3"/>
      <c r="Z254" s="3"/>
      <c r="AA254" s="3"/>
      <c r="AB254" s="5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7"/>
      <c r="AV254" s="7"/>
      <c r="AW254" s="7"/>
      <c r="AX254" s="7"/>
      <c r="AY254" s="8"/>
      <c r="AZ254" s="3"/>
      <c r="BA254" s="3"/>
      <c r="BB254" s="3"/>
      <c r="BC254" s="3"/>
    </row>
    <row r="255" spans="1:55" x14ac:dyDescent="0.25">
      <c r="A255" s="2"/>
      <c r="D255" s="3"/>
      <c r="E255" s="4"/>
      <c r="F255" s="5"/>
      <c r="G255" s="5"/>
      <c r="J255" s="3"/>
      <c r="K255" s="3"/>
      <c r="L255" s="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5"/>
      <c r="Y255" s="3"/>
      <c r="Z255" s="3"/>
      <c r="AA255" s="3"/>
      <c r="AB255" s="5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7"/>
      <c r="AV255" s="7"/>
      <c r="AW255" s="7"/>
      <c r="AX255" s="7"/>
      <c r="AY255" s="8"/>
      <c r="AZ255" s="3"/>
      <c r="BA255" s="3"/>
      <c r="BB255" s="3"/>
      <c r="BC255" s="3"/>
    </row>
    <row r="256" spans="1:55" x14ac:dyDescent="0.25">
      <c r="A256" s="2"/>
      <c r="D256" s="3"/>
      <c r="E256" s="4"/>
      <c r="F256" s="5"/>
      <c r="G256" s="5"/>
      <c r="J256" s="3"/>
      <c r="K256" s="3"/>
      <c r="L256" s="6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5"/>
      <c r="Y256" s="3"/>
      <c r="Z256" s="3"/>
      <c r="AA256" s="3"/>
      <c r="AB256" s="5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7"/>
      <c r="AV256" s="7"/>
      <c r="AW256" s="7"/>
      <c r="AX256" s="7"/>
      <c r="AY256" s="8"/>
      <c r="AZ256" s="3"/>
      <c r="BA256" s="3"/>
      <c r="BB256" s="3"/>
      <c r="BC256" s="3"/>
    </row>
    <row r="257" spans="1:55" x14ac:dyDescent="0.25">
      <c r="A257" s="2"/>
      <c r="D257" s="3"/>
      <c r="E257" s="4"/>
      <c r="F257" s="5"/>
      <c r="G257" s="5"/>
      <c r="J257" s="3"/>
      <c r="K257" s="3"/>
      <c r="L257" s="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5"/>
      <c r="Y257" s="3"/>
      <c r="Z257" s="3"/>
      <c r="AA257" s="3"/>
      <c r="AB257" s="5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7"/>
      <c r="AV257" s="7"/>
      <c r="AW257" s="7"/>
      <c r="AX257" s="7"/>
      <c r="AY257" s="8"/>
      <c r="AZ257" s="3"/>
      <c r="BA257" s="3"/>
      <c r="BB257" s="3"/>
      <c r="BC257" s="3"/>
    </row>
    <row r="258" spans="1:55" x14ac:dyDescent="0.25">
      <c r="A258" s="2"/>
      <c r="D258" s="3"/>
      <c r="E258" s="4"/>
      <c r="F258" s="5"/>
      <c r="G258" s="5"/>
      <c r="J258" s="3"/>
      <c r="K258" s="3"/>
      <c r="L258" s="6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5"/>
      <c r="Y258" s="3"/>
      <c r="Z258" s="3"/>
      <c r="AA258" s="3"/>
      <c r="AB258" s="5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7"/>
      <c r="AV258" s="7"/>
      <c r="AW258" s="7"/>
      <c r="AX258" s="7"/>
      <c r="AY258" s="8"/>
      <c r="AZ258" s="3"/>
      <c r="BA258" s="3"/>
      <c r="BB258" s="3"/>
      <c r="BC258" s="3"/>
    </row>
    <row r="259" spans="1:55" x14ac:dyDescent="0.25">
      <c r="A259" s="2"/>
      <c r="D259" s="3"/>
      <c r="E259" s="4"/>
      <c r="F259" s="5"/>
      <c r="G259" s="5"/>
      <c r="J259" s="3"/>
      <c r="K259" s="3"/>
      <c r="L259" s="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5"/>
      <c r="Y259" s="3"/>
      <c r="Z259" s="3"/>
      <c r="AA259" s="3"/>
      <c r="AB259" s="5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7"/>
      <c r="AV259" s="7"/>
      <c r="AW259" s="7"/>
      <c r="AX259" s="7"/>
      <c r="AY259" s="8"/>
      <c r="AZ259" s="3"/>
      <c r="BA259" s="3"/>
      <c r="BB259" s="3"/>
      <c r="BC259" s="3"/>
    </row>
    <row r="260" spans="1:55" x14ac:dyDescent="0.25">
      <c r="A260" s="2"/>
      <c r="D260" s="3"/>
      <c r="E260" s="4"/>
      <c r="F260" s="5"/>
      <c r="G260" s="5"/>
      <c r="J260" s="3"/>
      <c r="K260" s="3"/>
      <c r="L260" s="6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5"/>
      <c r="Y260" s="3"/>
      <c r="Z260" s="3"/>
      <c r="AA260" s="3"/>
      <c r="AB260" s="5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7"/>
      <c r="AV260" s="7"/>
      <c r="AW260" s="7"/>
      <c r="AX260" s="7"/>
      <c r="AY260" s="8"/>
      <c r="AZ260" s="3"/>
      <c r="BA260" s="3"/>
      <c r="BB260" s="3"/>
      <c r="BC260" s="3"/>
    </row>
    <row r="261" spans="1:55" x14ac:dyDescent="0.25">
      <c r="A261" s="2"/>
      <c r="D261" s="3"/>
      <c r="E261" s="4"/>
      <c r="F261" s="5"/>
      <c r="G261" s="5"/>
      <c r="J261" s="3"/>
      <c r="K261" s="3"/>
      <c r="L261" s="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5"/>
      <c r="Y261" s="3"/>
      <c r="Z261" s="3"/>
      <c r="AA261" s="3"/>
      <c r="AB261" s="5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7"/>
      <c r="AV261" s="7"/>
      <c r="AW261" s="7"/>
      <c r="AX261" s="7"/>
      <c r="AY261" s="8"/>
      <c r="AZ261" s="3"/>
      <c r="BA261" s="3"/>
      <c r="BB261" s="3"/>
      <c r="BC261" s="3"/>
    </row>
    <row r="262" spans="1:55" x14ac:dyDescent="0.25">
      <c r="A262" s="2"/>
      <c r="D262" s="3"/>
      <c r="E262" s="4"/>
      <c r="F262" s="5"/>
      <c r="G262" s="5"/>
      <c r="J262" s="3"/>
      <c r="K262" s="3"/>
      <c r="L262" s="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5"/>
      <c r="Y262" s="3"/>
      <c r="Z262" s="3"/>
      <c r="AA262" s="3"/>
      <c r="AB262" s="5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7"/>
      <c r="AV262" s="7"/>
      <c r="AW262" s="7"/>
      <c r="AX262" s="7"/>
      <c r="AY262" s="8"/>
      <c r="AZ262" s="3"/>
      <c r="BA262" s="3"/>
      <c r="BB262" s="3"/>
      <c r="BC262" s="3"/>
    </row>
    <row r="263" spans="1:55" x14ac:dyDescent="0.25">
      <c r="A263" s="2"/>
      <c r="D263" s="3"/>
      <c r="E263" s="4"/>
      <c r="F263" s="5"/>
      <c r="G263" s="5"/>
      <c r="J263" s="3"/>
      <c r="K263" s="3"/>
      <c r="L263" s="6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5"/>
      <c r="Y263" s="3"/>
      <c r="Z263" s="3"/>
      <c r="AA263" s="3"/>
      <c r="AB263" s="5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7"/>
      <c r="AV263" s="7"/>
      <c r="AW263" s="7"/>
      <c r="AX263" s="7"/>
      <c r="AY263" s="8"/>
      <c r="AZ263" s="3"/>
      <c r="BA263" s="3"/>
      <c r="BB263" s="3"/>
      <c r="BC263" s="3"/>
    </row>
    <row r="264" spans="1:55" x14ac:dyDescent="0.25">
      <c r="A264" s="2"/>
      <c r="D264" s="3"/>
      <c r="E264" s="4"/>
      <c r="F264" s="5"/>
      <c r="G264" s="5"/>
      <c r="J264" s="3"/>
      <c r="K264" s="3"/>
      <c r="L264" s="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5"/>
      <c r="Y264" s="3"/>
      <c r="Z264" s="3"/>
      <c r="AA264" s="3"/>
      <c r="AB264" s="5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7"/>
      <c r="AV264" s="7"/>
      <c r="AW264" s="7"/>
      <c r="AX264" s="7"/>
      <c r="AY264" s="8"/>
      <c r="AZ264" s="3"/>
      <c r="BA264" s="3"/>
      <c r="BB264" s="3"/>
      <c r="BC264" s="3"/>
    </row>
    <row r="265" spans="1:55" x14ac:dyDescent="0.25">
      <c r="A265" s="2"/>
      <c r="D265" s="3"/>
      <c r="E265" s="4"/>
      <c r="F265" s="5"/>
      <c r="G265" s="5"/>
      <c r="J265" s="3"/>
      <c r="K265" s="3"/>
      <c r="L265" s="6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5"/>
      <c r="Y265" s="3"/>
      <c r="Z265" s="3"/>
      <c r="AA265" s="3"/>
      <c r="AB265" s="5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7"/>
      <c r="AV265" s="7"/>
      <c r="AW265" s="7"/>
      <c r="AX265" s="7"/>
      <c r="AY265" s="8"/>
      <c r="AZ265" s="3"/>
      <c r="BA265" s="3"/>
      <c r="BB265" s="3"/>
      <c r="BC265" s="3"/>
    </row>
    <row r="266" spans="1:55" x14ac:dyDescent="0.25">
      <c r="A266" s="2"/>
      <c r="D266" s="3"/>
      <c r="E266" s="4"/>
      <c r="F266" s="5"/>
      <c r="G266" s="5"/>
      <c r="J266" s="3"/>
      <c r="K266" s="3"/>
      <c r="L266" s="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5"/>
      <c r="Y266" s="3"/>
      <c r="Z266" s="3"/>
      <c r="AA266" s="3"/>
      <c r="AB266" s="5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7"/>
      <c r="AV266" s="7"/>
      <c r="AW266" s="7"/>
      <c r="AX266" s="7"/>
      <c r="AY266" s="8"/>
      <c r="AZ266" s="3"/>
      <c r="BA266" s="3"/>
      <c r="BB266" s="3"/>
      <c r="BC266" s="3"/>
    </row>
    <row r="267" spans="1:55" x14ac:dyDescent="0.25">
      <c r="A267" s="2"/>
      <c r="D267" s="3"/>
      <c r="E267" s="4"/>
      <c r="F267" s="5"/>
      <c r="G267" s="5"/>
      <c r="J267" s="3"/>
      <c r="K267" s="3"/>
      <c r="L267" s="6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5"/>
      <c r="Y267" s="3"/>
      <c r="Z267" s="3"/>
      <c r="AA267" s="3"/>
      <c r="AB267" s="5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7"/>
      <c r="AV267" s="7"/>
      <c r="AW267" s="7"/>
      <c r="AX267" s="7"/>
      <c r="AY267" s="8"/>
      <c r="AZ267" s="3"/>
      <c r="BA267" s="3"/>
      <c r="BB267" s="3"/>
      <c r="BC267" s="3"/>
    </row>
    <row r="268" spans="1:55" x14ac:dyDescent="0.25">
      <c r="A268" s="2"/>
      <c r="D268" s="3"/>
      <c r="E268" s="4"/>
      <c r="F268" s="5"/>
      <c r="G268" s="5"/>
      <c r="J268" s="3"/>
      <c r="K268" s="3"/>
      <c r="L268" s="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5"/>
      <c r="Y268" s="3"/>
      <c r="Z268" s="3"/>
      <c r="AA268" s="3"/>
      <c r="AB268" s="5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7"/>
      <c r="AV268" s="7"/>
      <c r="AW268" s="7"/>
      <c r="AX268" s="7"/>
      <c r="AY268" s="8"/>
      <c r="AZ268" s="3"/>
      <c r="BA268" s="3"/>
      <c r="BB268" s="3"/>
      <c r="BC268" s="3"/>
    </row>
    <row r="269" spans="1:55" x14ac:dyDescent="0.25">
      <c r="A269" s="2"/>
      <c r="D269" s="3"/>
      <c r="E269" s="4"/>
      <c r="F269" s="5"/>
      <c r="G269" s="5"/>
      <c r="J269" s="3"/>
      <c r="K269" s="3"/>
      <c r="L269" s="6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5"/>
      <c r="Y269" s="3"/>
      <c r="Z269" s="3"/>
      <c r="AA269" s="3"/>
      <c r="AB269" s="5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7"/>
      <c r="AV269" s="7"/>
      <c r="AW269" s="7"/>
      <c r="AX269" s="7"/>
      <c r="AY269" s="8"/>
      <c r="AZ269" s="3"/>
      <c r="BA269" s="3"/>
      <c r="BB269" s="3"/>
      <c r="BC269" s="3"/>
    </row>
    <row r="270" spans="1:55" x14ac:dyDescent="0.25">
      <c r="A270" s="2"/>
      <c r="D270" s="3"/>
      <c r="E270" s="4"/>
      <c r="F270" s="5"/>
      <c r="G270" s="5"/>
      <c r="J270" s="3"/>
      <c r="K270" s="3"/>
      <c r="L270" s="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5"/>
      <c r="Y270" s="3"/>
      <c r="Z270" s="3"/>
      <c r="AA270" s="3"/>
      <c r="AB270" s="5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7"/>
      <c r="AV270" s="7"/>
      <c r="AW270" s="7"/>
      <c r="AX270" s="7"/>
      <c r="AY270" s="8"/>
      <c r="AZ270" s="3"/>
      <c r="BA270" s="3"/>
      <c r="BB270" s="3"/>
      <c r="BC270" s="3"/>
    </row>
    <row r="271" spans="1:55" x14ac:dyDescent="0.25">
      <c r="A271" s="2"/>
      <c r="D271" s="3"/>
      <c r="E271" s="4"/>
      <c r="F271" s="5"/>
      <c r="G271" s="5"/>
      <c r="J271" s="3"/>
      <c r="K271" s="3"/>
      <c r="L271" s="6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5"/>
      <c r="Y271" s="3"/>
      <c r="Z271" s="3"/>
      <c r="AA271" s="3"/>
      <c r="AB271" s="5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7"/>
      <c r="AV271" s="7"/>
      <c r="AW271" s="7"/>
      <c r="AX271" s="7"/>
      <c r="AY271" s="8"/>
      <c r="AZ271" s="3"/>
      <c r="BA271" s="3"/>
      <c r="BB271" s="3"/>
      <c r="BC271" s="3"/>
    </row>
    <row r="272" spans="1:55" x14ac:dyDescent="0.25">
      <c r="A272" s="2"/>
      <c r="D272" s="3"/>
      <c r="E272" s="4"/>
      <c r="F272" s="5"/>
      <c r="G272" s="5"/>
      <c r="J272" s="3"/>
      <c r="K272" s="3"/>
      <c r="L272" s="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5"/>
      <c r="Y272" s="3"/>
      <c r="Z272" s="3"/>
      <c r="AA272" s="3"/>
      <c r="AB272" s="5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7"/>
      <c r="AV272" s="7"/>
      <c r="AW272" s="7"/>
      <c r="AX272" s="7"/>
      <c r="AY272" s="8"/>
      <c r="AZ272" s="3"/>
      <c r="BA272" s="3"/>
      <c r="BB272" s="3"/>
      <c r="BC272" s="3"/>
    </row>
    <row r="273" spans="1:55" x14ac:dyDescent="0.25">
      <c r="A273" s="2"/>
      <c r="D273" s="3"/>
      <c r="E273" s="4"/>
      <c r="F273" s="5"/>
      <c r="G273" s="5"/>
      <c r="J273" s="3"/>
      <c r="K273" s="3"/>
      <c r="L273" s="6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5"/>
      <c r="Y273" s="3"/>
      <c r="Z273" s="3"/>
      <c r="AA273" s="3"/>
      <c r="AB273" s="5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7"/>
      <c r="AV273" s="7"/>
      <c r="AW273" s="7"/>
      <c r="AX273" s="7"/>
      <c r="AY273" s="8"/>
      <c r="AZ273" s="3"/>
      <c r="BA273" s="3"/>
      <c r="BB273" s="3"/>
      <c r="BC273" s="3"/>
    </row>
    <row r="274" spans="1:55" x14ac:dyDescent="0.25">
      <c r="A274" s="2"/>
      <c r="D274" s="3"/>
      <c r="E274" s="4"/>
      <c r="F274" s="5"/>
      <c r="G274" s="5"/>
      <c r="J274" s="3"/>
      <c r="K274" s="3"/>
      <c r="L274" s="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5"/>
      <c r="Y274" s="3"/>
      <c r="Z274" s="3"/>
      <c r="AA274" s="3"/>
      <c r="AB274" s="5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7"/>
      <c r="AV274" s="7"/>
      <c r="AW274" s="7"/>
      <c r="AX274" s="7"/>
      <c r="AY274" s="8"/>
      <c r="AZ274" s="3"/>
      <c r="BA274" s="3"/>
      <c r="BB274" s="3"/>
      <c r="BC274" s="3"/>
    </row>
    <row r="275" spans="1:55" x14ac:dyDescent="0.25">
      <c r="A275" s="2"/>
      <c r="D275" s="3"/>
      <c r="E275" s="4"/>
      <c r="F275" s="5"/>
      <c r="G275" s="5"/>
      <c r="J275" s="3"/>
      <c r="K275" s="3"/>
      <c r="L275" s="6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5"/>
      <c r="Y275" s="3"/>
      <c r="Z275" s="3"/>
      <c r="AA275" s="3"/>
      <c r="AB275" s="5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7"/>
      <c r="AV275" s="7"/>
      <c r="AW275" s="7"/>
      <c r="AX275" s="7"/>
      <c r="AY275" s="8"/>
      <c r="AZ275" s="3"/>
      <c r="BA275" s="3"/>
      <c r="BB275" s="3"/>
      <c r="BC275" s="3"/>
    </row>
    <row r="276" spans="1:55" x14ac:dyDescent="0.25">
      <c r="A276" s="2"/>
      <c r="D276" s="3"/>
      <c r="E276" s="4"/>
      <c r="F276" s="5"/>
      <c r="G276" s="5"/>
      <c r="J276" s="3"/>
      <c r="K276" s="3"/>
      <c r="L276" s="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5"/>
      <c r="Y276" s="3"/>
      <c r="Z276" s="3"/>
      <c r="AA276" s="3"/>
      <c r="AB276" s="5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7"/>
      <c r="AV276" s="7"/>
      <c r="AW276" s="7"/>
      <c r="AX276" s="7"/>
      <c r="AY276" s="8"/>
      <c r="AZ276" s="3"/>
      <c r="BA276" s="3"/>
      <c r="BB276" s="3"/>
      <c r="BC276" s="3"/>
    </row>
    <row r="277" spans="1:55" x14ac:dyDescent="0.25">
      <c r="A277" s="2"/>
      <c r="D277" s="3"/>
      <c r="E277" s="4"/>
      <c r="F277" s="5"/>
      <c r="G277" s="5"/>
      <c r="J277" s="3"/>
      <c r="K277" s="3"/>
      <c r="L277" s="6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5"/>
      <c r="Y277" s="3"/>
      <c r="Z277" s="3"/>
      <c r="AA277" s="3"/>
      <c r="AB277" s="5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7"/>
      <c r="AV277" s="7"/>
      <c r="AW277" s="7"/>
      <c r="AX277" s="7"/>
      <c r="AY277" s="8"/>
      <c r="AZ277" s="3"/>
      <c r="BA277" s="3"/>
      <c r="BB277" s="3"/>
      <c r="BC277" s="3"/>
    </row>
    <row r="278" spans="1:55" x14ac:dyDescent="0.25">
      <c r="A278" s="2"/>
      <c r="D278" s="3"/>
      <c r="E278" s="4"/>
      <c r="F278" s="5"/>
      <c r="G278" s="5"/>
      <c r="J278" s="3"/>
      <c r="K278" s="3"/>
      <c r="L278" s="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5"/>
      <c r="Y278" s="3"/>
      <c r="Z278" s="3"/>
      <c r="AA278" s="3"/>
      <c r="AB278" s="5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7"/>
      <c r="AV278" s="7"/>
      <c r="AW278" s="7"/>
      <c r="AX278" s="7"/>
      <c r="AY278" s="8"/>
      <c r="AZ278" s="3"/>
      <c r="BA278" s="3"/>
      <c r="BB278" s="3"/>
      <c r="BC278" s="3"/>
    </row>
    <row r="279" spans="1:55" x14ac:dyDescent="0.25">
      <c r="A279" s="2"/>
      <c r="D279" s="3"/>
      <c r="E279" s="4"/>
      <c r="F279" s="5"/>
      <c r="G279" s="5"/>
      <c r="J279" s="3"/>
      <c r="K279" s="3"/>
      <c r="L279" s="6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5"/>
      <c r="Y279" s="3"/>
      <c r="Z279" s="3"/>
      <c r="AA279" s="3"/>
      <c r="AB279" s="5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7"/>
      <c r="AV279" s="7"/>
      <c r="AW279" s="7"/>
      <c r="AX279" s="7"/>
      <c r="AY279" s="8"/>
      <c r="AZ279" s="3"/>
      <c r="BA279" s="3"/>
      <c r="BB279" s="3"/>
      <c r="BC279" s="3"/>
    </row>
    <row r="280" spans="1:55" x14ac:dyDescent="0.25">
      <c r="A280" s="2"/>
      <c r="D280" s="3"/>
      <c r="E280" s="4"/>
      <c r="F280" s="5"/>
      <c r="G280" s="5"/>
      <c r="J280" s="3"/>
      <c r="K280" s="3"/>
      <c r="L280" s="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5"/>
      <c r="Y280" s="3"/>
      <c r="Z280" s="3"/>
      <c r="AA280" s="3"/>
      <c r="AB280" s="5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7"/>
      <c r="AV280" s="7"/>
      <c r="AW280" s="7"/>
      <c r="AX280" s="7"/>
      <c r="AY280" s="8"/>
      <c r="AZ280" s="3"/>
      <c r="BA280" s="3"/>
      <c r="BB280" s="3"/>
      <c r="BC280" s="3"/>
    </row>
    <row r="281" spans="1:55" x14ac:dyDescent="0.25">
      <c r="A281" s="2"/>
      <c r="D281" s="3"/>
      <c r="E281" s="4"/>
      <c r="F281" s="5"/>
      <c r="G281" s="5"/>
      <c r="J281" s="3"/>
      <c r="K281" s="3"/>
      <c r="L281" s="6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5"/>
      <c r="Y281" s="3"/>
      <c r="Z281" s="3"/>
      <c r="AA281" s="3"/>
      <c r="AB281" s="5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7"/>
      <c r="AV281" s="7"/>
      <c r="AW281" s="7"/>
      <c r="AX281" s="7"/>
      <c r="AY281" s="8"/>
      <c r="AZ281" s="3"/>
      <c r="BA281" s="3"/>
      <c r="BB281" s="3"/>
      <c r="BC281" s="3"/>
    </row>
    <row r="282" spans="1:55" x14ac:dyDescent="0.25">
      <c r="A282" s="2"/>
      <c r="D282" s="3"/>
      <c r="E282" s="4"/>
      <c r="F282" s="5"/>
      <c r="G282" s="5"/>
      <c r="J282" s="3"/>
      <c r="K282" s="3"/>
      <c r="L282" s="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5"/>
      <c r="Y282" s="3"/>
      <c r="Z282" s="3"/>
      <c r="AA282" s="3"/>
      <c r="AB282" s="5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7"/>
      <c r="AV282" s="7"/>
      <c r="AW282" s="7"/>
      <c r="AX282" s="7"/>
      <c r="AY282" s="8"/>
      <c r="AZ282" s="3"/>
      <c r="BA282" s="3"/>
      <c r="BB282" s="3"/>
      <c r="BC282" s="3"/>
    </row>
    <row r="283" spans="1:55" x14ac:dyDescent="0.25">
      <c r="A283" s="2"/>
      <c r="D283" s="3"/>
      <c r="E283" s="4"/>
      <c r="F283" s="5"/>
      <c r="G283" s="5"/>
      <c r="J283" s="3"/>
      <c r="K283" s="3"/>
      <c r="L283" s="6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5"/>
      <c r="Y283" s="3"/>
      <c r="Z283" s="3"/>
      <c r="AA283" s="3"/>
      <c r="AB283" s="5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7"/>
      <c r="AV283" s="7"/>
      <c r="AW283" s="7"/>
      <c r="AX283" s="7"/>
      <c r="AY283" s="8"/>
      <c r="AZ283" s="3"/>
      <c r="BA283" s="3"/>
      <c r="BB283" s="3"/>
      <c r="BC283" s="3"/>
    </row>
    <row r="284" spans="1:55" x14ac:dyDescent="0.25">
      <c r="A284" s="2"/>
      <c r="D284" s="3"/>
      <c r="E284" s="4"/>
      <c r="F284" s="5"/>
      <c r="G284" s="5"/>
      <c r="J284" s="3"/>
      <c r="K284" s="3"/>
      <c r="L284" s="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5"/>
      <c r="Y284" s="3"/>
      <c r="Z284" s="3"/>
      <c r="AA284" s="3"/>
      <c r="AB284" s="5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7"/>
      <c r="AV284" s="7"/>
      <c r="AW284" s="7"/>
      <c r="AX284" s="7"/>
      <c r="AY284" s="8"/>
      <c r="AZ284" s="3"/>
      <c r="BA284" s="3"/>
      <c r="BB284" s="3"/>
      <c r="BC284" s="3"/>
    </row>
    <row r="285" spans="1:55" x14ac:dyDescent="0.25">
      <c r="A285" s="2"/>
      <c r="D285" s="3"/>
      <c r="E285" s="4"/>
      <c r="F285" s="5"/>
      <c r="G285" s="5"/>
      <c r="J285" s="3"/>
      <c r="K285" s="3"/>
      <c r="L285" s="6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5"/>
      <c r="Y285" s="3"/>
      <c r="Z285" s="3"/>
      <c r="AA285" s="3"/>
      <c r="AB285" s="5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7"/>
      <c r="AV285" s="7"/>
      <c r="AW285" s="7"/>
      <c r="AX285" s="7"/>
      <c r="AY285" s="8"/>
      <c r="AZ285" s="3"/>
      <c r="BA285" s="3"/>
      <c r="BB285" s="3"/>
      <c r="BC285" s="3"/>
    </row>
    <row r="286" spans="1:55" x14ac:dyDescent="0.25">
      <c r="A286" s="2"/>
      <c r="D286" s="3"/>
      <c r="E286" s="4"/>
      <c r="F286" s="5"/>
      <c r="G286" s="5"/>
      <c r="J286" s="3"/>
      <c r="K286" s="3"/>
      <c r="L286" s="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5"/>
      <c r="Y286" s="3"/>
      <c r="Z286" s="3"/>
      <c r="AA286" s="3"/>
      <c r="AB286" s="5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7"/>
      <c r="AV286" s="7"/>
      <c r="AW286" s="7"/>
      <c r="AX286" s="7"/>
      <c r="AY286" s="8"/>
      <c r="AZ286" s="3"/>
      <c r="BA286" s="3"/>
      <c r="BB286" s="3"/>
      <c r="BC286" s="3"/>
    </row>
    <row r="287" spans="1:55" x14ac:dyDescent="0.25">
      <c r="A287" s="2"/>
      <c r="D287" s="3"/>
      <c r="E287" s="4"/>
      <c r="F287" s="5"/>
      <c r="G287" s="5"/>
      <c r="J287" s="3"/>
      <c r="K287" s="3"/>
      <c r="L287" s="6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5"/>
      <c r="Y287" s="3"/>
      <c r="Z287" s="3"/>
      <c r="AA287" s="3"/>
      <c r="AB287" s="5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7"/>
      <c r="AV287" s="7"/>
      <c r="AW287" s="7"/>
      <c r="AX287" s="7"/>
      <c r="AY287" s="8"/>
      <c r="AZ287" s="3"/>
      <c r="BA287" s="3"/>
      <c r="BB287" s="3"/>
      <c r="BC287" s="3"/>
    </row>
    <row r="288" spans="1:55" x14ac:dyDescent="0.25">
      <c r="A288" s="2"/>
      <c r="D288" s="3"/>
      <c r="E288" s="4"/>
      <c r="F288" s="5"/>
      <c r="G288" s="5"/>
      <c r="J288" s="3"/>
      <c r="K288" s="3"/>
      <c r="L288" s="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5"/>
      <c r="Y288" s="3"/>
      <c r="Z288" s="3"/>
      <c r="AA288" s="3"/>
      <c r="AB288" s="5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7"/>
      <c r="AV288" s="7"/>
      <c r="AW288" s="7"/>
      <c r="AX288" s="7"/>
      <c r="AY288" s="8"/>
      <c r="AZ288" s="3"/>
      <c r="BA288" s="3"/>
      <c r="BB288" s="3"/>
      <c r="BC288" s="3"/>
    </row>
    <row r="289" spans="1:55" x14ac:dyDescent="0.25">
      <c r="A289" s="2"/>
      <c r="D289" s="3"/>
      <c r="E289" s="4"/>
      <c r="F289" s="5"/>
      <c r="G289" s="5"/>
      <c r="J289" s="3"/>
      <c r="K289" s="3"/>
      <c r="L289" s="6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5"/>
      <c r="Y289" s="3"/>
      <c r="Z289" s="3"/>
      <c r="AA289" s="3"/>
      <c r="AB289" s="5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7"/>
      <c r="AV289" s="7"/>
      <c r="AW289" s="7"/>
      <c r="AX289" s="7"/>
      <c r="AY289" s="8"/>
      <c r="AZ289" s="3"/>
      <c r="BA289" s="3"/>
      <c r="BB289" s="3"/>
      <c r="BC289" s="3"/>
    </row>
    <row r="290" spans="1:55" x14ac:dyDescent="0.25">
      <c r="A290" s="2"/>
      <c r="D290" s="3"/>
      <c r="E290" s="4"/>
      <c r="F290" s="5"/>
      <c r="G290" s="5"/>
      <c r="J290" s="3"/>
      <c r="K290" s="3"/>
      <c r="L290" s="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5"/>
      <c r="Y290" s="3"/>
      <c r="Z290" s="3"/>
      <c r="AA290" s="3"/>
      <c r="AB290" s="5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7"/>
      <c r="AV290" s="7"/>
      <c r="AW290" s="7"/>
      <c r="AX290" s="7"/>
      <c r="AY290" s="8"/>
      <c r="AZ290" s="3"/>
      <c r="BA290" s="3"/>
      <c r="BB290" s="3"/>
      <c r="BC290" s="3"/>
    </row>
    <row r="291" spans="1:55" x14ac:dyDescent="0.25">
      <c r="A291" s="2"/>
      <c r="D291" s="3"/>
      <c r="E291" s="4"/>
      <c r="F291" s="5"/>
      <c r="G291" s="5"/>
      <c r="J291" s="3"/>
      <c r="K291" s="3"/>
      <c r="L291" s="6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5"/>
      <c r="Y291" s="3"/>
      <c r="Z291" s="3"/>
      <c r="AA291" s="3"/>
      <c r="AB291" s="5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7"/>
      <c r="AV291" s="7"/>
      <c r="AW291" s="7"/>
      <c r="AX291" s="7"/>
      <c r="AY291" s="8"/>
      <c r="AZ291" s="3"/>
      <c r="BA291" s="3"/>
      <c r="BB291" s="3"/>
      <c r="BC291" s="3"/>
    </row>
    <row r="292" spans="1:55" x14ac:dyDescent="0.25">
      <c r="A292" s="2"/>
      <c r="D292" s="3"/>
      <c r="E292" s="4"/>
      <c r="F292" s="5"/>
      <c r="G292" s="5"/>
      <c r="J292" s="3"/>
      <c r="K292" s="3"/>
      <c r="L292" s="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5"/>
      <c r="Y292" s="3"/>
      <c r="Z292" s="3"/>
      <c r="AA292" s="3"/>
      <c r="AB292" s="5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7"/>
      <c r="AV292" s="7"/>
      <c r="AW292" s="7"/>
      <c r="AX292" s="7"/>
      <c r="AY292" s="8"/>
      <c r="AZ292" s="3"/>
      <c r="BA292" s="3"/>
      <c r="BB292" s="3"/>
      <c r="BC292" s="3"/>
    </row>
    <row r="293" spans="1:55" x14ac:dyDescent="0.25">
      <c r="A293" s="2"/>
      <c r="D293" s="3"/>
      <c r="E293" s="4"/>
      <c r="F293" s="5"/>
      <c r="G293" s="5"/>
      <c r="J293" s="3"/>
      <c r="K293" s="3"/>
      <c r="L293" s="6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5"/>
      <c r="Y293" s="3"/>
      <c r="Z293" s="3"/>
      <c r="AA293" s="3"/>
      <c r="AB293" s="5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7"/>
      <c r="AV293" s="7"/>
      <c r="AW293" s="7"/>
      <c r="AX293" s="7"/>
      <c r="AY293" s="8"/>
      <c r="AZ293" s="3"/>
      <c r="BA293" s="3"/>
      <c r="BB293" s="3"/>
      <c r="BC293" s="3"/>
    </row>
    <row r="294" spans="1:55" x14ac:dyDescent="0.25">
      <c r="A294" s="2"/>
      <c r="D294" s="3"/>
      <c r="E294" s="4"/>
      <c r="F294" s="5"/>
      <c r="G294" s="5"/>
      <c r="J294" s="3"/>
      <c r="K294" s="3"/>
      <c r="L294" s="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5"/>
      <c r="Y294" s="3"/>
      <c r="Z294" s="3"/>
      <c r="AA294" s="3"/>
      <c r="AB294" s="5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7"/>
      <c r="AV294" s="7"/>
      <c r="AW294" s="7"/>
      <c r="AX294" s="7"/>
      <c r="AY294" s="8"/>
      <c r="AZ294" s="3"/>
      <c r="BA294" s="3"/>
      <c r="BB294" s="3"/>
      <c r="BC294" s="3"/>
    </row>
    <row r="295" spans="1:55" x14ac:dyDescent="0.25">
      <c r="A295" s="2"/>
      <c r="D295" s="3"/>
      <c r="E295" s="4"/>
      <c r="F295" s="5"/>
      <c r="G295" s="5"/>
      <c r="J295" s="3"/>
      <c r="K295" s="3"/>
      <c r="L295" s="6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5"/>
      <c r="Y295" s="3"/>
      <c r="Z295" s="3"/>
      <c r="AA295" s="3"/>
      <c r="AB295" s="5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7"/>
      <c r="AV295" s="7"/>
      <c r="AW295" s="7"/>
      <c r="AX295" s="7"/>
      <c r="AY295" s="8"/>
      <c r="AZ295" s="3"/>
      <c r="BA295" s="3"/>
      <c r="BB295" s="3"/>
      <c r="BC295" s="3"/>
    </row>
    <row r="296" spans="1:55" x14ac:dyDescent="0.25">
      <c r="A296" s="2"/>
      <c r="D296" s="3"/>
      <c r="E296" s="4"/>
      <c r="F296" s="5"/>
      <c r="G296" s="5"/>
      <c r="J296" s="3"/>
      <c r="K296" s="3"/>
      <c r="L296" s="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5"/>
      <c r="Y296" s="3"/>
      <c r="Z296" s="3"/>
      <c r="AA296" s="3"/>
      <c r="AB296" s="5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7"/>
      <c r="AV296" s="7"/>
      <c r="AW296" s="7"/>
      <c r="AX296" s="7"/>
      <c r="AY296" s="8"/>
      <c r="AZ296" s="3"/>
      <c r="BA296" s="3"/>
      <c r="BB296" s="3"/>
      <c r="BC296" s="3"/>
    </row>
    <row r="297" spans="1:55" x14ac:dyDescent="0.25">
      <c r="A297" s="2"/>
      <c r="D297" s="3"/>
      <c r="E297" s="4"/>
      <c r="F297" s="5"/>
      <c r="G297" s="5"/>
      <c r="J297" s="3"/>
      <c r="K297" s="3"/>
      <c r="L297" s="6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5"/>
      <c r="Y297" s="3"/>
      <c r="Z297" s="3"/>
      <c r="AA297" s="3"/>
      <c r="AB297" s="5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7"/>
      <c r="AV297" s="7"/>
      <c r="AW297" s="7"/>
      <c r="AX297" s="7"/>
      <c r="AY297" s="8"/>
      <c r="AZ297" s="3"/>
      <c r="BA297" s="3"/>
      <c r="BB297" s="3"/>
      <c r="BC297" s="3"/>
    </row>
    <row r="298" spans="1:55" x14ac:dyDescent="0.25">
      <c r="A298" s="2"/>
      <c r="D298" s="3"/>
      <c r="E298" s="4"/>
      <c r="F298" s="5"/>
      <c r="G298" s="5"/>
      <c r="J298" s="3"/>
      <c r="K298" s="3"/>
      <c r="L298" s="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5"/>
      <c r="Y298" s="3"/>
      <c r="Z298" s="3"/>
      <c r="AA298" s="3"/>
      <c r="AB298" s="5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7"/>
      <c r="AV298" s="7"/>
      <c r="AW298" s="7"/>
      <c r="AX298" s="7"/>
      <c r="AY298" s="8"/>
      <c r="AZ298" s="3"/>
      <c r="BA298" s="3"/>
      <c r="BB298" s="3"/>
      <c r="BC298" s="3"/>
    </row>
    <row r="299" spans="1:55" x14ac:dyDescent="0.25">
      <c r="A299" s="2"/>
      <c r="D299" s="3"/>
      <c r="E299" s="4"/>
      <c r="F299" s="5"/>
      <c r="G299" s="5"/>
      <c r="J299" s="3"/>
      <c r="K299" s="3"/>
      <c r="L299" s="6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5"/>
      <c r="Y299" s="3"/>
      <c r="Z299" s="3"/>
      <c r="AA299" s="3"/>
      <c r="AB299" s="5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7"/>
      <c r="AV299" s="7"/>
      <c r="AW299" s="7"/>
      <c r="AX299" s="7"/>
      <c r="AY299" s="8"/>
      <c r="AZ299" s="3"/>
      <c r="BA299" s="3"/>
      <c r="BB299" s="3"/>
      <c r="BC299" s="3"/>
    </row>
    <row r="300" spans="1:55" x14ac:dyDescent="0.25">
      <c r="A300" s="2"/>
      <c r="D300" s="3"/>
      <c r="E300" s="4"/>
      <c r="F300" s="5"/>
      <c r="G300" s="5"/>
      <c r="J300" s="3"/>
      <c r="K300" s="3"/>
      <c r="L300" s="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5"/>
      <c r="Y300" s="3"/>
      <c r="Z300" s="3"/>
      <c r="AA300" s="3"/>
      <c r="AB300" s="5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7"/>
      <c r="AV300" s="7"/>
      <c r="AW300" s="7"/>
      <c r="AX300" s="7"/>
      <c r="AY300" s="8"/>
      <c r="AZ300" s="3"/>
      <c r="BA300" s="3"/>
      <c r="BB300" s="3"/>
      <c r="BC300" s="3"/>
    </row>
    <row r="301" spans="1:55" x14ac:dyDescent="0.25">
      <c r="A301" s="2"/>
      <c r="D301" s="3"/>
      <c r="E301" s="4"/>
      <c r="F301" s="5"/>
      <c r="G301" s="5"/>
      <c r="J301" s="3"/>
      <c r="K301" s="3"/>
      <c r="L301" s="6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5"/>
      <c r="Y301" s="3"/>
      <c r="Z301" s="3"/>
      <c r="AA301" s="3"/>
      <c r="AB301" s="5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7"/>
      <c r="AV301" s="7"/>
      <c r="AW301" s="7"/>
      <c r="AX301" s="7"/>
      <c r="AY301" s="8"/>
      <c r="AZ301" s="3"/>
      <c r="BA301" s="3"/>
      <c r="BB301" s="3"/>
      <c r="BC301" s="3"/>
    </row>
    <row r="302" spans="1:55" x14ac:dyDescent="0.25">
      <c r="A302" s="2"/>
      <c r="D302" s="3"/>
      <c r="E302" s="4"/>
      <c r="F302" s="5"/>
      <c r="G302" s="5"/>
      <c r="J302" s="3"/>
      <c r="K302" s="3"/>
      <c r="L302" s="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5"/>
      <c r="Y302" s="3"/>
      <c r="Z302" s="3"/>
      <c r="AA302" s="3"/>
      <c r="AB302" s="5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7"/>
      <c r="AV302" s="7"/>
      <c r="AW302" s="7"/>
      <c r="AX302" s="7"/>
      <c r="AY302" s="8"/>
      <c r="AZ302" s="3"/>
      <c r="BA302" s="3"/>
      <c r="BB302" s="3"/>
      <c r="BC302" s="3"/>
    </row>
    <row r="303" spans="1:55" x14ac:dyDescent="0.25">
      <c r="A303" s="2"/>
      <c r="D303" s="3"/>
      <c r="E303" s="4"/>
      <c r="F303" s="5"/>
      <c r="G303" s="5"/>
      <c r="J303" s="3"/>
      <c r="K303" s="3"/>
      <c r="L303" s="6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5"/>
      <c r="Y303" s="3"/>
      <c r="Z303" s="3"/>
      <c r="AA303" s="3"/>
      <c r="AB303" s="5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7"/>
      <c r="AV303" s="7"/>
      <c r="AW303" s="7"/>
      <c r="AX303" s="7"/>
      <c r="AY303" s="8"/>
      <c r="AZ303" s="3"/>
      <c r="BA303" s="3"/>
      <c r="BB303" s="3"/>
      <c r="BC303" s="3"/>
    </row>
    <row r="304" spans="1:55" x14ac:dyDescent="0.25">
      <c r="A304" s="2"/>
      <c r="D304" s="3"/>
      <c r="E304" s="4"/>
      <c r="F304" s="5"/>
      <c r="G304" s="5"/>
      <c r="J304" s="3"/>
      <c r="K304" s="3"/>
      <c r="L304" s="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5"/>
      <c r="Y304" s="3"/>
      <c r="Z304" s="3"/>
      <c r="AA304" s="3"/>
      <c r="AB304" s="5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7"/>
      <c r="AV304" s="7"/>
      <c r="AW304" s="7"/>
      <c r="AX304" s="7"/>
      <c r="AY304" s="8"/>
      <c r="AZ304" s="3"/>
      <c r="BA304" s="3"/>
      <c r="BB304" s="3"/>
      <c r="BC304" s="3"/>
    </row>
    <row r="305" spans="1:55" x14ac:dyDescent="0.25">
      <c r="A305" s="2"/>
      <c r="D305" s="3"/>
      <c r="E305" s="4"/>
      <c r="F305" s="5"/>
      <c r="G305" s="5"/>
      <c r="J305" s="3"/>
      <c r="K305" s="3"/>
      <c r="L305" s="6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5"/>
      <c r="Y305" s="3"/>
      <c r="Z305" s="3"/>
      <c r="AA305" s="3"/>
      <c r="AB305" s="5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7"/>
      <c r="AV305" s="7"/>
      <c r="AW305" s="7"/>
      <c r="AX305" s="7"/>
      <c r="AY305" s="8"/>
      <c r="AZ305" s="3"/>
      <c r="BA305" s="3"/>
      <c r="BB305" s="3"/>
      <c r="BC305" s="3"/>
    </row>
    <row r="306" spans="1:55" x14ac:dyDescent="0.25">
      <c r="A306" s="2"/>
      <c r="D306" s="3"/>
      <c r="E306" s="4"/>
      <c r="F306" s="5"/>
      <c r="G306" s="5"/>
      <c r="J306" s="3"/>
      <c r="K306" s="3"/>
      <c r="L306" s="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5"/>
      <c r="Y306" s="3"/>
      <c r="Z306" s="3"/>
      <c r="AA306" s="3"/>
      <c r="AB306" s="5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7"/>
      <c r="AV306" s="7"/>
      <c r="AW306" s="7"/>
      <c r="AX306" s="7"/>
      <c r="AY306" s="8"/>
      <c r="AZ306" s="3"/>
      <c r="BA306" s="3"/>
      <c r="BB306" s="3"/>
      <c r="BC306" s="3"/>
    </row>
    <row r="307" spans="1:55" x14ac:dyDescent="0.25">
      <c r="A307" s="2"/>
      <c r="D307" s="3"/>
      <c r="E307" s="4"/>
      <c r="F307" s="5"/>
      <c r="G307" s="5"/>
      <c r="J307" s="3"/>
      <c r="K307" s="3"/>
      <c r="L307" s="6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5"/>
      <c r="Y307" s="3"/>
      <c r="Z307" s="3"/>
      <c r="AA307" s="3"/>
      <c r="AB307" s="5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7"/>
      <c r="AV307" s="7"/>
      <c r="AW307" s="7"/>
      <c r="AX307" s="7"/>
      <c r="AY307" s="8"/>
      <c r="AZ307" s="3"/>
      <c r="BA307" s="3"/>
      <c r="BB307" s="3"/>
      <c r="BC307" s="3"/>
    </row>
    <row r="308" spans="1:55" x14ac:dyDescent="0.25">
      <c r="A308" s="2"/>
      <c r="D308" s="3"/>
      <c r="E308" s="4"/>
      <c r="F308" s="5"/>
      <c r="G308" s="5"/>
      <c r="J308" s="3"/>
      <c r="K308" s="3"/>
      <c r="L308" s="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5"/>
      <c r="Y308" s="3"/>
      <c r="Z308" s="3"/>
      <c r="AA308" s="3"/>
      <c r="AB308" s="5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7"/>
      <c r="AV308" s="7"/>
      <c r="AW308" s="7"/>
      <c r="AX308" s="7"/>
      <c r="AY308" s="8"/>
      <c r="AZ308" s="3"/>
      <c r="BA308" s="3"/>
      <c r="BB308" s="3"/>
      <c r="BC308" s="3"/>
    </row>
    <row r="309" spans="1:55" x14ac:dyDescent="0.25">
      <c r="A309" s="2"/>
      <c r="D309" s="3"/>
      <c r="E309" s="4"/>
      <c r="F309" s="5"/>
      <c r="G309" s="5"/>
      <c r="J309" s="3"/>
      <c r="K309" s="3"/>
      <c r="L309" s="6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5"/>
      <c r="Y309" s="3"/>
      <c r="Z309" s="3"/>
      <c r="AA309" s="3"/>
      <c r="AB309" s="5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7"/>
      <c r="AV309" s="7"/>
      <c r="AW309" s="7"/>
      <c r="AX309" s="7"/>
      <c r="AY309" s="8"/>
      <c r="AZ309" s="3"/>
      <c r="BA309" s="3"/>
      <c r="BB309" s="3"/>
      <c r="BC309" s="3"/>
    </row>
    <row r="310" spans="1:55" x14ac:dyDescent="0.25">
      <c r="A310" s="2"/>
      <c r="D310" s="3"/>
      <c r="E310" s="4"/>
      <c r="F310" s="5"/>
      <c r="G310" s="5"/>
      <c r="J310" s="3"/>
      <c r="K310" s="3"/>
      <c r="L310" s="6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5"/>
      <c r="Y310" s="3"/>
      <c r="Z310" s="3"/>
      <c r="AA310" s="3"/>
      <c r="AB310" s="5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7"/>
      <c r="AV310" s="7"/>
      <c r="AW310" s="7"/>
      <c r="AX310" s="7"/>
      <c r="AY310" s="8"/>
      <c r="AZ310" s="3"/>
      <c r="BA310" s="3"/>
      <c r="BB310" s="3"/>
      <c r="BC310" s="3"/>
    </row>
    <row r="311" spans="1:55" x14ac:dyDescent="0.25">
      <c r="A311" s="2"/>
      <c r="D311" s="3"/>
      <c r="E311" s="4"/>
      <c r="F311" s="5"/>
      <c r="G311" s="5"/>
      <c r="J311" s="3"/>
      <c r="K311" s="3"/>
      <c r="L311" s="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5"/>
      <c r="Y311" s="3"/>
      <c r="Z311" s="3"/>
      <c r="AA311" s="3"/>
      <c r="AB311" s="5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7"/>
      <c r="AV311" s="7"/>
      <c r="AW311" s="7"/>
      <c r="AX311" s="7"/>
      <c r="AY311" s="8"/>
      <c r="AZ311" s="3"/>
      <c r="BA311" s="3"/>
      <c r="BB311" s="3"/>
      <c r="BC311" s="3"/>
    </row>
    <row r="312" spans="1:55" x14ac:dyDescent="0.25">
      <c r="A312" s="2"/>
      <c r="D312" s="3"/>
      <c r="E312" s="4"/>
      <c r="F312" s="5"/>
      <c r="G312" s="5"/>
      <c r="J312" s="3"/>
      <c r="K312" s="3"/>
      <c r="L312" s="6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5"/>
      <c r="Y312" s="3"/>
      <c r="Z312" s="3"/>
      <c r="AA312" s="3"/>
      <c r="AB312" s="5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7"/>
      <c r="AV312" s="7"/>
      <c r="AW312" s="7"/>
      <c r="AX312" s="7"/>
      <c r="AY312" s="8"/>
      <c r="AZ312" s="3"/>
      <c r="BA312" s="3"/>
      <c r="BB312" s="3"/>
      <c r="BC312" s="3"/>
    </row>
    <row r="313" spans="1:55" x14ac:dyDescent="0.25">
      <c r="A313" s="2"/>
      <c r="D313" s="3"/>
      <c r="E313" s="4"/>
      <c r="F313" s="5"/>
      <c r="G313" s="5"/>
      <c r="J313" s="3"/>
      <c r="K313" s="3"/>
      <c r="L313" s="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5"/>
      <c r="Y313" s="3"/>
      <c r="Z313" s="3"/>
      <c r="AA313" s="3"/>
      <c r="AB313" s="5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7"/>
      <c r="AV313" s="7"/>
      <c r="AW313" s="7"/>
      <c r="AX313" s="7"/>
      <c r="AY313" s="8"/>
      <c r="AZ313" s="3"/>
      <c r="BA313" s="3"/>
      <c r="BB313" s="3"/>
      <c r="BC313" s="3"/>
    </row>
    <row r="314" spans="1:55" x14ac:dyDescent="0.25">
      <c r="A314" s="2"/>
      <c r="D314" s="3"/>
      <c r="E314" s="4"/>
      <c r="F314" s="5"/>
      <c r="G314" s="5"/>
      <c r="J314" s="3"/>
      <c r="K314" s="3"/>
      <c r="L314" s="6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5"/>
      <c r="Y314" s="3"/>
      <c r="Z314" s="3"/>
      <c r="AA314" s="3"/>
      <c r="AB314" s="5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7"/>
      <c r="AV314" s="7"/>
      <c r="AW314" s="7"/>
      <c r="AX314" s="7"/>
      <c r="AY314" s="8"/>
      <c r="AZ314" s="3"/>
      <c r="BA314" s="3"/>
      <c r="BB314" s="3"/>
      <c r="BC314" s="3"/>
    </row>
    <row r="315" spans="1:55" x14ac:dyDescent="0.25">
      <c r="A315" s="2"/>
      <c r="D315" s="3"/>
      <c r="E315" s="4"/>
      <c r="F315" s="5"/>
      <c r="G315" s="5"/>
      <c r="J315" s="3"/>
      <c r="K315" s="3"/>
      <c r="L315" s="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5"/>
      <c r="Y315" s="3"/>
      <c r="Z315" s="3"/>
      <c r="AA315" s="3"/>
      <c r="AB315" s="5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7"/>
      <c r="AV315" s="7"/>
      <c r="AW315" s="7"/>
      <c r="AX315" s="7"/>
      <c r="AY315" s="8"/>
      <c r="AZ315" s="3"/>
      <c r="BA315" s="3"/>
      <c r="BB315" s="3"/>
      <c r="BC315" s="3"/>
    </row>
    <row r="316" spans="1:55" x14ac:dyDescent="0.25">
      <c r="A316" s="2"/>
      <c r="D316" s="3"/>
      <c r="E316" s="4"/>
      <c r="F316" s="5"/>
      <c r="G316" s="5"/>
      <c r="J316" s="3"/>
      <c r="K316" s="3"/>
      <c r="L316" s="6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5"/>
      <c r="Y316" s="3"/>
      <c r="Z316" s="3"/>
      <c r="AA316" s="3"/>
      <c r="AB316" s="5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7"/>
      <c r="AV316" s="7"/>
      <c r="AW316" s="7"/>
      <c r="AX316" s="7"/>
      <c r="AY316" s="8"/>
      <c r="AZ316" s="3"/>
      <c r="BA316" s="3"/>
      <c r="BB316" s="3"/>
      <c r="BC316" s="3"/>
    </row>
    <row r="317" spans="1:55" x14ac:dyDescent="0.25">
      <c r="A317" s="2"/>
      <c r="D317" s="3"/>
      <c r="E317" s="4"/>
      <c r="F317" s="5"/>
      <c r="G317" s="5"/>
      <c r="J317" s="3"/>
      <c r="K317" s="3"/>
      <c r="L317" s="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5"/>
      <c r="Y317" s="3"/>
      <c r="Z317" s="3"/>
      <c r="AA317" s="3"/>
      <c r="AB317" s="5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7"/>
      <c r="AV317" s="7"/>
      <c r="AW317" s="7"/>
      <c r="AX317" s="7"/>
      <c r="AY317" s="8"/>
      <c r="AZ317" s="3"/>
      <c r="BA317" s="3"/>
      <c r="BB317" s="3"/>
      <c r="BC317" s="3"/>
    </row>
    <row r="318" spans="1:55" x14ac:dyDescent="0.25">
      <c r="A318" s="2"/>
      <c r="D318" s="3"/>
      <c r="E318" s="4"/>
      <c r="F318" s="5"/>
      <c r="G318" s="5"/>
      <c r="J318" s="3"/>
      <c r="K318" s="3"/>
      <c r="L318" s="6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5"/>
      <c r="Y318" s="3"/>
      <c r="Z318" s="3"/>
      <c r="AA318" s="3"/>
      <c r="AB318" s="5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7"/>
      <c r="AV318" s="7"/>
      <c r="AW318" s="7"/>
      <c r="AX318" s="7"/>
      <c r="AY318" s="8"/>
      <c r="AZ318" s="3"/>
      <c r="BA318" s="3"/>
      <c r="BB318" s="3"/>
      <c r="BC318" s="3"/>
    </row>
    <row r="319" spans="1:55" x14ac:dyDescent="0.25">
      <c r="A319" s="2"/>
      <c r="D319" s="3"/>
      <c r="E319" s="4"/>
      <c r="F319" s="5"/>
      <c r="G319" s="5"/>
      <c r="J319" s="3"/>
      <c r="K319" s="3"/>
      <c r="L319" s="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5"/>
      <c r="Y319" s="3"/>
      <c r="Z319" s="3"/>
      <c r="AA319" s="3"/>
      <c r="AB319" s="5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7"/>
      <c r="AV319" s="7"/>
      <c r="AW319" s="7"/>
      <c r="AX319" s="7"/>
      <c r="AY319" s="8"/>
      <c r="AZ319" s="3"/>
      <c r="BA319" s="3"/>
      <c r="BB319" s="3"/>
      <c r="BC319" s="3"/>
    </row>
    <row r="320" spans="1:55" x14ac:dyDescent="0.25">
      <c r="A320" s="2"/>
      <c r="D320" s="3"/>
      <c r="E320" s="4"/>
      <c r="F320" s="5"/>
      <c r="G320" s="5"/>
      <c r="J320" s="3"/>
      <c r="K320" s="3"/>
      <c r="L320" s="6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5"/>
      <c r="Y320" s="3"/>
      <c r="Z320" s="3"/>
      <c r="AA320" s="3"/>
      <c r="AB320" s="5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7"/>
      <c r="AV320" s="7"/>
      <c r="AW320" s="7"/>
      <c r="AX320" s="7"/>
      <c r="AY320" s="8"/>
      <c r="AZ320" s="3"/>
      <c r="BA320" s="3"/>
      <c r="BB320" s="3"/>
      <c r="BC320" s="3"/>
    </row>
    <row r="321" spans="1:55" x14ac:dyDescent="0.25">
      <c r="A321" s="2"/>
      <c r="D321" s="3"/>
      <c r="E321" s="4"/>
      <c r="F321" s="5"/>
      <c r="G321" s="5"/>
      <c r="J321" s="3"/>
      <c r="K321" s="3"/>
      <c r="L321" s="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5"/>
      <c r="Y321" s="3"/>
      <c r="Z321" s="3"/>
      <c r="AA321" s="3"/>
      <c r="AB321" s="5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7"/>
      <c r="AV321" s="7"/>
      <c r="AW321" s="7"/>
      <c r="AX321" s="7"/>
      <c r="AY321" s="8"/>
      <c r="AZ321" s="3"/>
      <c r="BA321" s="3"/>
      <c r="BB321" s="3"/>
      <c r="BC321" s="3"/>
    </row>
    <row r="322" spans="1:55" x14ac:dyDescent="0.25">
      <c r="A322" s="2"/>
      <c r="D322" s="3"/>
      <c r="E322" s="4"/>
      <c r="F322" s="5"/>
      <c r="G322" s="5"/>
      <c r="J322" s="3"/>
      <c r="K322" s="3"/>
      <c r="L322" s="6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5"/>
      <c r="Y322" s="3"/>
      <c r="Z322" s="3"/>
      <c r="AA322" s="3"/>
      <c r="AB322" s="5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7"/>
      <c r="AV322" s="7"/>
      <c r="AW322" s="7"/>
      <c r="AX322" s="7"/>
      <c r="AY322" s="8"/>
      <c r="AZ322" s="3"/>
      <c r="BA322" s="3"/>
      <c r="BB322" s="3"/>
      <c r="BC322" s="3"/>
    </row>
    <row r="323" spans="1:55" x14ac:dyDescent="0.25">
      <c r="A323" s="2"/>
      <c r="D323" s="3"/>
      <c r="E323" s="4"/>
      <c r="F323" s="5"/>
      <c r="G323" s="5"/>
      <c r="J323" s="3"/>
      <c r="K323" s="3"/>
      <c r="L323" s="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5"/>
      <c r="Y323" s="3"/>
      <c r="Z323" s="3"/>
      <c r="AA323" s="3"/>
      <c r="AB323" s="5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7"/>
      <c r="AV323" s="7"/>
      <c r="AW323" s="7"/>
      <c r="AX323" s="7"/>
      <c r="AY323" s="8"/>
      <c r="AZ323" s="3"/>
      <c r="BA323" s="3"/>
      <c r="BB323" s="3"/>
      <c r="BC323" s="3"/>
    </row>
    <row r="324" spans="1:55" x14ac:dyDescent="0.25">
      <c r="A324" s="2"/>
      <c r="D324" s="3"/>
      <c r="E324" s="4"/>
      <c r="F324" s="5"/>
      <c r="G324" s="5"/>
      <c r="J324" s="3"/>
      <c r="K324" s="3"/>
      <c r="L324" s="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5"/>
      <c r="Y324" s="3"/>
      <c r="Z324" s="3"/>
      <c r="AA324" s="3"/>
      <c r="AB324" s="5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7"/>
      <c r="AV324" s="7"/>
      <c r="AW324" s="7"/>
      <c r="AX324" s="7"/>
      <c r="AY324" s="8"/>
      <c r="AZ324" s="3"/>
      <c r="BA324" s="3"/>
      <c r="BB324" s="3"/>
      <c r="BC324" s="3"/>
    </row>
    <row r="325" spans="1:55" x14ac:dyDescent="0.25">
      <c r="A325" s="2"/>
      <c r="D325" s="3"/>
      <c r="E325" s="4"/>
      <c r="F325" s="5"/>
      <c r="G325" s="5"/>
      <c r="J325" s="3"/>
      <c r="K325" s="3"/>
      <c r="L325" s="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5"/>
      <c r="Y325" s="3"/>
      <c r="Z325" s="3"/>
      <c r="AA325" s="3"/>
      <c r="AB325" s="5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7"/>
      <c r="AV325" s="7"/>
      <c r="AW325" s="7"/>
      <c r="AX325" s="7"/>
      <c r="AY325" s="8"/>
      <c r="AZ325" s="3"/>
      <c r="BA325" s="3"/>
      <c r="BB325" s="3"/>
      <c r="BC325" s="3"/>
    </row>
    <row r="326" spans="1:55" x14ac:dyDescent="0.25">
      <c r="A326" s="2"/>
      <c r="D326" s="3"/>
      <c r="E326" s="4"/>
      <c r="F326" s="5"/>
      <c r="G326" s="5"/>
      <c r="J326" s="3"/>
      <c r="K326" s="3"/>
      <c r="L326" s="6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5"/>
      <c r="Y326" s="3"/>
      <c r="Z326" s="3"/>
      <c r="AA326" s="3"/>
      <c r="AB326" s="5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7"/>
      <c r="AV326" s="7"/>
      <c r="AW326" s="7"/>
      <c r="AX326" s="7"/>
      <c r="AY326" s="8"/>
      <c r="AZ326" s="3"/>
      <c r="BA326" s="3"/>
      <c r="BB326" s="3"/>
      <c r="BC326" s="3"/>
    </row>
    <row r="327" spans="1:55" x14ac:dyDescent="0.25">
      <c r="A327" s="2"/>
      <c r="D327" s="3"/>
      <c r="E327" s="4"/>
      <c r="F327" s="5"/>
      <c r="G327" s="5"/>
      <c r="J327" s="3"/>
      <c r="K327" s="3"/>
      <c r="L327" s="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5"/>
      <c r="Y327" s="3"/>
      <c r="Z327" s="3"/>
      <c r="AA327" s="3"/>
      <c r="AB327" s="5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7"/>
      <c r="AV327" s="7"/>
      <c r="AW327" s="7"/>
      <c r="AX327" s="7"/>
      <c r="AY327" s="8"/>
      <c r="AZ327" s="3"/>
      <c r="BA327" s="3"/>
      <c r="BB327" s="3"/>
      <c r="BC327" s="3"/>
    </row>
    <row r="328" spans="1:55" x14ac:dyDescent="0.25">
      <c r="A328" s="2"/>
      <c r="D328" s="3"/>
      <c r="E328" s="4"/>
      <c r="F328" s="5"/>
      <c r="G328" s="5"/>
      <c r="J328" s="3"/>
      <c r="K328" s="3"/>
      <c r="L328" s="6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5"/>
      <c r="Y328" s="3"/>
      <c r="Z328" s="3"/>
      <c r="AA328" s="3"/>
      <c r="AB328" s="5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7"/>
      <c r="AV328" s="7"/>
      <c r="AW328" s="7"/>
      <c r="AX328" s="7"/>
      <c r="AY328" s="8"/>
      <c r="AZ328" s="3"/>
      <c r="BA328" s="3"/>
      <c r="BB328" s="3"/>
      <c r="BC328" s="3"/>
    </row>
    <row r="329" spans="1:55" x14ac:dyDescent="0.25">
      <c r="A329" s="2"/>
      <c r="D329" s="3"/>
      <c r="E329" s="4"/>
      <c r="F329" s="5"/>
      <c r="G329" s="5"/>
      <c r="J329" s="3"/>
      <c r="K329" s="3"/>
      <c r="L329" s="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5"/>
      <c r="Y329" s="3"/>
      <c r="Z329" s="3"/>
      <c r="AA329" s="3"/>
      <c r="AB329" s="5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7"/>
      <c r="AV329" s="7"/>
      <c r="AW329" s="7"/>
      <c r="AX329" s="7"/>
      <c r="AY329" s="8"/>
      <c r="AZ329" s="3"/>
      <c r="BA329" s="3"/>
      <c r="BB329" s="3"/>
      <c r="BC329" s="3"/>
    </row>
    <row r="330" spans="1:55" x14ac:dyDescent="0.25">
      <c r="A330" s="2"/>
      <c r="D330" s="3"/>
      <c r="E330" s="4"/>
      <c r="F330" s="5"/>
      <c r="G330" s="5"/>
      <c r="J330" s="3"/>
      <c r="K330" s="3"/>
      <c r="L330" s="6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5"/>
      <c r="Y330" s="3"/>
      <c r="Z330" s="3"/>
      <c r="AA330" s="3"/>
      <c r="AB330" s="5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7"/>
      <c r="AV330" s="7"/>
      <c r="AW330" s="7"/>
      <c r="AX330" s="7"/>
      <c r="AY330" s="8"/>
      <c r="AZ330" s="3"/>
      <c r="BA330" s="3"/>
      <c r="BB330" s="3"/>
      <c r="BC330" s="3"/>
    </row>
    <row r="331" spans="1:55" x14ac:dyDescent="0.25">
      <c r="A331" s="2"/>
      <c r="D331" s="3"/>
      <c r="E331" s="4"/>
      <c r="F331" s="5"/>
      <c r="G331" s="5"/>
      <c r="J331" s="3"/>
      <c r="K331" s="3"/>
      <c r="L331" s="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5"/>
      <c r="Y331" s="3"/>
      <c r="Z331" s="3"/>
      <c r="AA331" s="3"/>
      <c r="AB331" s="5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7"/>
      <c r="AV331" s="7"/>
      <c r="AW331" s="7"/>
      <c r="AX331" s="7"/>
      <c r="AY331" s="8"/>
      <c r="AZ331" s="3"/>
      <c r="BA331" s="3"/>
      <c r="BB331" s="3"/>
      <c r="BC331" s="3"/>
    </row>
    <row r="332" spans="1:55" x14ac:dyDescent="0.25">
      <c r="A332" s="2"/>
      <c r="D332" s="3"/>
      <c r="E332" s="4"/>
      <c r="F332" s="5"/>
      <c r="G332" s="5"/>
      <c r="J332" s="3"/>
      <c r="K332" s="3"/>
      <c r="L332" s="6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5"/>
      <c r="Y332" s="3"/>
      <c r="Z332" s="3"/>
      <c r="AA332" s="3"/>
      <c r="AB332" s="5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7"/>
      <c r="AV332" s="7"/>
      <c r="AW332" s="7"/>
      <c r="AX332" s="7"/>
      <c r="AY332" s="8"/>
      <c r="AZ332" s="3"/>
      <c r="BA332" s="3"/>
      <c r="BB332" s="3"/>
      <c r="BC332" s="3"/>
    </row>
    <row r="333" spans="1:55" x14ac:dyDescent="0.25">
      <c r="A333" s="2"/>
      <c r="D333" s="3"/>
      <c r="E333" s="4"/>
      <c r="F333" s="5"/>
      <c r="G333" s="5"/>
      <c r="J333" s="3"/>
      <c r="K333" s="3"/>
      <c r="L333" s="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5"/>
      <c r="Y333" s="3"/>
      <c r="Z333" s="3"/>
      <c r="AA333" s="3"/>
      <c r="AB333" s="5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7"/>
      <c r="AV333" s="7"/>
      <c r="AW333" s="7"/>
      <c r="AX333" s="7"/>
      <c r="AY333" s="8"/>
      <c r="AZ333" s="3"/>
      <c r="BA333" s="3"/>
      <c r="BB333" s="3"/>
      <c r="BC333" s="3"/>
    </row>
    <row r="334" spans="1:55" x14ac:dyDescent="0.25">
      <c r="A334" s="2"/>
      <c r="D334" s="3"/>
      <c r="E334" s="4"/>
      <c r="F334" s="5"/>
      <c r="G334" s="5"/>
      <c r="J334" s="3"/>
      <c r="K334" s="3"/>
      <c r="L334" s="6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5"/>
      <c r="Y334" s="3"/>
      <c r="Z334" s="3"/>
      <c r="AA334" s="3"/>
      <c r="AB334" s="5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7"/>
      <c r="AV334" s="7"/>
      <c r="AW334" s="7"/>
      <c r="AX334" s="7"/>
      <c r="AY334" s="8"/>
      <c r="AZ334" s="3"/>
      <c r="BA334" s="3"/>
      <c r="BB334" s="3"/>
      <c r="BC334" s="3"/>
    </row>
    <row r="335" spans="1:55" x14ac:dyDescent="0.25">
      <c r="A335" s="2"/>
      <c r="D335" s="3"/>
      <c r="E335" s="4"/>
      <c r="F335" s="5"/>
      <c r="G335" s="5"/>
      <c r="J335" s="3"/>
      <c r="K335" s="3"/>
      <c r="L335" s="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5"/>
      <c r="Y335" s="3"/>
      <c r="Z335" s="3"/>
      <c r="AA335" s="3"/>
      <c r="AB335" s="5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7"/>
      <c r="AV335" s="7"/>
      <c r="AW335" s="7"/>
      <c r="AX335" s="7"/>
      <c r="AY335" s="8"/>
      <c r="AZ335" s="3"/>
      <c r="BA335" s="3"/>
      <c r="BB335" s="3"/>
      <c r="BC335" s="3"/>
    </row>
    <row r="336" spans="1:55" x14ac:dyDescent="0.25">
      <c r="A336" s="2"/>
      <c r="D336" s="3"/>
      <c r="E336" s="4"/>
      <c r="F336" s="5"/>
      <c r="G336" s="5"/>
      <c r="J336" s="3"/>
      <c r="K336" s="3"/>
      <c r="L336" s="6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5"/>
      <c r="Y336" s="3"/>
      <c r="Z336" s="3"/>
      <c r="AA336" s="3"/>
      <c r="AB336" s="5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7"/>
      <c r="AV336" s="7"/>
      <c r="AW336" s="7"/>
      <c r="AX336" s="7"/>
      <c r="AY336" s="8"/>
      <c r="AZ336" s="3"/>
      <c r="BA336" s="3"/>
      <c r="BB336" s="3"/>
      <c r="BC336" s="3"/>
    </row>
    <row r="337" spans="1:55" x14ac:dyDescent="0.25">
      <c r="A337" s="2"/>
      <c r="D337" s="3"/>
      <c r="E337" s="4"/>
      <c r="F337" s="5"/>
      <c r="G337" s="5"/>
      <c r="J337" s="3"/>
      <c r="K337" s="3"/>
      <c r="L337" s="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5"/>
      <c r="Y337" s="3"/>
      <c r="Z337" s="3"/>
      <c r="AA337" s="3"/>
      <c r="AB337" s="5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7"/>
      <c r="AV337" s="7"/>
      <c r="AW337" s="7"/>
      <c r="AX337" s="7"/>
      <c r="AY337" s="8"/>
      <c r="AZ337" s="3"/>
      <c r="BA337" s="3"/>
      <c r="BB337" s="3"/>
      <c r="BC337" s="3"/>
    </row>
    <row r="338" spans="1:55" x14ac:dyDescent="0.25">
      <c r="A338" s="2"/>
      <c r="D338" s="3"/>
      <c r="E338" s="4"/>
      <c r="F338" s="5"/>
      <c r="G338" s="5"/>
      <c r="J338" s="3"/>
      <c r="K338" s="3"/>
      <c r="L338" s="6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5"/>
      <c r="Y338" s="3"/>
      <c r="Z338" s="3"/>
      <c r="AA338" s="3"/>
      <c r="AB338" s="5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7"/>
      <c r="AV338" s="7"/>
      <c r="AW338" s="7"/>
      <c r="AX338" s="7"/>
      <c r="AY338" s="8"/>
      <c r="AZ338" s="3"/>
      <c r="BA338" s="3"/>
      <c r="BB338" s="3"/>
      <c r="BC338" s="3"/>
    </row>
    <row r="339" spans="1:55" x14ac:dyDescent="0.25">
      <c r="A339" s="2"/>
      <c r="D339" s="3"/>
      <c r="E339" s="4"/>
      <c r="F339" s="5"/>
      <c r="G339" s="5"/>
      <c r="J339" s="3"/>
      <c r="K339" s="3"/>
      <c r="L339" s="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5"/>
      <c r="Y339" s="3"/>
      <c r="Z339" s="3"/>
      <c r="AA339" s="3"/>
      <c r="AB339" s="5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7"/>
      <c r="AV339" s="7"/>
      <c r="AW339" s="7"/>
      <c r="AX339" s="7"/>
      <c r="AY339" s="8"/>
      <c r="AZ339" s="3"/>
      <c r="BA339" s="3"/>
      <c r="BB339" s="3"/>
      <c r="BC339" s="3"/>
    </row>
    <row r="340" spans="1:55" x14ac:dyDescent="0.25">
      <c r="A340" s="2"/>
      <c r="D340" s="3"/>
      <c r="E340" s="4"/>
      <c r="F340" s="5"/>
      <c r="G340" s="5"/>
      <c r="J340" s="3"/>
      <c r="K340" s="3"/>
      <c r="L340" s="6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5"/>
      <c r="Y340" s="3"/>
      <c r="Z340" s="3"/>
      <c r="AA340" s="3"/>
      <c r="AB340" s="5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7"/>
      <c r="AV340" s="7"/>
      <c r="AW340" s="7"/>
      <c r="AX340" s="7"/>
      <c r="AY340" s="8"/>
      <c r="AZ340" s="3"/>
      <c r="BA340" s="3"/>
      <c r="BB340" s="3"/>
      <c r="BC340" s="3"/>
    </row>
    <row r="341" spans="1:55" x14ac:dyDescent="0.25">
      <c r="A341" s="2"/>
      <c r="D341" s="3"/>
      <c r="E341" s="4"/>
      <c r="F341" s="5"/>
      <c r="G341" s="5"/>
      <c r="J341" s="3"/>
      <c r="K341" s="3"/>
      <c r="L341" s="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5"/>
      <c r="Y341" s="3"/>
      <c r="Z341" s="3"/>
      <c r="AA341" s="3"/>
      <c r="AB341" s="5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7"/>
      <c r="AV341" s="7"/>
      <c r="AW341" s="7"/>
      <c r="AX341" s="7"/>
      <c r="AY341" s="8"/>
      <c r="AZ341" s="3"/>
      <c r="BA341" s="3"/>
      <c r="BB341" s="3"/>
      <c r="BC341" s="3"/>
    </row>
    <row r="342" spans="1:55" x14ac:dyDescent="0.25">
      <c r="A342" s="2"/>
      <c r="D342" s="3"/>
      <c r="E342" s="4"/>
      <c r="F342" s="5"/>
      <c r="G342" s="5"/>
      <c r="J342" s="3"/>
      <c r="K342" s="3"/>
      <c r="L342" s="6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5"/>
      <c r="Y342" s="3"/>
      <c r="Z342" s="3"/>
      <c r="AA342" s="3"/>
      <c r="AB342" s="5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7"/>
      <c r="AV342" s="7"/>
      <c r="AW342" s="7"/>
      <c r="AX342" s="7"/>
      <c r="AY342" s="8"/>
      <c r="AZ342" s="3"/>
      <c r="BA342" s="3"/>
      <c r="BB342" s="3"/>
      <c r="BC342" s="3"/>
    </row>
    <row r="343" spans="1:55" x14ac:dyDescent="0.25">
      <c r="A343" s="2"/>
      <c r="D343" s="3"/>
      <c r="E343" s="4"/>
      <c r="F343" s="5"/>
      <c r="G343" s="5"/>
      <c r="J343" s="3"/>
      <c r="K343" s="3"/>
      <c r="L343" s="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5"/>
      <c r="Y343" s="3"/>
      <c r="Z343" s="3"/>
      <c r="AA343" s="3"/>
      <c r="AB343" s="5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7"/>
      <c r="AV343" s="7"/>
      <c r="AW343" s="7"/>
      <c r="AX343" s="7"/>
      <c r="AY343" s="8"/>
      <c r="AZ343" s="3"/>
      <c r="BA343" s="3"/>
      <c r="BB343" s="3"/>
      <c r="BC343" s="3"/>
    </row>
    <row r="344" spans="1:55" x14ac:dyDescent="0.25">
      <c r="A344" s="2"/>
      <c r="D344" s="3"/>
      <c r="E344" s="4"/>
      <c r="F344" s="5"/>
      <c r="G344" s="5"/>
      <c r="J344" s="3"/>
      <c r="K344" s="3"/>
      <c r="L344" s="6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5"/>
      <c r="Y344" s="3"/>
      <c r="Z344" s="3"/>
      <c r="AA344" s="3"/>
      <c r="AB344" s="5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7"/>
      <c r="AV344" s="7"/>
      <c r="AW344" s="7"/>
      <c r="AX344" s="7"/>
      <c r="AY344" s="8"/>
      <c r="AZ344" s="3"/>
      <c r="BA344" s="3"/>
      <c r="BB344" s="3"/>
      <c r="BC344" s="3"/>
    </row>
    <row r="345" spans="1:55" x14ac:dyDescent="0.25">
      <c r="A345" s="2"/>
      <c r="D345" s="3"/>
      <c r="E345" s="4"/>
      <c r="F345" s="5"/>
      <c r="G345" s="5"/>
      <c r="J345" s="3"/>
      <c r="K345" s="3"/>
      <c r="L345" s="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5"/>
      <c r="Y345" s="3"/>
      <c r="Z345" s="3"/>
      <c r="AA345" s="3"/>
      <c r="AB345" s="5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7"/>
      <c r="AV345" s="7"/>
      <c r="AW345" s="7"/>
      <c r="AX345" s="7"/>
      <c r="AY345" s="8"/>
      <c r="AZ345" s="3"/>
      <c r="BA345" s="3"/>
      <c r="BB345" s="3"/>
      <c r="BC345" s="3"/>
    </row>
    <row r="346" spans="1:55" x14ac:dyDescent="0.25">
      <c r="A346" s="2"/>
      <c r="D346" s="3"/>
      <c r="E346" s="4"/>
      <c r="F346" s="5"/>
      <c r="G346" s="5"/>
      <c r="J346" s="3"/>
      <c r="K346" s="3"/>
      <c r="L346" s="6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5"/>
      <c r="Y346" s="3"/>
      <c r="Z346" s="3"/>
      <c r="AA346" s="3"/>
      <c r="AB346" s="5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7"/>
      <c r="AV346" s="7"/>
      <c r="AW346" s="7"/>
      <c r="AX346" s="7"/>
      <c r="AY346" s="8"/>
      <c r="AZ346" s="3"/>
      <c r="BA346" s="3"/>
      <c r="BB346" s="3"/>
      <c r="BC346" s="3"/>
    </row>
    <row r="347" spans="1:55" x14ac:dyDescent="0.25">
      <c r="A347" s="2"/>
      <c r="D347" s="3"/>
      <c r="E347" s="4"/>
      <c r="F347" s="5"/>
      <c r="G347" s="5"/>
      <c r="J347" s="3"/>
      <c r="K347" s="3"/>
      <c r="L347" s="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5"/>
      <c r="Y347" s="3"/>
      <c r="Z347" s="3"/>
      <c r="AA347" s="3"/>
      <c r="AB347" s="5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7"/>
      <c r="AV347" s="7"/>
      <c r="AW347" s="7"/>
      <c r="AX347" s="7"/>
      <c r="AY347" s="8"/>
      <c r="AZ347" s="3"/>
      <c r="BA347" s="3"/>
      <c r="BB347" s="3"/>
      <c r="BC347" s="3"/>
    </row>
    <row r="348" spans="1:55" x14ac:dyDescent="0.25">
      <c r="A348" s="2"/>
      <c r="D348" s="3"/>
      <c r="E348" s="4"/>
      <c r="F348" s="5"/>
      <c r="G348" s="5"/>
      <c r="J348" s="3"/>
      <c r="K348" s="3"/>
      <c r="L348" s="6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5"/>
      <c r="Y348" s="3"/>
      <c r="Z348" s="3"/>
      <c r="AA348" s="3"/>
      <c r="AB348" s="5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7"/>
      <c r="AV348" s="7"/>
      <c r="AW348" s="7"/>
      <c r="AX348" s="7"/>
      <c r="AY348" s="8"/>
      <c r="AZ348" s="3"/>
      <c r="BA348" s="3"/>
      <c r="BB348" s="3"/>
      <c r="BC348" s="3"/>
    </row>
    <row r="349" spans="1:55" x14ac:dyDescent="0.25">
      <c r="A349" s="2"/>
      <c r="D349" s="3"/>
      <c r="E349" s="4"/>
      <c r="F349" s="5"/>
      <c r="G349" s="5"/>
      <c r="J349" s="3"/>
      <c r="K349" s="3"/>
      <c r="L349" s="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5"/>
      <c r="Y349" s="3"/>
      <c r="Z349" s="3"/>
      <c r="AA349" s="3"/>
      <c r="AB349" s="5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7"/>
      <c r="AV349" s="7"/>
      <c r="AW349" s="7"/>
      <c r="AX349" s="7"/>
      <c r="AY349" s="8"/>
      <c r="AZ349" s="3"/>
      <c r="BA349" s="3"/>
      <c r="BB349" s="3"/>
      <c r="BC349" s="3"/>
    </row>
    <row r="350" spans="1:55" x14ac:dyDescent="0.25">
      <c r="A350" s="2"/>
      <c r="D350" s="3"/>
      <c r="E350" s="4"/>
      <c r="F350" s="5"/>
      <c r="G350" s="5"/>
      <c r="J350" s="3"/>
      <c r="K350" s="3"/>
      <c r="L350" s="6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5"/>
      <c r="Y350" s="3"/>
      <c r="Z350" s="3"/>
      <c r="AA350" s="3"/>
      <c r="AB350" s="5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7"/>
      <c r="AV350" s="7"/>
      <c r="AW350" s="7"/>
      <c r="AX350" s="7"/>
      <c r="AY350" s="8"/>
      <c r="AZ350" s="3"/>
      <c r="BA350" s="3"/>
      <c r="BB350" s="3"/>
      <c r="BC350" s="3"/>
    </row>
    <row r="351" spans="1:55" x14ac:dyDescent="0.25">
      <c r="A351" s="2"/>
      <c r="D351" s="3"/>
      <c r="E351" s="4"/>
      <c r="F351" s="5"/>
      <c r="G351" s="5"/>
      <c r="J351" s="3"/>
      <c r="K351" s="3"/>
      <c r="L351" s="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5"/>
      <c r="Y351" s="3"/>
      <c r="Z351" s="3"/>
      <c r="AA351" s="3"/>
      <c r="AB351" s="5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7"/>
      <c r="AV351" s="7"/>
      <c r="AW351" s="7"/>
      <c r="AX351" s="7"/>
      <c r="AY351" s="8"/>
      <c r="AZ351" s="3"/>
      <c r="BA351" s="3"/>
      <c r="BB351" s="3"/>
      <c r="BC351" s="3"/>
    </row>
    <row r="352" spans="1:55" x14ac:dyDescent="0.25">
      <c r="A352" s="2"/>
      <c r="D352" s="3"/>
      <c r="E352" s="4"/>
      <c r="F352" s="5"/>
      <c r="G352" s="5"/>
      <c r="J352" s="3"/>
      <c r="K352" s="3"/>
      <c r="L352" s="6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5"/>
      <c r="Y352" s="3"/>
      <c r="Z352" s="3"/>
      <c r="AA352" s="3"/>
      <c r="AB352" s="5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7"/>
      <c r="AV352" s="7"/>
      <c r="AW352" s="7"/>
      <c r="AX352" s="7"/>
      <c r="AY352" s="8"/>
      <c r="AZ352" s="3"/>
      <c r="BA352" s="3"/>
      <c r="BB352" s="3"/>
      <c r="BC352" s="3"/>
    </row>
    <row r="353" spans="1:55" x14ac:dyDescent="0.25">
      <c r="A353" s="2"/>
      <c r="D353" s="3"/>
      <c r="E353" s="4"/>
      <c r="F353" s="5"/>
      <c r="G353" s="5"/>
      <c r="J353" s="3"/>
      <c r="K353" s="3"/>
      <c r="L353" s="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5"/>
      <c r="Y353" s="3"/>
      <c r="Z353" s="3"/>
      <c r="AA353" s="3"/>
      <c r="AB353" s="5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7"/>
      <c r="AV353" s="7"/>
      <c r="AW353" s="7"/>
      <c r="AX353" s="7"/>
      <c r="AY353" s="8"/>
      <c r="AZ353" s="3"/>
      <c r="BA353" s="3"/>
      <c r="BB353" s="3"/>
      <c r="BC353" s="3"/>
    </row>
    <row r="354" spans="1:55" x14ac:dyDescent="0.25">
      <c r="A354" s="2"/>
      <c r="D354" s="3"/>
      <c r="E354" s="4"/>
      <c r="F354" s="5"/>
      <c r="G354" s="5"/>
      <c r="J354" s="3"/>
      <c r="K354" s="3"/>
      <c r="L354" s="6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5"/>
      <c r="Y354" s="3"/>
      <c r="Z354" s="3"/>
      <c r="AA354" s="3"/>
      <c r="AB354" s="5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7"/>
      <c r="AV354" s="7"/>
      <c r="AW354" s="7"/>
      <c r="AX354" s="7"/>
      <c r="AY354" s="8"/>
      <c r="AZ354" s="3"/>
      <c r="BA354" s="3"/>
      <c r="BB354" s="3"/>
      <c r="BC354" s="3"/>
    </row>
    <row r="355" spans="1:55" x14ac:dyDescent="0.25">
      <c r="A355" s="2"/>
      <c r="D355" s="3"/>
      <c r="E355" s="4"/>
      <c r="F355" s="5"/>
      <c r="G355" s="5"/>
      <c r="J355" s="3"/>
      <c r="K355" s="3"/>
      <c r="L355" s="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5"/>
      <c r="Y355" s="3"/>
      <c r="Z355" s="3"/>
      <c r="AA355" s="3"/>
      <c r="AB355" s="5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7"/>
      <c r="AV355" s="7"/>
      <c r="AW355" s="7"/>
      <c r="AX355" s="7"/>
      <c r="AY355" s="8"/>
      <c r="AZ355" s="3"/>
      <c r="BA355" s="3"/>
      <c r="BB355" s="3"/>
      <c r="BC355" s="3"/>
    </row>
    <row r="356" spans="1:55" x14ac:dyDescent="0.25">
      <c r="A356" s="2"/>
      <c r="D356" s="3"/>
      <c r="E356" s="4"/>
      <c r="F356" s="5"/>
      <c r="G356" s="5"/>
      <c r="J356" s="3"/>
      <c r="K356" s="3"/>
      <c r="L356" s="6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5"/>
      <c r="Y356" s="3"/>
      <c r="Z356" s="3"/>
      <c r="AA356" s="3"/>
      <c r="AB356" s="5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7"/>
      <c r="AV356" s="7"/>
      <c r="AW356" s="7"/>
      <c r="AX356" s="7"/>
      <c r="AY356" s="8"/>
      <c r="AZ356" s="3"/>
      <c r="BA356" s="3"/>
      <c r="BB356" s="3"/>
      <c r="BC356" s="3"/>
    </row>
    <row r="357" spans="1:55" x14ac:dyDescent="0.25">
      <c r="A357" s="2"/>
      <c r="D357" s="3"/>
      <c r="E357" s="4"/>
      <c r="F357" s="5"/>
      <c r="G357" s="5"/>
      <c r="J357" s="3"/>
      <c r="K357" s="3"/>
      <c r="L357" s="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5"/>
      <c r="Y357" s="3"/>
      <c r="Z357" s="3"/>
      <c r="AA357" s="3"/>
      <c r="AB357" s="5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7"/>
      <c r="AV357" s="7"/>
      <c r="AW357" s="7"/>
      <c r="AX357" s="7"/>
      <c r="AY357" s="8"/>
      <c r="AZ357" s="3"/>
      <c r="BA357" s="3"/>
      <c r="BB357" s="3"/>
      <c r="BC357" s="3"/>
    </row>
    <row r="358" spans="1:55" x14ac:dyDescent="0.25">
      <c r="A358" s="2"/>
      <c r="D358" s="3"/>
      <c r="E358" s="4"/>
      <c r="F358" s="5"/>
      <c r="G358" s="5"/>
      <c r="J358" s="3"/>
      <c r="K358" s="3"/>
      <c r="L358" s="6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5"/>
      <c r="Y358" s="3"/>
      <c r="Z358" s="3"/>
      <c r="AA358" s="3"/>
      <c r="AB358" s="5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7"/>
      <c r="AV358" s="7"/>
      <c r="AW358" s="7"/>
      <c r="AX358" s="7"/>
      <c r="AY358" s="8"/>
      <c r="AZ358" s="3"/>
      <c r="BA358" s="3"/>
      <c r="BB358" s="3"/>
      <c r="BC358" s="3"/>
    </row>
    <row r="359" spans="1:55" x14ac:dyDescent="0.25">
      <c r="A359" s="2"/>
      <c r="D359" s="3"/>
      <c r="E359" s="4"/>
      <c r="F359" s="5"/>
      <c r="G359" s="5"/>
      <c r="J359" s="3"/>
      <c r="K359" s="3"/>
      <c r="L359" s="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5"/>
      <c r="Y359" s="3"/>
      <c r="Z359" s="3"/>
      <c r="AA359" s="3"/>
      <c r="AB359" s="5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7"/>
      <c r="AV359" s="7"/>
      <c r="AW359" s="7"/>
      <c r="AX359" s="7"/>
      <c r="AY359" s="8"/>
      <c r="AZ359" s="3"/>
      <c r="BA359" s="3"/>
      <c r="BB359" s="3"/>
      <c r="BC359" s="3"/>
    </row>
    <row r="360" spans="1:55" x14ac:dyDescent="0.25">
      <c r="A360" s="2"/>
      <c r="D360" s="3"/>
      <c r="E360" s="4"/>
      <c r="F360" s="5"/>
      <c r="G360" s="5"/>
      <c r="J360" s="3"/>
      <c r="K360" s="3"/>
      <c r="L360" s="6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5"/>
      <c r="Y360" s="3"/>
      <c r="Z360" s="3"/>
      <c r="AA360" s="3"/>
      <c r="AB360" s="5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7"/>
      <c r="AV360" s="7"/>
      <c r="AW360" s="7"/>
      <c r="AX360" s="7"/>
      <c r="AY360" s="8"/>
      <c r="AZ360" s="3"/>
      <c r="BA360" s="3"/>
      <c r="BB360" s="3"/>
      <c r="BC360" s="3"/>
    </row>
    <row r="361" spans="1:55" x14ac:dyDescent="0.25">
      <c r="A361" s="2"/>
      <c r="D361" s="3"/>
      <c r="E361" s="4"/>
      <c r="F361" s="5"/>
      <c r="G361" s="5"/>
      <c r="J361" s="3"/>
      <c r="K361" s="3"/>
      <c r="L361" s="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5"/>
      <c r="Y361" s="3"/>
      <c r="Z361" s="3"/>
      <c r="AA361" s="3"/>
      <c r="AB361" s="5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7"/>
      <c r="AV361" s="7"/>
      <c r="AW361" s="7"/>
      <c r="AX361" s="7"/>
      <c r="AY361" s="8"/>
      <c r="AZ361" s="3"/>
      <c r="BA361" s="3"/>
      <c r="BB361" s="3"/>
      <c r="BC361" s="3"/>
    </row>
    <row r="362" spans="1:55" x14ac:dyDescent="0.25">
      <c r="A362" s="2"/>
      <c r="D362" s="3"/>
      <c r="E362" s="4"/>
      <c r="F362" s="5"/>
      <c r="G362" s="5"/>
      <c r="J362" s="3"/>
      <c r="K362" s="3"/>
      <c r="L362" s="6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5"/>
      <c r="Y362" s="3"/>
      <c r="Z362" s="3"/>
      <c r="AA362" s="3"/>
      <c r="AB362" s="5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7"/>
      <c r="AV362" s="7"/>
      <c r="AW362" s="7"/>
      <c r="AX362" s="7"/>
      <c r="AY362" s="8"/>
      <c r="AZ362" s="3"/>
      <c r="BA362" s="3"/>
      <c r="BB362" s="3"/>
      <c r="BC362" s="3"/>
    </row>
    <row r="363" spans="1:55" x14ac:dyDescent="0.25">
      <c r="A363" s="2"/>
      <c r="D363" s="3"/>
      <c r="E363" s="4"/>
      <c r="F363" s="5"/>
      <c r="G363" s="5"/>
      <c r="J363" s="3"/>
      <c r="K363" s="3"/>
      <c r="L363" s="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5"/>
      <c r="Y363" s="3"/>
      <c r="Z363" s="3"/>
      <c r="AA363" s="3"/>
      <c r="AB363" s="5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7"/>
      <c r="AV363" s="7"/>
      <c r="AW363" s="7"/>
      <c r="AX363" s="7"/>
      <c r="AY363" s="8"/>
      <c r="AZ363" s="3"/>
      <c r="BA363" s="3"/>
      <c r="BB363" s="3"/>
      <c r="BC363" s="3"/>
    </row>
    <row r="364" spans="1:55" x14ac:dyDescent="0.25">
      <c r="A364" s="2"/>
      <c r="D364" s="3"/>
      <c r="E364" s="4"/>
      <c r="F364" s="5"/>
      <c r="G364" s="5"/>
      <c r="J364" s="3"/>
      <c r="K364" s="3"/>
      <c r="L364" s="6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5"/>
      <c r="Y364" s="3"/>
      <c r="Z364" s="3"/>
      <c r="AA364" s="3"/>
      <c r="AB364" s="5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7"/>
      <c r="AV364" s="7"/>
      <c r="AW364" s="7"/>
      <c r="AX364" s="7"/>
      <c r="AY364" s="8"/>
      <c r="AZ364" s="3"/>
      <c r="BA364" s="3"/>
      <c r="BB364" s="3"/>
      <c r="BC364" s="3"/>
    </row>
    <row r="365" spans="1:55" x14ac:dyDescent="0.25">
      <c r="A365" s="2"/>
      <c r="D365" s="3"/>
      <c r="E365" s="4"/>
      <c r="F365" s="5"/>
      <c r="G365" s="5"/>
      <c r="J365" s="3"/>
      <c r="K365" s="3"/>
      <c r="L365" s="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5"/>
      <c r="Y365" s="3"/>
      <c r="Z365" s="3"/>
      <c r="AA365" s="3"/>
      <c r="AB365" s="5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7"/>
      <c r="AV365" s="7"/>
      <c r="AW365" s="7"/>
      <c r="AX365" s="7"/>
      <c r="AY365" s="8"/>
      <c r="AZ365" s="3"/>
      <c r="BA365" s="3"/>
      <c r="BB365" s="3"/>
      <c r="BC365" s="3"/>
    </row>
    <row r="366" spans="1:55" x14ac:dyDescent="0.25">
      <c r="A366" s="2"/>
      <c r="D366" s="3"/>
      <c r="E366" s="4"/>
      <c r="F366" s="5"/>
      <c r="G366" s="5"/>
      <c r="J366" s="3"/>
      <c r="K366" s="3"/>
      <c r="L366" s="6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5"/>
      <c r="Y366" s="3"/>
      <c r="Z366" s="3"/>
      <c r="AA366" s="3"/>
      <c r="AB366" s="5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7"/>
      <c r="AV366" s="7"/>
      <c r="AW366" s="7"/>
      <c r="AX366" s="7"/>
      <c r="AY366" s="8"/>
      <c r="AZ366" s="3"/>
      <c r="BA366" s="3"/>
      <c r="BB366" s="3"/>
      <c r="BC366" s="3"/>
    </row>
    <row r="367" spans="1:55" x14ac:dyDescent="0.25">
      <c r="A367" s="2"/>
      <c r="D367" s="3"/>
      <c r="E367" s="4"/>
      <c r="F367" s="5"/>
      <c r="G367" s="5"/>
      <c r="J367" s="3"/>
      <c r="K367" s="3"/>
      <c r="L367" s="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5"/>
      <c r="Y367" s="3"/>
      <c r="Z367" s="3"/>
      <c r="AA367" s="3"/>
      <c r="AB367" s="5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7"/>
      <c r="AV367" s="7"/>
      <c r="AW367" s="7"/>
      <c r="AX367" s="7"/>
      <c r="AY367" s="8"/>
      <c r="AZ367" s="3"/>
      <c r="BA367" s="3"/>
      <c r="BB367" s="3"/>
      <c r="BC367" s="3"/>
    </row>
    <row r="368" spans="1:55" x14ac:dyDescent="0.25">
      <c r="A368" s="2"/>
      <c r="D368" s="3"/>
      <c r="E368" s="4"/>
      <c r="F368" s="5"/>
      <c r="G368" s="5"/>
      <c r="J368" s="3"/>
      <c r="K368" s="3"/>
      <c r="L368" s="6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5"/>
      <c r="Y368" s="3"/>
      <c r="Z368" s="3"/>
      <c r="AA368" s="3"/>
      <c r="AB368" s="5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7"/>
      <c r="AV368" s="7"/>
      <c r="AW368" s="7"/>
      <c r="AX368" s="7"/>
      <c r="AY368" s="8"/>
      <c r="AZ368" s="3"/>
      <c r="BA368" s="3"/>
      <c r="BB368" s="3"/>
      <c r="BC368" s="3"/>
    </row>
    <row r="369" spans="1:55" x14ac:dyDescent="0.25">
      <c r="A369" s="2"/>
      <c r="D369" s="3"/>
      <c r="E369" s="4"/>
      <c r="F369" s="5"/>
      <c r="G369" s="5"/>
      <c r="J369" s="3"/>
      <c r="K369" s="3"/>
      <c r="L369" s="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5"/>
      <c r="Y369" s="3"/>
      <c r="Z369" s="3"/>
      <c r="AA369" s="3"/>
      <c r="AB369" s="5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7"/>
      <c r="AV369" s="7"/>
      <c r="AW369" s="7"/>
      <c r="AX369" s="7"/>
      <c r="AY369" s="8"/>
      <c r="AZ369" s="3"/>
      <c r="BA369" s="3"/>
      <c r="BB369" s="3"/>
      <c r="BC369" s="3"/>
    </row>
    <row r="370" spans="1:55" x14ac:dyDescent="0.25">
      <c r="A370" s="2"/>
      <c r="D370" s="3"/>
      <c r="E370" s="4"/>
      <c r="F370" s="5"/>
      <c r="G370" s="5"/>
      <c r="J370" s="3"/>
      <c r="K370" s="3"/>
      <c r="L370" s="6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5"/>
      <c r="Y370" s="3"/>
      <c r="Z370" s="3"/>
      <c r="AA370" s="3"/>
      <c r="AB370" s="5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7"/>
      <c r="AV370" s="7"/>
      <c r="AW370" s="7"/>
      <c r="AX370" s="7"/>
      <c r="AY370" s="8"/>
      <c r="AZ370" s="3"/>
      <c r="BA370" s="3"/>
      <c r="BB370" s="3"/>
      <c r="BC370" s="3"/>
    </row>
    <row r="371" spans="1:55" x14ac:dyDescent="0.25">
      <c r="A371" s="2"/>
      <c r="D371" s="3"/>
      <c r="E371" s="4"/>
      <c r="F371" s="5"/>
      <c r="G371" s="5"/>
      <c r="J371" s="3"/>
      <c r="K371" s="3"/>
      <c r="L371" s="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5"/>
      <c r="Y371" s="3"/>
      <c r="Z371" s="3"/>
      <c r="AA371" s="3"/>
      <c r="AB371" s="5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7"/>
      <c r="AV371" s="7"/>
      <c r="AW371" s="7"/>
      <c r="AX371" s="7"/>
      <c r="AY371" s="8"/>
      <c r="AZ371" s="3"/>
      <c r="BA371" s="3"/>
      <c r="BB371" s="3"/>
      <c r="BC371" s="3"/>
    </row>
    <row r="372" spans="1:55" x14ac:dyDescent="0.25">
      <c r="A372" s="2"/>
      <c r="D372" s="3"/>
      <c r="E372" s="4"/>
      <c r="F372" s="5"/>
      <c r="G372" s="5"/>
      <c r="J372" s="3"/>
      <c r="K372" s="3"/>
      <c r="L372" s="6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5"/>
      <c r="Y372" s="3"/>
      <c r="Z372" s="3"/>
      <c r="AA372" s="3"/>
      <c r="AB372" s="5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7"/>
      <c r="AV372" s="7"/>
      <c r="AW372" s="7"/>
      <c r="AX372" s="7"/>
      <c r="AY372" s="8"/>
      <c r="AZ372" s="3"/>
      <c r="BA372" s="3"/>
      <c r="BB372" s="3"/>
      <c r="BC372" s="3"/>
    </row>
    <row r="373" spans="1:55" x14ac:dyDescent="0.25">
      <c r="A373" s="2"/>
      <c r="D373" s="3"/>
      <c r="E373" s="4"/>
      <c r="F373" s="5"/>
      <c r="G373" s="5"/>
      <c r="J373" s="3"/>
      <c r="K373" s="3"/>
      <c r="L373" s="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5"/>
      <c r="Y373" s="3"/>
      <c r="Z373" s="3"/>
      <c r="AA373" s="3"/>
      <c r="AB373" s="5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7"/>
      <c r="AV373" s="7"/>
      <c r="AW373" s="7"/>
      <c r="AX373" s="7"/>
      <c r="AY373" s="8"/>
      <c r="AZ373" s="3"/>
      <c r="BA373" s="3"/>
      <c r="BB373" s="3"/>
      <c r="BC373" s="3"/>
    </row>
    <row r="374" spans="1:55" x14ac:dyDescent="0.25">
      <c r="A374" s="2"/>
      <c r="D374" s="3"/>
      <c r="E374" s="4"/>
      <c r="F374" s="5"/>
      <c r="G374" s="5"/>
      <c r="J374" s="3"/>
      <c r="K374" s="3"/>
      <c r="L374" s="6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5"/>
      <c r="Y374" s="3"/>
      <c r="Z374" s="3"/>
      <c r="AA374" s="3"/>
      <c r="AB374" s="5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7"/>
      <c r="AV374" s="7"/>
      <c r="AW374" s="7"/>
      <c r="AX374" s="7"/>
      <c r="AY374" s="8"/>
      <c r="AZ374" s="3"/>
      <c r="BA374" s="3"/>
      <c r="BB374" s="3"/>
      <c r="BC374" s="3"/>
    </row>
    <row r="375" spans="1:55" x14ac:dyDescent="0.25">
      <c r="A375" s="2"/>
      <c r="D375" s="3"/>
      <c r="E375" s="4"/>
      <c r="F375" s="5"/>
      <c r="G375" s="5"/>
      <c r="J375" s="3"/>
      <c r="K375" s="3"/>
      <c r="L375" s="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5"/>
      <c r="Y375" s="3"/>
      <c r="Z375" s="3"/>
      <c r="AA375" s="3"/>
      <c r="AB375" s="5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7"/>
      <c r="AV375" s="7"/>
      <c r="AW375" s="7"/>
      <c r="AX375" s="7"/>
      <c r="AY375" s="8"/>
      <c r="AZ375" s="3"/>
      <c r="BA375" s="3"/>
      <c r="BB375" s="3"/>
      <c r="BC375" s="3"/>
    </row>
    <row r="376" spans="1:55" x14ac:dyDescent="0.25">
      <c r="A376" s="2"/>
      <c r="D376" s="3"/>
      <c r="E376" s="4"/>
      <c r="F376" s="5"/>
      <c r="G376" s="5"/>
      <c r="J376" s="3"/>
      <c r="K376" s="3"/>
      <c r="L376" s="6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5"/>
      <c r="Y376" s="3"/>
      <c r="Z376" s="3"/>
      <c r="AA376" s="3"/>
      <c r="AB376" s="5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7"/>
      <c r="AV376" s="7"/>
      <c r="AW376" s="7"/>
      <c r="AX376" s="7"/>
      <c r="AY376" s="8"/>
      <c r="AZ376" s="3"/>
      <c r="BA376" s="3"/>
      <c r="BB376" s="3"/>
      <c r="BC376" s="3"/>
    </row>
    <row r="377" spans="1:55" x14ac:dyDescent="0.25">
      <c r="A377" s="2"/>
      <c r="D377" s="3"/>
      <c r="E377" s="4"/>
      <c r="F377" s="5"/>
      <c r="G377" s="5"/>
      <c r="J377" s="3"/>
      <c r="K377" s="3"/>
      <c r="L377" s="6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5"/>
      <c r="Y377" s="3"/>
      <c r="Z377" s="3"/>
      <c r="AA377" s="3"/>
      <c r="AB377" s="5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7"/>
      <c r="AV377" s="7"/>
      <c r="AW377" s="7"/>
      <c r="AX377" s="7"/>
      <c r="AY377" s="8"/>
      <c r="AZ377" s="3"/>
      <c r="BA377" s="3"/>
      <c r="BB377" s="3"/>
      <c r="BC377" s="3"/>
    </row>
    <row r="378" spans="1:55" x14ac:dyDescent="0.25">
      <c r="A378" s="2"/>
      <c r="D378" s="3"/>
      <c r="E378" s="4"/>
      <c r="F378" s="5"/>
      <c r="G378" s="5"/>
      <c r="J378" s="3"/>
      <c r="K378" s="3"/>
      <c r="L378" s="6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5"/>
      <c r="Y378" s="3"/>
      <c r="Z378" s="3"/>
      <c r="AA378" s="3"/>
      <c r="AB378" s="5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7"/>
      <c r="AV378" s="7"/>
      <c r="AW378" s="7"/>
      <c r="AX378" s="7"/>
      <c r="AY378" s="8"/>
      <c r="AZ378" s="3"/>
      <c r="BA378" s="3"/>
      <c r="BB378" s="3"/>
      <c r="BC378" s="3"/>
    </row>
    <row r="379" spans="1:55" x14ac:dyDescent="0.25">
      <c r="A379" s="2"/>
      <c r="D379" s="3"/>
      <c r="E379" s="4"/>
      <c r="F379" s="5"/>
      <c r="G379" s="5"/>
      <c r="J379" s="3"/>
      <c r="K379" s="3"/>
      <c r="L379" s="6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5"/>
      <c r="Y379" s="3"/>
      <c r="Z379" s="3"/>
      <c r="AA379" s="3"/>
      <c r="AB379" s="5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7"/>
      <c r="AV379" s="7"/>
      <c r="AW379" s="7"/>
      <c r="AX379" s="7"/>
      <c r="AY379" s="8"/>
      <c r="AZ379" s="3"/>
      <c r="BA379" s="3"/>
      <c r="BB379" s="3"/>
      <c r="BC379" s="3"/>
    </row>
    <row r="380" spans="1:55" x14ac:dyDescent="0.25">
      <c r="A380" s="2"/>
      <c r="D380" s="3"/>
      <c r="E380" s="4"/>
      <c r="F380" s="5"/>
      <c r="G380" s="5"/>
      <c r="J380" s="3"/>
      <c r="K380" s="3"/>
      <c r="L380" s="6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5"/>
      <c r="Y380" s="3"/>
      <c r="Z380" s="3"/>
      <c r="AA380" s="3"/>
      <c r="AB380" s="5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7"/>
      <c r="AV380" s="7"/>
      <c r="AW380" s="7"/>
      <c r="AX380" s="7"/>
      <c r="AY380" s="8"/>
      <c r="AZ380" s="3"/>
      <c r="BA380" s="3"/>
      <c r="BB380" s="3"/>
      <c r="BC380" s="3"/>
    </row>
    <row r="381" spans="1:55" x14ac:dyDescent="0.25">
      <c r="A381" s="2"/>
      <c r="D381" s="3"/>
      <c r="E381" s="4"/>
      <c r="F381" s="5"/>
      <c r="G381" s="5"/>
      <c r="J381" s="3"/>
      <c r="K381" s="3"/>
      <c r="L381" s="6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5"/>
      <c r="Y381" s="3"/>
      <c r="Z381" s="3"/>
      <c r="AA381" s="3"/>
      <c r="AB381" s="5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7"/>
      <c r="AV381" s="7"/>
      <c r="AW381" s="7"/>
      <c r="AX381" s="7"/>
      <c r="AY381" s="8"/>
      <c r="AZ381" s="3"/>
      <c r="BA381" s="3"/>
      <c r="BB381" s="3"/>
      <c r="BC381" s="3"/>
    </row>
    <row r="382" spans="1:55" x14ac:dyDescent="0.25">
      <c r="A382" s="2"/>
      <c r="D382" s="3"/>
      <c r="E382" s="4"/>
      <c r="F382" s="5"/>
      <c r="G382" s="5"/>
      <c r="J382" s="3"/>
      <c r="K382" s="3"/>
      <c r="L382" s="6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5"/>
      <c r="Y382" s="3"/>
      <c r="Z382" s="3"/>
      <c r="AA382" s="3"/>
      <c r="AB382" s="5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7"/>
      <c r="AV382" s="7"/>
      <c r="AW382" s="7"/>
      <c r="AX382" s="7"/>
      <c r="AY382" s="8"/>
      <c r="AZ382" s="3"/>
      <c r="BA382" s="3"/>
      <c r="BB382" s="3"/>
      <c r="BC382" s="3"/>
    </row>
    <row r="383" spans="1:55" x14ac:dyDescent="0.25">
      <c r="A383" s="2"/>
      <c r="D383" s="3"/>
      <c r="E383" s="4"/>
      <c r="F383" s="5"/>
      <c r="G383" s="5"/>
      <c r="J383" s="3"/>
      <c r="K383" s="3"/>
      <c r="L383" s="6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5"/>
      <c r="Y383" s="3"/>
      <c r="Z383" s="3"/>
      <c r="AA383" s="3"/>
      <c r="AB383" s="5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7"/>
      <c r="AV383" s="7"/>
      <c r="AW383" s="7"/>
      <c r="AX383" s="7"/>
      <c r="AY383" s="8"/>
      <c r="AZ383" s="3"/>
      <c r="BA383" s="3"/>
      <c r="BB383" s="3"/>
      <c r="BC383" s="3"/>
    </row>
    <row r="384" spans="1:55" x14ac:dyDescent="0.25">
      <c r="A384" s="2"/>
      <c r="D384" s="3"/>
      <c r="E384" s="4"/>
      <c r="F384" s="5"/>
      <c r="G384" s="5"/>
      <c r="J384" s="3"/>
      <c r="K384" s="3"/>
      <c r="L384" s="6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5"/>
      <c r="Y384" s="3"/>
      <c r="Z384" s="3"/>
      <c r="AA384" s="3"/>
      <c r="AB384" s="5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7"/>
      <c r="AV384" s="7"/>
      <c r="AW384" s="7"/>
      <c r="AX384" s="7"/>
      <c r="AY384" s="8"/>
      <c r="AZ384" s="3"/>
      <c r="BA384" s="3"/>
      <c r="BB384" s="3"/>
      <c r="BC384" s="3"/>
    </row>
    <row r="385" spans="1:55" x14ac:dyDescent="0.25">
      <c r="A385" s="2"/>
      <c r="D385" s="3"/>
      <c r="E385" s="4"/>
      <c r="F385" s="5"/>
      <c r="G385" s="5"/>
      <c r="J385" s="3"/>
      <c r="K385" s="3"/>
      <c r="L385" s="6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5"/>
      <c r="Y385" s="3"/>
      <c r="Z385" s="3"/>
      <c r="AA385" s="3"/>
      <c r="AB385" s="5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7"/>
      <c r="AV385" s="7"/>
      <c r="AW385" s="7"/>
      <c r="AX385" s="7"/>
      <c r="AY385" s="8"/>
      <c r="AZ385" s="3"/>
      <c r="BA385" s="3"/>
      <c r="BB385" s="3"/>
      <c r="BC385" s="3"/>
    </row>
    <row r="386" spans="1:55" x14ac:dyDescent="0.25">
      <c r="A386" s="2"/>
      <c r="D386" s="3"/>
      <c r="E386" s="4"/>
      <c r="F386" s="5"/>
      <c r="G386" s="5"/>
      <c r="J386" s="3"/>
      <c r="K386" s="3"/>
      <c r="L386" s="6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5"/>
      <c r="Y386" s="3"/>
      <c r="Z386" s="3"/>
      <c r="AA386" s="3"/>
      <c r="AB386" s="5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7"/>
      <c r="AV386" s="7"/>
      <c r="AW386" s="7"/>
      <c r="AX386" s="7"/>
      <c r="AY386" s="8"/>
      <c r="AZ386" s="3"/>
      <c r="BA386" s="3"/>
      <c r="BB386" s="3"/>
      <c r="BC386" s="3"/>
    </row>
    <row r="387" spans="1:55" x14ac:dyDescent="0.25">
      <c r="A387" s="2"/>
      <c r="D387" s="3"/>
      <c r="E387" s="4"/>
      <c r="F387" s="5"/>
      <c r="G387" s="5"/>
      <c r="J387" s="3"/>
      <c r="K387" s="3"/>
      <c r="L387" s="6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5"/>
      <c r="Y387" s="3"/>
      <c r="Z387" s="3"/>
      <c r="AA387" s="3"/>
      <c r="AB387" s="5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7"/>
      <c r="AV387" s="7"/>
      <c r="AW387" s="7"/>
      <c r="AX387" s="7"/>
      <c r="AY387" s="8"/>
      <c r="AZ387" s="3"/>
      <c r="BA387" s="3"/>
      <c r="BB387" s="3"/>
      <c r="BC387" s="3"/>
    </row>
    <row r="388" spans="1:55" x14ac:dyDescent="0.25">
      <c r="A388" s="2"/>
      <c r="D388" s="3"/>
      <c r="E388" s="4"/>
      <c r="F388" s="5"/>
      <c r="G388" s="5"/>
      <c r="J388" s="3"/>
      <c r="K388" s="3"/>
      <c r="L388" s="6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5"/>
      <c r="Y388" s="3"/>
      <c r="Z388" s="3"/>
      <c r="AA388" s="3"/>
      <c r="AB388" s="5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7"/>
      <c r="AV388" s="7"/>
      <c r="AW388" s="7"/>
      <c r="AX388" s="7"/>
      <c r="AY388" s="8"/>
      <c r="AZ388" s="3"/>
      <c r="BA388" s="3"/>
      <c r="BB388" s="3"/>
      <c r="BC388" s="3"/>
    </row>
    <row r="389" spans="1:55" x14ac:dyDescent="0.25">
      <c r="A389" s="2"/>
      <c r="D389" s="3"/>
      <c r="E389" s="4"/>
      <c r="F389" s="5"/>
      <c r="G389" s="5"/>
      <c r="J389" s="3"/>
      <c r="K389" s="3"/>
      <c r="L389" s="6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5"/>
      <c r="Y389" s="3"/>
      <c r="Z389" s="3"/>
      <c r="AA389" s="3"/>
      <c r="AB389" s="5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7"/>
      <c r="AV389" s="7"/>
      <c r="AW389" s="7"/>
      <c r="AX389" s="7"/>
      <c r="AY389" s="8"/>
      <c r="AZ389" s="3"/>
      <c r="BA389" s="3"/>
      <c r="BB389" s="3"/>
      <c r="BC389" s="3"/>
    </row>
    <row r="390" spans="1:55" x14ac:dyDescent="0.25">
      <c r="A390" s="2"/>
      <c r="D390" s="3"/>
      <c r="E390" s="4"/>
      <c r="F390" s="5"/>
      <c r="G390" s="5"/>
      <c r="J390" s="3"/>
      <c r="K390" s="3"/>
      <c r="L390" s="6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5"/>
      <c r="Y390" s="3"/>
      <c r="Z390" s="3"/>
      <c r="AA390" s="3"/>
      <c r="AB390" s="5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7"/>
      <c r="AV390" s="7"/>
      <c r="AW390" s="7"/>
      <c r="AX390" s="7"/>
      <c r="AY390" s="8"/>
      <c r="AZ390" s="3"/>
      <c r="BA390" s="3"/>
      <c r="BB390" s="3"/>
      <c r="BC390" s="3"/>
    </row>
    <row r="391" spans="1:55" x14ac:dyDescent="0.25">
      <c r="A391" s="2"/>
      <c r="D391" s="3"/>
      <c r="E391" s="4"/>
      <c r="F391" s="5"/>
      <c r="G391" s="5"/>
      <c r="J391" s="3"/>
      <c r="K391" s="3"/>
      <c r="L391" s="6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5"/>
      <c r="Y391" s="3"/>
      <c r="Z391" s="3"/>
      <c r="AA391" s="3"/>
      <c r="AB391" s="5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7"/>
      <c r="AV391" s="7"/>
      <c r="AW391" s="7"/>
      <c r="AX391" s="7"/>
      <c r="AY391" s="8"/>
      <c r="AZ391" s="3"/>
      <c r="BA391" s="3"/>
      <c r="BB391" s="3"/>
      <c r="BC391" s="3"/>
    </row>
    <row r="392" spans="1:55" x14ac:dyDescent="0.25">
      <c r="A392" s="2"/>
      <c r="D392" s="3"/>
      <c r="E392" s="4"/>
      <c r="F392" s="5"/>
      <c r="G392" s="5"/>
      <c r="J392" s="3"/>
      <c r="K392" s="3"/>
      <c r="L392" s="6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5"/>
      <c r="Y392" s="3"/>
      <c r="Z392" s="3"/>
      <c r="AA392" s="3"/>
      <c r="AB392" s="5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7"/>
      <c r="AV392" s="7"/>
      <c r="AW392" s="7"/>
      <c r="AX392" s="7"/>
      <c r="AY392" s="8"/>
      <c r="AZ392" s="3"/>
      <c r="BA392" s="3"/>
      <c r="BB392" s="3"/>
      <c r="BC392" s="3"/>
    </row>
    <row r="393" spans="1:55" x14ac:dyDescent="0.25">
      <c r="A393" s="2"/>
      <c r="D393" s="3"/>
      <c r="E393" s="4"/>
      <c r="F393" s="5"/>
      <c r="G393" s="5"/>
      <c r="J393" s="3"/>
      <c r="K393" s="3"/>
      <c r="L393" s="6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5"/>
      <c r="Y393" s="3"/>
      <c r="Z393" s="3"/>
      <c r="AA393" s="3"/>
      <c r="AB393" s="5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7"/>
      <c r="AV393" s="7"/>
      <c r="AW393" s="7"/>
      <c r="AX393" s="7"/>
      <c r="AY393" s="8"/>
      <c r="AZ393" s="3"/>
      <c r="BA393" s="3"/>
      <c r="BB393" s="3"/>
      <c r="BC393" s="3"/>
    </row>
    <row r="394" spans="1:55" x14ac:dyDescent="0.25">
      <c r="A394" s="2"/>
      <c r="D394" s="3"/>
      <c r="E394" s="4"/>
      <c r="F394" s="5"/>
      <c r="G394" s="5"/>
      <c r="J394" s="3"/>
      <c r="K394" s="3"/>
      <c r="L394" s="6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5"/>
      <c r="Y394" s="3"/>
      <c r="Z394" s="3"/>
      <c r="AA394" s="3"/>
      <c r="AB394" s="5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7"/>
      <c r="AV394" s="7"/>
      <c r="AW394" s="7"/>
      <c r="AX394" s="7"/>
      <c r="AY394" s="8"/>
      <c r="AZ394" s="3"/>
      <c r="BA394" s="3"/>
      <c r="BB394" s="3"/>
      <c r="BC394" s="3"/>
    </row>
    <row r="395" spans="1:55" x14ac:dyDescent="0.25">
      <c r="A395" s="2"/>
      <c r="D395" s="3"/>
      <c r="E395" s="4"/>
      <c r="F395" s="5"/>
      <c r="G395" s="5"/>
      <c r="J395" s="3"/>
      <c r="K395" s="3"/>
      <c r="L395" s="6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5"/>
      <c r="Y395" s="3"/>
      <c r="Z395" s="3"/>
      <c r="AA395" s="3"/>
      <c r="AB395" s="5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7"/>
      <c r="AV395" s="7"/>
      <c r="AW395" s="7"/>
      <c r="AX395" s="7"/>
      <c r="AY395" s="8"/>
      <c r="AZ395" s="3"/>
      <c r="BA395" s="3"/>
      <c r="BB395" s="3"/>
      <c r="BC395" s="3"/>
    </row>
    <row r="396" spans="1:55" x14ac:dyDescent="0.25">
      <c r="A396" s="2"/>
      <c r="D396" s="3"/>
      <c r="E396" s="4"/>
      <c r="F396" s="5"/>
      <c r="G396" s="5"/>
      <c r="J396" s="3"/>
      <c r="K396" s="3"/>
      <c r="L396" s="6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5"/>
      <c r="Y396" s="3"/>
      <c r="Z396" s="3"/>
      <c r="AA396" s="3"/>
      <c r="AB396" s="5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7"/>
      <c r="AV396" s="7"/>
      <c r="AW396" s="7"/>
      <c r="AX396" s="7"/>
      <c r="AY396" s="8"/>
      <c r="AZ396" s="3"/>
      <c r="BA396" s="3"/>
      <c r="BB396" s="3"/>
      <c r="BC396" s="3"/>
    </row>
    <row r="397" spans="1:55" x14ac:dyDescent="0.25">
      <c r="A397" s="2"/>
      <c r="D397" s="3"/>
      <c r="E397" s="4"/>
      <c r="F397" s="5"/>
      <c r="G397" s="5"/>
      <c r="J397" s="3"/>
      <c r="K397" s="3"/>
      <c r="L397" s="6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5"/>
      <c r="Y397" s="3"/>
      <c r="Z397" s="3"/>
      <c r="AA397" s="3"/>
      <c r="AB397" s="5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7"/>
      <c r="AV397" s="7"/>
      <c r="AW397" s="7"/>
      <c r="AX397" s="7"/>
      <c r="AY397" s="8"/>
      <c r="AZ397" s="3"/>
      <c r="BA397" s="3"/>
      <c r="BB397" s="3"/>
      <c r="BC397" s="3"/>
    </row>
    <row r="398" spans="1:55" x14ac:dyDescent="0.25">
      <c r="A398" s="2"/>
      <c r="D398" s="3"/>
      <c r="E398" s="4"/>
      <c r="F398" s="5"/>
      <c r="G398" s="5"/>
      <c r="J398" s="3"/>
      <c r="K398" s="3"/>
      <c r="L398" s="6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5"/>
      <c r="Y398" s="3"/>
      <c r="Z398" s="3"/>
      <c r="AA398" s="3"/>
      <c r="AB398" s="5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7"/>
      <c r="AV398" s="7"/>
      <c r="AW398" s="7"/>
      <c r="AX398" s="7"/>
      <c r="AY398" s="8"/>
      <c r="AZ398" s="3"/>
      <c r="BA398" s="3"/>
      <c r="BB398" s="3"/>
      <c r="BC398" s="3"/>
    </row>
    <row r="399" spans="1:55" x14ac:dyDescent="0.25">
      <c r="A399" s="2"/>
      <c r="D399" s="3"/>
      <c r="E399" s="4"/>
      <c r="F399" s="5"/>
      <c r="G399" s="5"/>
      <c r="J399" s="3"/>
      <c r="K399" s="3"/>
      <c r="L399" s="6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5"/>
      <c r="Y399" s="3"/>
      <c r="Z399" s="3"/>
      <c r="AA399" s="3"/>
      <c r="AB399" s="5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7"/>
      <c r="AV399" s="7"/>
      <c r="AW399" s="7"/>
      <c r="AX399" s="7"/>
      <c r="AY399" s="8"/>
      <c r="AZ399" s="3"/>
      <c r="BA399" s="3"/>
      <c r="BB399" s="3"/>
      <c r="BC399" s="3"/>
    </row>
    <row r="400" spans="1:55" x14ac:dyDescent="0.25">
      <c r="A400" s="2"/>
      <c r="D400" s="3"/>
      <c r="E400" s="4"/>
      <c r="F400" s="5"/>
      <c r="G400" s="5"/>
      <c r="J400" s="3"/>
      <c r="K400" s="3"/>
      <c r="L400" s="6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5"/>
      <c r="Y400" s="3"/>
      <c r="Z400" s="3"/>
      <c r="AA400" s="3"/>
      <c r="AB400" s="5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7"/>
      <c r="AV400" s="7"/>
      <c r="AW400" s="7"/>
      <c r="AX400" s="7"/>
      <c r="AY400" s="8"/>
      <c r="AZ400" s="3"/>
      <c r="BA400" s="3"/>
      <c r="BB400" s="3"/>
      <c r="BC400" s="3"/>
    </row>
    <row r="401" spans="1:55" x14ac:dyDescent="0.25">
      <c r="A401" s="2"/>
      <c r="D401" s="3"/>
      <c r="E401" s="4"/>
      <c r="F401" s="5"/>
      <c r="G401" s="5"/>
      <c r="J401" s="3"/>
      <c r="K401" s="3"/>
      <c r="L401" s="6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5"/>
      <c r="Y401" s="3"/>
      <c r="Z401" s="3"/>
      <c r="AA401" s="3"/>
      <c r="AB401" s="5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7"/>
      <c r="AV401" s="7"/>
      <c r="AW401" s="7"/>
      <c r="AX401" s="7"/>
      <c r="AY401" s="8"/>
      <c r="AZ401" s="3"/>
      <c r="BA401" s="3"/>
      <c r="BB401" s="3"/>
      <c r="BC401" s="3"/>
    </row>
    <row r="402" spans="1:55" x14ac:dyDescent="0.25">
      <c r="A402" s="2"/>
      <c r="D402" s="3"/>
      <c r="E402" s="4"/>
      <c r="F402" s="5"/>
      <c r="G402" s="5"/>
      <c r="J402" s="3"/>
      <c r="K402" s="3"/>
      <c r="L402" s="6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5"/>
      <c r="Y402" s="3"/>
      <c r="Z402" s="3"/>
      <c r="AA402" s="3"/>
      <c r="AB402" s="5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7"/>
      <c r="AV402" s="7"/>
      <c r="AW402" s="7"/>
      <c r="AX402" s="7"/>
      <c r="AY402" s="8"/>
      <c r="AZ402" s="3"/>
      <c r="BA402" s="3"/>
      <c r="BB402" s="3"/>
      <c r="BC402" s="3"/>
    </row>
    <row r="403" spans="1:55" x14ac:dyDescent="0.25">
      <c r="A403" s="2"/>
      <c r="D403" s="3"/>
      <c r="E403" s="4"/>
      <c r="F403" s="5"/>
      <c r="G403" s="5"/>
      <c r="J403" s="3"/>
      <c r="K403" s="3"/>
      <c r="L403" s="6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5"/>
      <c r="Y403" s="3"/>
      <c r="Z403" s="3"/>
      <c r="AA403" s="3"/>
      <c r="AB403" s="5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7"/>
      <c r="AV403" s="7"/>
      <c r="AW403" s="7"/>
      <c r="AX403" s="7"/>
      <c r="AY403" s="8"/>
      <c r="AZ403" s="3"/>
      <c r="BA403" s="3"/>
      <c r="BB403" s="3"/>
      <c r="BC403" s="3"/>
    </row>
    <row r="404" spans="1:55" x14ac:dyDescent="0.25">
      <c r="A404" s="2"/>
      <c r="D404" s="3"/>
      <c r="E404" s="4"/>
      <c r="F404" s="5"/>
      <c r="G404" s="5"/>
      <c r="J404" s="3"/>
      <c r="K404" s="3"/>
      <c r="L404" s="6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5"/>
      <c r="Y404" s="3"/>
      <c r="Z404" s="3"/>
      <c r="AA404" s="3"/>
      <c r="AB404" s="5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7"/>
      <c r="AV404" s="7"/>
      <c r="AW404" s="7"/>
      <c r="AX404" s="7"/>
      <c r="AY404" s="8"/>
      <c r="AZ404" s="3"/>
      <c r="BA404" s="3"/>
      <c r="BB404" s="3"/>
      <c r="BC404" s="3"/>
    </row>
    <row r="405" spans="1:55" x14ac:dyDescent="0.25">
      <c r="A405" s="2"/>
      <c r="D405" s="3"/>
      <c r="E405" s="4"/>
      <c r="F405" s="5"/>
      <c r="G405" s="5"/>
      <c r="J405" s="3"/>
      <c r="K405" s="3"/>
      <c r="L405" s="6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5"/>
      <c r="Y405" s="3"/>
      <c r="Z405" s="3"/>
      <c r="AA405" s="3"/>
      <c r="AB405" s="5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7"/>
      <c r="AV405" s="7"/>
      <c r="AW405" s="7"/>
      <c r="AX405" s="7"/>
      <c r="AY405" s="8"/>
      <c r="AZ405" s="3"/>
      <c r="BA405" s="3"/>
      <c r="BB405" s="3"/>
      <c r="BC405" s="3"/>
    </row>
    <row r="406" spans="1:55" x14ac:dyDescent="0.25">
      <c r="A406" s="2"/>
      <c r="D406" s="3"/>
      <c r="E406" s="4"/>
      <c r="F406" s="5"/>
      <c r="G406" s="5"/>
      <c r="J406" s="3"/>
      <c r="K406" s="3"/>
      <c r="L406" s="6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5"/>
      <c r="Y406" s="3"/>
      <c r="Z406" s="3"/>
      <c r="AA406" s="3"/>
      <c r="AB406" s="5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7"/>
      <c r="AV406" s="7"/>
      <c r="AW406" s="7"/>
      <c r="AX406" s="7"/>
      <c r="AY406" s="8"/>
      <c r="AZ406" s="3"/>
      <c r="BA406" s="3"/>
      <c r="BB406" s="3"/>
      <c r="BC406" s="3"/>
    </row>
    <row r="407" spans="1:55" x14ac:dyDescent="0.25">
      <c r="A407" s="2"/>
      <c r="D407" s="3"/>
      <c r="E407" s="4"/>
      <c r="F407" s="5"/>
      <c r="G407" s="5"/>
      <c r="J407" s="3"/>
      <c r="K407" s="3"/>
      <c r="L407" s="6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5"/>
      <c r="Y407" s="3"/>
      <c r="Z407" s="3"/>
      <c r="AA407" s="3"/>
      <c r="AB407" s="5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7"/>
      <c r="AV407" s="7"/>
      <c r="AW407" s="7"/>
      <c r="AX407" s="7"/>
      <c r="AY407" s="8"/>
      <c r="AZ407" s="3"/>
      <c r="BA407" s="3"/>
      <c r="BB407" s="3"/>
      <c r="BC407" s="3"/>
    </row>
    <row r="408" spans="1:55" x14ac:dyDescent="0.25">
      <c r="A408" s="2"/>
      <c r="D408" s="3"/>
      <c r="E408" s="4"/>
      <c r="F408" s="5"/>
      <c r="G408" s="5"/>
      <c r="J408" s="3"/>
      <c r="K408" s="3"/>
      <c r="L408" s="6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5"/>
      <c r="Y408" s="3"/>
      <c r="Z408" s="3"/>
      <c r="AA408" s="3"/>
      <c r="AB408" s="5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7"/>
      <c r="AV408" s="7"/>
      <c r="AW408" s="7"/>
      <c r="AX408" s="7"/>
      <c r="AY408" s="8"/>
      <c r="AZ408" s="3"/>
      <c r="BA408" s="3"/>
      <c r="BB408" s="3"/>
      <c r="BC408" s="3"/>
    </row>
    <row r="409" spans="1:55" x14ac:dyDescent="0.25">
      <c r="A409" s="2"/>
      <c r="D409" s="3"/>
      <c r="E409" s="4"/>
      <c r="F409" s="5"/>
      <c r="G409" s="5"/>
      <c r="J409" s="3"/>
      <c r="K409" s="3"/>
      <c r="L409" s="6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5"/>
      <c r="Y409" s="3"/>
      <c r="Z409" s="3"/>
      <c r="AA409" s="3"/>
      <c r="AB409" s="5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7"/>
      <c r="AV409" s="7"/>
      <c r="AW409" s="7"/>
      <c r="AX409" s="7"/>
      <c r="AY409" s="8"/>
      <c r="AZ409" s="3"/>
      <c r="BA409" s="3"/>
      <c r="BB409" s="3"/>
      <c r="BC409" s="3"/>
    </row>
    <row r="410" spans="1:55" x14ac:dyDescent="0.25">
      <c r="A410" s="2"/>
      <c r="D410" s="3"/>
      <c r="E410" s="4"/>
      <c r="F410" s="5"/>
      <c r="G410" s="5"/>
      <c r="J410" s="3"/>
      <c r="K410" s="3"/>
      <c r="L410" s="6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5"/>
      <c r="Y410" s="3"/>
      <c r="Z410" s="3"/>
      <c r="AA410" s="3"/>
      <c r="AB410" s="5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7"/>
      <c r="AV410" s="7"/>
      <c r="AW410" s="7"/>
      <c r="AX410" s="7"/>
      <c r="AY410" s="8"/>
      <c r="AZ410" s="3"/>
      <c r="BA410" s="3"/>
      <c r="BB410" s="3"/>
      <c r="BC410" s="3"/>
    </row>
    <row r="411" spans="1:55" x14ac:dyDescent="0.25">
      <c r="A411" s="2"/>
      <c r="D411" s="3"/>
      <c r="E411" s="4"/>
      <c r="F411" s="5"/>
      <c r="G411" s="5"/>
      <c r="J411" s="3"/>
      <c r="K411" s="3"/>
      <c r="L411" s="6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5"/>
      <c r="Y411" s="3"/>
      <c r="Z411" s="3"/>
      <c r="AA411" s="3"/>
      <c r="AB411" s="5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7"/>
      <c r="AV411" s="7"/>
      <c r="AW411" s="7"/>
      <c r="AX411" s="7"/>
      <c r="AY411" s="8"/>
      <c r="AZ411" s="3"/>
      <c r="BA411" s="3"/>
      <c r="BB411" s="3"/>
      <c r="BC411" s="3"/>
    </row>
    <row r="412" spans="1:55" x14ac:dyDescent="0.25">
      <c r="A412" s="2"/>
      <c r="D412" s="3"/>
      <c r="E412" s="4"/>
      <c r="F412" s="5"/>
      <c r="G412" s="5"/>
      <c r="J412" s="3"/>
      <c r="K412" s="3"/>
      <c r="L412" s="6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5"/>
      <c r="Y412" s="3"/>
      <c r="Z412" s="3"/>
      <c r="AA412" s="3"/>
      <c r="AB412" s="5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7"/>
      <c r="AV412" s="7"/>
      <c r="AW412" s="7"/>
      <c r="AX412" s="7"/>
      <c r="AY412" s="8"/>
      <c r="AZ412" s="3"/>
      <c r="BA412" s="3"/>
      <c r="BB412" s="3"/>
      <c r="BC412" s="3"/>
    </row>
    <row r="413" spans="1:55" x14ac:dyDescent="0.25">
      <c r="A413" s="2"/>
      <c r="D413" s="3"/>
      <c r="E413" s="4"/>
      <c r="F413" s="5"/>
      <c r="G413" s="5"/>
      <c r="J413" s="3"/>
      <c r="K413" s="3"/>
      <c r="L413" s="6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5"/>
      <c r="Y413" s="3"/>
      <c r="Z413" s="3"/>
      <c r="AA413" s="3"/>
      <c r="AB413" s="5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7"/>
      <c r="AV413" s="7"/>
      <c r="AW413" s="7"/>
      <c r="AX413" s="7"/>
      <c r="AY413" s="8"/>
      <c r="AZ413" s="3"/>
      <c r="BA413" s="3"/>
      <c r="BB413" s="3"/>
      <c r="BC413" s="3"/>
    </row>
    <row r="414" spans="1:55" x14ac:dyDescent="0.25">
      <c r="A414" s="2"/>
      <c r="D414" s="3"/>
      <c r="E414" s="4"/>
      <c r="F414" s="5"/>
      <c r="G414" s="5"/>
      <c r="J414" s="3"/>
      <c r="K414" s="3"/>
      <c r="L414" s="6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5"/>
      <c r="Y414" s="3"/>
      <c r="Z414" s="3"/>
      <c r="AA414" s="3"/>
      <c r="AB414" s="5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7"/>
      <c r="AV414" s="7"/>
      <c r="AW414" s="7"/>
      <c r="AX414" s="7"/>
      <c r="AY414" s="8"/>
      <c r="AZ414" s="3"/>
      <c r="BA414" s="3"/>
      <c r="BB414" s="3"/>
      <c r="BC414" s="3"/>
    </row>
    <row r="415" spans="1:55" x14ac:dyDescent="0.25">
      <c r="A415" s="2"/>
      <c r="D415" s="3"/>
      <c r="E415" s="4"/>
      <c r="F415" s="5"/>
      <c r="G415" s="5"/>
      <c r="J415" s="3"/>
      <c r="K415" s="3"/>
      <c r="L415" s="6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5"/>
      <c r="Y415" s="3"/>
      <c r="Z415" s="3"/>
      <c r="AA415" s="3"/>
      <c r="AB415" s="5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7"/>
      <c r="AV415" s="7"/>
      <c r="AW415" s="7"/>
      <c r="AX415" s="7"/>
      <c r="AY415" s="8"/>
      <c r="AZ415" s="3"/>
      <c r="BA415" s="3"/>
      <c r="BB415" s="3"/>
      <c r="BC415" s="3"/>
    </row>
    <row r="416" spans="1:55" x14ac:dyDescent="0.25">
      <c r="A416" s="2"/>
      <c r="D416" s="3"/>
      <c r="E416" s="4"/>
      <c r="F416" s="5"/>
      <c r="G416" s="5"/>
      <c r="J416" s="3"/>
      <c r="K416" s="3"/>
      <c r="L416" s="6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5"/>
      <c r="Y416" s="3"/>
      <c r="Z416" s="3"/>
      <c r="AA416" s="3"/>
      <c r="AB416" s="5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7"/>
      <c r="AV416" s="7"/>
      <c r="AW416" s="7"/>
      <c r="AX416" s="7"/>
      <c r="AY416" s="8"/>
      <c r="AZ416" s="3"/>
      <c r="BA416" s="3"/>
      <c r="BB416" s="3"/>
      <c r="BC416" s="3"/>
    </row>
    <row r="417" spans="1:55" x14ac:dyDescent="0.25">
      <c r="A417" s="2"/>
      <c r="D417" s="3"/>
      <c r="E417" s="4"/>
      <c r="F417" s="5"/>
      <c r="G417" s="5"/>
      <c r="J417" s="3"/>
      <c r="K417" s="3"/>
      <c r="L417" s="6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5"/>
      <c r="Y417" s="3"/>
      <c r="Z417" s="3"/>
      <c r="AA417" s="3"/>
      <c r="AB417" s="5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7"/>
      <c r="AV417" s="7"/>
      <c r="AW417" s="7"/>
      <c r="AX417" s="7"/>
      <c r="AY417" s="8"/>
      <c r="AZ417" s="3"/>
      <c r="BA417" s="3"/>
      <c r="BB417" s="3"/>
      <c r="BC417" s="3"/>
    </row>
    <row r="418" spans="1:55" x14ac:dyDescent="0.25">
      <c r="A418" s="2"/>
      <c r="D418" s="3"/>
      <c r="E418" s="4"/>
      <c r="F418" s="5"/>
      <c r="G418" s="5"/>
      <c r="J418" s="3"/>
      <c r="K418" s="3"/>
      <c r="L418" s="6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5"/>
      <c r="Y418" s="3"/>
      <c r="Z418" s="3"/>
      <c r="AA418" s="3"/>
      <c r="AB418" s="5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7"/>
      <c r="AV418" s="7"/>
      <c r="AW418" s="7"/>
      <c r="AX418" s="7"/>
      <c r="AY418" s="8"/>
      <c r="AZ418" s="3"/>
      <c r="BA418" s="3"/>
      <c r="BB418" s="3"/>
      <c r="BC418" s="3"/>
    </row>
    <row r="419" spans="1:55" x14ac:dyDescent="0.25">
      <c r="A419" s="2"/>
      <c r="D419" s="3"/>
      <c r="E419" s="4"/>
      <c r="F419" s="5"/>
      <c r="G419" s="5"/>
      <c r="J419" s="3"/>
      <c r="K419" s="3"/>
      <c r="L419" s="6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5"/>
      <c r="Y419" s="3"/>
      <c r="Z419" s="3"/>
      <c r="AA419" s="3"/>
      <c r="AB419" s="5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7"/>
      <c r="AV419" s="7"/>
      <c r="AW419" s="7"/>
      <c r="AX419" s="7"/>
      <c r="AY419" s="8"/>
      <c r="AZ419" s="3"/>
      <c r="BA419" s="3"/>
      <c r="BB419" s="3"/>
      <c r="BC419" s="3"/>
    </row>
    <row r="420" spans="1:55" x14ac:dyDescent="0.25">
      <c r="A420" s="2"/>
      <c r="D420" s="3"/>
      <c r="E420" s="4"/>
      <c r="F420" s="5"/>
      <c r="G420" s="5"/>
      <c r="J420" s="3"/>
      <c r="K420" s="3"/>
      <c r="L420" s="6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5"/>
      <c r="Y420" s="3"/>
      <c r="Z420" s="3"/>
      <c r="AA420" s="3"/>
      <c r="AB420" s="5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7"/>
      <c r="AV420" s="7"/>
      <c r="AW420" s="7"/>
      <c r="AX420" s="7"/>
      <c r="AY420" s="8"/>
      <c r="AZ420" s="3"/>
      <c r="BA420" s="3"/>
      <c r="BB420" s="3"/>
      <c r="BC420" s="3"/>
    </row>
    <row r="421" spans="1:55" x14ac:dyDescent="0.25">
      <c r="A421" s="2"/>
      <c r="D421" s="3"/>
      <c r="E421" s="4"/>
      <c r="F421" s="5"/>
      <c r="G421" s="5"/>
      <c r="J421" s="3"/>
      <c r="K421" s="3"/>
      <c r="L421" s="6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5"/>
      <c r="Y421" s="3"/>
      <c r="Z421" s="3"/>
      <c r="AA421" s="3"/>
      <c r="AB421" s="5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7"/>
      <c r="AV421" s="7"/>
      <c r="AW421" s="7"/>
      <c r="AX421" s="7"/>
      <c r="AY421" s="8"/>
      <c r="AZ421" s="3"/>
      <c r="BA421" s="3"/>
      <c r="BB421" s="3"/>
      <c r="BC421" s="3"/>
    </row>
    <row r="422" spans="1:55" x14ac:dyDescent="0.25">
      <c r="A422" s="2"/>
      <c r="D422" s="3"/>
      <c r="E422" s="4"/>
      <c r="F422" s="5"/>
      <c r="G422" s="5"/>
      <c r="J422" s="3"/>
      <c r="K422" s="3"/>
      <c r="L422" s="6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5"/>
      <c r="Y422" s="3"/>
      <c r="Z422" s="3"/>
      <c r="AA422" s="3"/>
      <c r="AB422" s="5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7"/>
      <c r="AV422" s="7"/>
      <c r="AW422" s="7"/>
      <c r="AX422" s="7"/>
      <c r="AY422" s="8"/>
      <c r="AZ422" s="3"/>
      <c r="BA422" s="3"/>
      <c r="BB422" s="3"/>
      <c r="BC422" s="3"/>
    </row>
    <row r="423" spans="1:55" x14ac:dyDescent="0.25">
      <c r="A423" s="2"/>
      <c r="D423" s="3"/>
      <c r="E423" s="4"/>
      <c r="F423" s="5"/>
      <c r="G423" s="5"/>
      <c r="J423" s="3"/>
      <c r="K423" s="3"/>
      <c r="L423" s="6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5"/>
      <c r="Y423" s="3"/>
      <c r="Z423" s="3"/>
      <c r="AA423" s="3"/>
      <c r="AB423" s="5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7"/>
      <c r="AV423" s="7"/>
      <c r="AW423" s="7"/>
      <c r="AX423" s="7"/>
      <c r="AY423" s="8"/>
      <c r="AZ423" s="3"/>
      <c r="BA423" s="3"/>
      <c r="BB423" s="3"/>
      <c r="BC423" s="3"/>
    </row>
    <row r="424" spans="1:55" x14ac:dyDescent="0.25">
      <c r="A424" s="2"/>
      <c r="D424" s="3"/>
      <c r="E424" s="4"/>
      <c r="F424" s="5"/>
      <c r="G424" s="5"/>
      <c r="J424" s="3"/>
      <c r="K424" s="3"/>
      <c r="L424" s="6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5"/>
      <c r="Y424" s="3"/>
      <c r="Z424" s="3"/>
      <c r="AA424" s="3"/>
      <c r="AB424" s="5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7"/>
      <c r="AV424" s="7"/>
      <c r="AW424" s="7"/>
      <c r="AX424" s="7"/>
      <c r="AY424" s="8"/>
      <c r="AZ424" s="3"/>
      <c r="BA424" s="3"/>
      <c r="BB424" s="3"/>
      <c r="BC424" s="3"/>
    </row>
    <row r="425" spans="1:55" x14ac:dyDescent="0.25">
      <c r="A425" s="2"/>
      <c r="D425" s="3"/>
      <c r="E425" s="4"/>
      <c r="F425" s="5"/>
      <c r="G425" s="5"/>
      <c r="J425" s="3"/>
      <c r="K425" s="3"/>
      <c r="L425" s="6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5"/>
      <c r="Y425" s="3"/>
      <c r="Z425" s="3"/>
      <c r="AA425" s="3"/>
      <c r="AB425" s="5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7"/>
      <c r="AV425" s="7"/>
      <c r="AW425" s="7"/>
      <c r="AX425" s="7"/>
      <c r="AY425" s="8"/>
      <c r="AZ425" s="3"/>
      <c r="BA425" s="3"/>
      <c r="BB425" s="3"/>
      <c r="BC425" s="3"/>
    </row>
    <row r="426" spans="1:55" x14ac:dyDescent="0.25">
      <c r="A426" s="2"/>
      <c r="D426" s="3"/>
      <c r="E426" s="4"/>
      <c r="F426" s="5"/>
      <c r="G426" s="5"/>
      <c r="J426" s="3"/>
      <c r="K426" s="3"/>
      <c r="L426" s="6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5"/>
      <c r="Y426" s="3"/>
      <c r="Z426" s="3"/>
      <c r="AA426" s="3"/>
      <c r="AB426" s="5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7"/>
      <c r="AV426" s="7"/>
      <c r="AW426" s="7"/>
      <c r="AX426" s="7"/>
      <c r="AY426" s="8"/>
      <c r="AZ426" s="3"/>
      <c r="BA426" s="3"/>
      <c r="BB426" s="3"/>
      <c r="BC426" s="3"/>
    </row>
    <row r="427" spans="1:55" x14ac:dyDescent="0.25">
      <c r="A427" s="2"/>
      <c r="D427" s="3"/>
      <c r="E427" s="4"/>
      <c r="F427" s="5"/>
      <c r="G427" s="5"/>
      <c r="J427" s="3"/>
      <c r="K427" s="3"/>
      <c r="L427" s="6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5"/>
      <c r="Y427" s="3"/>
      <c r="Z427" s="3"/>
      <c r="AA427" s="3"/>
      <c r="AB427" s="5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7"/>
      <c r="AV427" s="7"/>
      <c r="AW427" s="7"/>
      <c r="AX427" s="7"/>
      <c r="AY427" s="8"/>
      <c r="AZ427" s="3"/>
      <c r="BA427" s="3"/>
      <c r="BB427" s="3"/>
      <c r="BC427" s="3"/>
    </row>
    <row r="428" spans="1:55" x14ac:dyDescent="0.25">
      <c r="A428" s="2"/>
      <c r="D428" s="3"/>
      <c r="E428" s="4"/>
      <c r="F428" s="5"/>
      <c r="G428" s="5"/>
      <c r="J428" s="3"/>
      <c r="K428" s="3"/>
      <c r="L428" s="6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5"/>
      <c r="Y428" s="3"/>
      <c r="Z428" s="3"/>
      <c r="AA428" s="3"/>
      <c r="AB428" s="5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7"/>
      <c r="AV428" s="7"/>
      <c r="AW428" s="7"/>
      <c r="AX428" s="7"/>
      <c r="AY428" s="8"/>
      <c r="AZ428" s="3"/>
      <c r="BA428" s="3"/>
      <c r="BB428" s="3"/>
      <c r="BC428" s="3"/>
    </row>
    <row r="429" spans="1:55" x14ac:dyDescent="0.25">
      <c r="A429" s="2"/>
      <c r="D429" s="3"/>
      <c r="E429" s="4"/>
      <c r="F429" s="5"/>
      <c r="G429" s="5"/>
      <c r="J429" s="3"/>
      <c r="K429" s="3"/>
      <c r="L429" s="6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5"/>
      <c r="Y429" s="3"/>
      <c r="Z429" s="3"/>
      <c r="AA429" s="3"/>
      <c r="AB429" s="5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7"/>
      <c r="AV429" s="7"/>
      <c r="AW429" s="7"/>
      <c r="AX429" s="7"/>
      <c r="AY429" s="8"/>
      <c r="AZ429" s="3"/>
      <c r="BA429" s="3"/>
      <c r="BB429" s="3"/>
      <c r="BC429" s="3"/>
    </row>
    <row r="430" spans="1:55" x14ac:dyDescent="0.25">
      <c r="A430" s="2"/>
      <c r="D430" s="3"/>
      <c r="E430" s="4"/>
      <c r="F430" s="5"/>
      <c r="G430" s="5"/>
      <c r="J430" s="3"/>
      <c r="K430" s="3"/>
      <c r="L430" s="6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5"/>
      <c r="Y430" s="3"/>
      <c r="Z430" s="3"/>
      <c r="AA430" s="3"/>
      <c r="AB430" s="5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7"/>
      <c r="AV430" s="7"/>
      <c r="AW430" s="7"/>
      <c r="AX430" s="7"/>
      <c r="AY430" s="8"/>
      <c r="AZ430" s="3"/>
      <c r="BA430" s="3"/>
      <c r="BB430" s="3"/>
      <c r="BC430" s="3"/>
    </row>
    <row r="431" spans="1:55" x14ac:dyDescent="0.25">
      <c r="A431" s="2"/>
      <c r="D431" s="3"/>
      <c r="E431" s="4"/>
      <c r="F431" s="5"/>
      <c r="G431" s="5"/>
      <c r="J431" s="3"/>
      <c r="K431" s="3"/>
      <c r="L431" s="6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5"/>
      <c r="Y431" s="3"/>
      <c r="Z431" s="3"/>
      <c r="AA431" s="3"/>
      <c r="AB431" s="5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7"/>
      <c r="AV431" s="7"/>
      <c r="AW431" s="7"/>
      <c r="AX431" s="7"/>
      <c r="AY431" s="8"/>
      <c r="AZ431" s="3"/>
      <c r="BA431" s="3"/>
      <c r="BB431" s="3"/>
      <c r="BC431" s="3"/>
    </row>
    <row r="432" spans="1:55" x14ac:dyDescent="0.25">
      <c r="A432" s="2"/>
      <c r="D432" s="3"/>
      <c r="E432" s="4"/>
      <c r="F432" s="5"/>
      <c r="G432" s="5"/>
      <c r="J432" s="3"/>
      <c r="K432" s="3"/>
      <c r="L432" s="6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5"/>
      <c r="Y432" s="3"/>
      <c r="Z432" s="3"/>
      <c r="AA432" s="3"/>
      <c r="AB432" s="5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7"/>
      <c r="AV432" s="7"/>
      <c r="AW432" s="7"/>
      <c r="AX432" s="7"/>
      <c r="AY432" s="8"/>
      <c r="AZ432" s="3"/>
      <c r="BA432" s="3"/>
      <c r="BB432" s="3"/>
      <c r="BC432" s="3"/>
    </row>
    <row r="433" spans="1:55" x14ac:dyDescent="0.25">
      <c r="A433" s="2"/>
      <c r="D433" s="3"/>
      <c r="E433" s="4"/>
      <c r="F433" s="5"/>
      <c r="G433" s="5"/>
      <c r="J433" s="3"/>
      <c r="K433" s="3"/>
      <c r="L433" s="6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5"/>
      <c r="Y433" s="3"/>
      <c r="Z433" s="3"/>
      <c r="AA433" s="3"/>
      <c r="AB433" s="5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7"/>
      <c r="AV433" s="7"/>
      <c r="AW433" s="7"/>
      <c r="AX433" s="7"/>
      <c r="AY433" s="8"/>
      <c r="AZ433" s="3"/>
      <c r="BA433" s="3"/>
      <c r="BB433" s="3"/>
      <c r="BC433" s="3"/>
    </row>
    <row r="434" spans="1:55" x14ac:dyDescent="0.25">
      <c r="A434" s="2"/>
      <c r="D434" s="3"/>
      <c r="E434" s="4"/>
      <c r="F434" s="5"/>
      <c r="G434" s="5"/>
      <c r="J434" s="3"/>
      <c r="K434" s="3"/>
      <c r="L434" s="6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5"/>
      <c r="Y434" s="3"/>
      <c r="Z434" s="3"/>
      <c r="AA434" s="3"/>
      <c r="AB434" s="5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7"/>
      <c r="AV434" s="7"/>
      <c r="AW434" s="7"/>
      <c r="AX434" s="7"/>
      <c r="AY434" s="8"/>
      <c r="AZ434" s="3"/>
      <c r="BA434" s="3"/>
      <c r="BB434" s="3"/>
      <c r="BC434" s="3"/>
    </row>
    <row r="435" spans="1:55" x14ac:dyDescent="0.25">
      <c r="A435" s="2"/>
      <c r="D435" s="3"/>
      <c r="E435" s="4"/>
      <c r="F435" s="5"/>
      <c r="G435" s="5"/>
      <c r="J435" s="3"/>
      <c r="K435" s="3"/>
      <c r="L435" s="6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5"/>
      <c r="Y435" s="3"/>
      <c r="Z435" s="3"/>
      <c r="AA435" s="3"/>
      <c r="AB435" s="5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7"/>
      <c r="AV435" s="7"/>
      <c r="AW435" s="7"/>
      <c r="AX435" s="7"/>
      <c r="AY435" s="8"/>
      <c r="AZ435" s="3"/>
      <c r="BA435" s="3"/>
      <c r="BB435" s="3"/>
      <c r="BC435" s="3"/>
    </row>
    <row r="436" spans="1:55" x14ac:dyDescent="0.25">
      <c r="A436" s="2"/>
      <c r="D436" s="3"/>
      <c r="E436" s="4"/>
      <c r="F436" s="5"/>
      <c r="G436" s="5"/>
      <c r="J436" s="3"/>
      <c r="K436" s="3"/>
      <c r="L436" s="6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5"/>
      <c r="Y436" s="3"/>
      <c r="Z436" s="3"/>
      <c r="AA436" s="3"/>
      <c r="AB436" s="5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7"/>
      <c r="AV436" s="7"/>
      <c r="AW436" s="7"/>
      <c r="AX436" s="7"/>
      <c r="AY436" s="8"/>
      <c r="AZ436" s="3"/>
      <c r="BA436" s="3"/>
      <c r="BB436" s="3"/>
      <c r="BC436" s="3"/>
    </row>
    <row r="437" spans="1:55" x14ac:dyDescent="0.25">
      <c r="A437" s="2"/>
      <c r="D437" s="3"/>
      <c r="E437" s="4"/>
      <c r="F437" s="5"/>
      <c r="G437" s="5"/>
      <c r="J437" s="3"/>
      <c r="K437" s="3"/>
      <c r="L437" s="6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5"/>
      <c r="Y437" s="3"/>
      <c r="Z437" s="3"/>
      <c r="AA437" s="3"/>
      <c r="AB437" s="5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7"/>
      <c r="AV437" s="7"/>
      <c r="AW437" s="7"/>
      <c r="AX437" s="7"/>
      <c r="AY437" s="8"/>
      <c r="AZ437" s="3"/>
      <c r="BA437" s="3"/>
      <c r="BB437" s="3"/>
      <c r="BC437" s="3"/>
    </row>
    <row r="438" spans="1:55" x14ac:dyDescent="0.25">
      <c r="A438" s="2"/>
      <c r="D438" s="3"/>
      <c r="E438" s="4"/>
      <c r="F438" s="5"/>
      <c r="G438" s="5"/>
      <c r="J438" s="3"/>
      <c r="K438" s="3"/>
      <c r="L438" s="6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5"/>
      <c r="Y438" s="3"/>
      <c r="Z438" s="3"/>
      <c r="AA438" s="3"/>
      <c r="AB438" s="5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7"/>
      <c r="AV438" s="7"/>
      <c r="AW438" s="7"/>
      <c r="AX438" s="7"/>
      <c r="AY438" s="8"/>
      <c r="AZ438" s="3"/>
      <c r="BA438" s="3"/>
      <c r="BB438" s="3"/>
      <c r="BC438" s="3"/>
    </row>
    <row r="439" spans="1:55" x14ac:dyDescent="0.25">
      <c r="A439" s="2"/>
      <c r="D439" s="3"/>
      <c r="E439" s="4"/>
      <c r="F439" s="5"/>
      <c r="G439" s="5"/>
      <c r="J439" s="3"/>
      <c r="K439" s="3"/>
      <c r="L439" s="6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5"/>
      <c r="Y439" s="3"/>
      <c r="Z439" s="3"/>
      <c r="AA439" s="3"/>
      <c r="AB439" s="5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7"/>
      <c r="AV439" s="7"/>
      <c r="AW439" s="7"/>
      <c r="AX439" s="7"/>
      <c r="AY439" s="8"/>
      <c r="AZ439" s="3"/>
      <c r="BA439" s="3"/>
      <c r="BB439" s="3"/>
      <c r="BC439" s="3"/>
    </row>
    <row r="440" spans="1:55" x14ac:dyDescent="0.25">
      <c r="A440" s="2"/>
      <c r="D440" s="3"/>
      <c r="E440" s="4"/>
      <c r="F440" s="5"/>
      <c r="G440" s="5"/>
      <c r="J440" s="3"/>
      <c r="K440" s="3"/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5"/>
      <c r="Y440" s="3"/>
      <c r="Z440" s="3"/>
      <c r="AA440" s="3"/>
      <c r="AB440" s="5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7"/>
      <c r="AV440" s="7"/>
      <c r="AW440" s="7"/>
      <c r="AX440" s="7"/>
      <c r="AY440" s="8"/>
      <c r="AZ440" s="3"/>
      <c r="BA440" s="3"/>
      <c r="BB440" s="3"/>
      <c r="BC440" s="3"/>
    </row>
    <row r="441" spans="1:55" x14ac:dyDescent="0.25">
      <c r="A441" s="2"/>
      <c r="D441" s="3"/>
      <c r="E441" s="4"/>
      <c r="F441" s="5"/>
      <c r="G441" s="5"/>
      <c r="J441" s="3"/>
      <c r="K441" s="3"/>
      <c r="L441" s="6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5"/>
      <c r="Y441" s="3"/>
      <c r="Z441" s="3"/>
      <c r="AA441" s="3"/>
      <c r="AB441" s="5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7"/>
      <c r="AV441" s="7"/>
      <c r="AW441" s="7"/>
      <c r="AX441" s="7"/>
      <c r="AY441" s="8"/>
      <c r="AZ441" s="3"/>
      <c r="BA441" s="3"/>
      <c r="BB441" s="3"/>
      <c r="BC441" s="3"/>
    </row>
    <row r="442" spans="1:55" x14ac:dyDescent="0.25">
      <c r="A442" s="2"/>
      <c r="D442" s="3"/>
      <c r="E442" s="4"/>
      <c r="F442" s="5"/>
      <c r="G442" s="5"/>
      <c r="J442" s="3"/>
      <c r="K442" s="3"/>
      <c r="L442" s="6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5"/>
      <c r="Y442" s="3"/>
      <c r="Z442" s="3"/>
      <c r="AA442" s="3"/>
      <c r="AB442" s="5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7"/>
      <c r="AV442" s="7"/>
      <c r="AW442" s="7"/>
      <c r="AX442" s="7"/>
      <c r="AY442" s="8"/>
      <c r="AZ442" s="3"/>
      <c r="BA442" s="3"/>
      <c r="BB442" s="3"/>
      <c r="BC442" s="3"/>
    </row>
    <row r="443" spans="1:55" x14ac:dyDescent="0.25">
      <c r="A443" s="2"/>
      <c r="D443" s="3"/>
      <c r="E443" s="4"/>
      <c r="F443" s="5"/>
      <c r="G443" s="5"/>
      <c r="J443" s="3"/>
      <c r="K443" s="3"/>
      <c r="L443" s="6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5"/>
      <c r="Y443" s="3"/>
      <c r="Z443" s="3"/>
      <c r="AA443" s="3"/>
      <c r="AB443" s="5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7"/>
      <c r="AV443" s="7"/>
      <c r="AW443" s="7"/>
      <c r="AX443" s="7"/>
      <c r="AY443" s="8"/>
      <c r="AZ443" s="3"/>
      <c r="BA443" s="3"/>
      <c r="BB443" s="3"/>
      <c r="BC443" s="3"/>
    </row>
    <row r="444" spans="1:55" x14ac:dyDescent="0.25">
      <c r="A444" s="2"/>
      <c r="D444" s="3"/>
      <c r="E444" s="4"/>
      <c r="F444" s="5"/>
      <c r="G444" s="5"/>
      <c r="J444" s="3"/>
      <c r="K444" s="3"/>
      <c r="L444" s="6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5"/>
      <c r="Y444" s="3"/>
      <c r="Z444" s="3"/>
      <c r="AA444" s="3"/>
      <c r="AB444" s="5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7"/>
      <c r="AV444" s="7"/>
      <c r="AW444" s="7"/>
      <c r="AX444" s="7"/>
      <c r="AY444" s="8"/>
      <c r="AZ444" s="3"/>
      <c r="BA444" s="3"/>
      <c r="BB444" s="3"/>
      <c r="BC444" s="3"/>
    </row>
    <row r="445" spans="1:55" x14ac:dyDescent="0.25">
      <c r="A445" s="2"/>
      <c r="D445" s="3"/>
      <c r="E445" s="4"/>
      <c r="F445" s="5"/>
      <c r="G445" s="5"/>
      <c r="J445" s="3"/>
      <c r="K445" s="3"/>
      <c r="L445" s="6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5"/>
      <c r="Y445" s="3"/>
      <c r="Z445" s="3"/>
      <c r="AA445" s="3"/>
      <c r="AB445" s="5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7"/>
      <c r="AV445" s="7"/>
      <c r="AW445" s="7"/>
      <c r="AX445" s="7"/>
      <c r="AY445" s="8"/>
      <c r="AZ445" s="3"/>
      <c r="BA445" s="3"/>
      <c r="BB445" s="3"/>
      <c r="BC445" s="3"/>
    </row>
    <row r="446" spans="1:55" x14ac:dyDescent="0.25">
      <c r="A446" s="2"/>
      <c r="D446" s="3"/>
      <c r="E446" s="4"/>
      <c r="F446" s="5"/>
      <c r="G446" s="5"/>
      <c r="J446" s="3"/>
      <c r="K446" s="3"/>
      <c r="L446" s="6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5"/>
      <c r="Y446" s="3"/>
      <c r="Z446" s="3"/>
      <c r="AA446" s="3"/>
      <c r="AB446" s="5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7"/>
      <c r="AV446" s="7"/>
      <c r="AW446" s="7"/>
      <c r="AX446" s="7"/>
      <c r="AY446" s="8"/>
      <c r="AZ446" s="3"/>
      <c r="BA446" s="3"/>
      <c r="BB446" s="3"/>
      <c r="BC446" s="3"/>
    </row>
    <row r="447" spans="1:55" x14ac:dyDescent="0.25">
      <c r="A447" s="2"/>
      <c r="D447" s="3"/>
      <c r="E447" s="4"/>
      <c r="F447" s="5"/>
      <c r="G447" s="5"/>
      <c r="J447" s="3"/>
      <c r="K447" s="3"/>
      <c r="L447" s="6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5"/>
      <c r="Y447" s="3"/>
      <c r="Z447" s="3"/>
      <c r="AA447" s="3"/>
      <c r="AB447" s="5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7"/>
      <c r="AV447" s="7"/>
      <c r="AW447" s="7"/>
      <c r="AX447" s="7"/>
      <c r="AY447" s="8"/>
      <c r="AZ447" s="3"/>
      <c r="BA447" s="3"/>
      <c r="BB447" s="3"/>
      <c r="BC447" s="3"/>
    </row>
    <row r="448" spans="1:55" x14ac:dyDescent="0.25">
      <c r="A448" s="2"/>
      <c r="D448" s="3"/>
      <c r="E448" s="4"/>
      <c r="F448" s="5"/>
      <c r="G448" s="5"/>
      <c r="J448" s="3"/>
      <c r="K448" s="3"/>
      <c r="L448" s="6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5"/>
      <c r="Y448" s="3"/>
      <c r="Z448" s="3"/>
      <c r="AA448" s="3"/>
      <c r="AB448" s="5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7"/>
      <c r="AV448" s="7"/>
      <c r="AW448" s="7"/>
      <c r="AX448" s="7"/>
      <c r="AY448" s="8"/>
      <c r="AZ448" s="3"/>
      <c r="BA448" s="3"/>
      <c r="BB448" s="3"/>
      <c r="BC448" s="3"/>
    </row>
    <row r="449" spans="1:55" x14ac:dyDescent="0.25">
      <c r="A449" s="2"/>
      <c r="D449" s="3"/>
      <c r="E449" s="4"/>
      <c r="F449" s="5"/>
      <c r="G449" s="5"/>
      <c r="J449" s="3"/>
      <c r="K449" s="3"/>
      <c r="L449" s="6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5"/>
      <c r="Y449" s="3"/>
      <c r="Z449" s="3"/>
      <c r="AA449" s="3"/>
      <c r="AB449" s="5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7"/>
      <c r="AV449" s="7"/>
      <c r="AW449" s="7"/>
      <c r="AX449" s="7"/>
      <c r="AY449" s="8"/>
      <c r="AZ449" s="3"/>
      <c r="BA449" s="3"/>
      <c r="BB449" s="3"/>
      <c r="BC449" s="3"/>
    </row>
    <row r="450" spans="1:55" x14ac:dyDescent="0.25">
      <c r="A450" s="2"/>
      <c r="D450" s="3"/>
      <c r="E450" s="4"/>
      <c r="F450" s="5"/>
      <c r="G450" s="5"/>
      <c r="J450" s="3"/>
      <c r="K450" s="3"/>
      <c r="L450" s="6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5"/>
      <c r="Y450" s="3"/>
      <c r="Z450" s="3"/>
      <c r="AA450" s="3"/>
      <c r="AB450" s="5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7"/>
      <c r="AV450" s="7"/>
      <c r="AW450" s="7"/>
      <c r="AX450" s="7"/>
      <c r="AY450" s="8"/>
      <c r="AZ450" s="3"/>
      <c r="BA450" s="3"/>
      <c r="BB450" s="3"/>
      <c r="BC450" s="3"/>
    </row>
    <row r="451" spans="1:55" x14ac:dyDescent="0.25">
      <c r="A451" s="2"/>
      <c r="D451" s="3"/>
      <c r="E451" s="4"/>
      <c r="F451" s="5"/>
      <c r="G451" s="5"/>
      <c r="J451" s="3"/>
      <c r="K451" s="3"/>
      <c r="L451" s="6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5"/>
      <c r="Y451" s="3"/>
      <c r="Z451" s="3"/>
      <c r="AA451" s="3"/>
      <c r="AB451" s="5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7"/>
      <c r="AV451" s="7"/>
      <c r="AW451" s="7"/>
      <c r="AX451" s="7"/>
      <c r="AY451" s="8"/>
      <c r="AZ451" s="3"/>
      <c r="BA451" s="3"/>
      <c r="BB451" s="3"/>
      <c r="BC451" s="3"/>
    </row>
    <row r="452" spans="1:55" x14ac:dyDescent="0.25">
      <c r="A452" s="2"/>
      <c r="D452" s="3"/>
      <c r="E452" s="4"/>
      <c r="F452" s="5"/>
      <c r="G452" s="5"/>
      <c r="J452" s="3"/>
      <c r="K452" s="3"/>
      <c r="L452" s="6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5"/>
      <c r="Y452" s="3"/>
      <c r="Z452" s="3"/>
      <c r="AA452" s="3"/>
      <c r="AB452" s="5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7"/>
      <c r="AV452" s="7"/>
      <c r="AW452" s="7"/>
      <c r="AX452" s="7"/>
      <c r="AY452" s="8"/>
      <c r="AZ452" s="3"/>
      <c r="BA452" s="3"/>
      <c r="BB452" s="3"/>
      <c r="BC452" s="3"/>
    </row>
    <row r="453" spans="1:55" x14ac:dyDescent="0.25">
      <c r="A453" s="2"/>
      <c r="D453" s="3"/>
      <c r="E453" s="4"/>
      <c r="F453" s="5"/>
      <c r="G453" s="5"/>
      <c r="J453" s="3"/>
      <c r="K453" s="3"/>
      <c r="L453" s="6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5"/>
      <c r="Y453" s="3"/>
      <c r="Z453" s="3"/>
      <c r="AA453" s="3"/>
      <c r="AB453" s="5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7"/>
      <c r="AV453" s="7"/>
      <c r="AW453" s="7"/>
      <c r="AX453" s="7"/>
      <c r="AY453" s="8"/>
      <c r="AZ453" s="3"/>
      <c r="BA453" s="3"/>
      <c r="BB453" s="3"/>
      <c r="BC453" s="3"/>
    </row>
    <row r="454" spans="1:55" x14ac:dyDescent="0.25">
      <c r="A454" s="2"/>
      <c r="D454" s="3"/>
      <c r="E454" s="4"/>
      <c r="F454" s="5"/>
      <c r="G454" s="5"/>
      <c r="J454" s="3"/>
      <c r="K454" s="3"/>
      <c r="L454" s="6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5"/>
      <c r="Y454" s="3"/>
      <c r="Z454" s="3"/>
      <c r="AA454" s="3"/>
      <c r="AB454" s="5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7"/>
      <c r="AV454" s="7"/>
      <c r="AW454" s="7"/>
      <c r="AX454" s="7"/>
      <c r="AY454" s="8"/>
      <c r="AZ454" s="3"/>
      <c r="BA454" s="3"/>
      <c r="BB454" s="3"/>
      <c r="BC454" s="3"/>
    </row>
    <row r="455" spans="1:55" x14ac:dyDescent="0.25">
      <c r="A455" s="2"/>
      <c r="D455" s="3"/>
      <c r="E455" s="4"/>
      <c r="F455" s="5"/>
      <c r="G455" s="5"/>
      <c r="J455" s="3"/>
      <c r="K455" s="3"/>
      <c r="L455" s="6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5"/>
      <c r="Y455" s="3"/>
      <c r="Z455" s="3"/>
      <c r="AA455" s="3"/>
      <c r="AB455" s="5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7"/>
      <c r="AV455" s="7"/>
      <c r="AW455" s="7"/>
      <c r="AX455" s="7"/>
      <c r="AY455" s="8"/>
      <c r="AZ455" s="3"/>
      <c r="BA455" s="3"/>
      <c r="BB455" s="3"/>
      <c r="BC455" s="3"/>
    </row>
    <row r="456" spans="1:55" x14ac:dyDescent="0.25">
      <c r="A456" s="2"/>
      <c r="D456" s="3"/>
      <c r="E456" s="4"/>
      <c r="F456" s="5"/>
      <c r="G456" s="5"/>
      <c r="J456" s="3"/>
      <c r="K456" s="3"/>
      <c r="L456" s="6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5"/>
      <c r="Y456" s="3"/>
      <c r="Z456" s="3"/>
      <c r="AA456" s="3"/>
      <c r="AB456" s="5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7"/>
      <c r="AV456" s="7"/>
      <c r="AW456" s="7"/>
      <c r="AX456" s="7"/>
      <c r="AY456" s="8"/>
      <c r="AZ456" s="3"/>
      <c r="BA456" s="3"/>
      <c r="BB456" s="3"/>
      <c r="BC456" s="3"/>
    </row>
    <row r="457" spans="1:55" x14ac:dyDescent="0.25">
      <c r="A457" s="2"/>
      <c r="D457" s="3"/>
      <c r="E457" s="4"/>
      <c r="F457" s="5"/>
      <c r="G457" s="5"/>
      <c r="J457" s="3"/>
      <c r="K457" s="3"/>
      <c r="L457" s="6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5"/>
      <c r="Y457" s="3"/>
      <c r="Z457" s="3"/>
      <c r="AA457" s="3"/>
      <c r="AB457" s="5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7"/>
      <c r="AV457" s="7"/>
      <c r="AW457" s="7"/>
      <c r="AX457" s="7"/>
      <c r="AY457" s="8"/>
      <c r="AZ457" s="3"/>
      <c r="BA457" s="3"/>
      <c r="BB457" s="3"/>
      <c r="BC457" s="3"/>
    </row>
    <row r="458" spans="1:55" x14ac:dyDescent="0.25">
      <c r="A458" s="2"/>
      <c r="D458" s="3"/>
      <c r="E458" s="4"/>
      <c r="F458" s="5"/>
      <c r="G458" s="5"/>
      <c r="J458" s="3"/>
      <c r="K458" s="3"/>
      <c r="L458" s="6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5"/>
      <c r="Y458" s="3"/>
      <c r="Z458" s="3"/>
      <c r="AA458" s="3"/>
      <c r="AB458" s="5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7"/>
      <c r="AV458" s="7"/>
      <c r="AW458" s="7"/>
      <c r="AX458" s="7"/>
      <c r="AY458" s="8"/>
      <c r="AZ458" s="3"/>
      <c r="BA458" s="3"/>
      <c r="BB458" s="3"/>
      <c r="BC458" s="3"/>
    </row>
    <row r="459" spans="1:55" x14ac:dyDescent="0.25">
      <c r="A459" s="2"/>
      <c r="D459" s="3"/>
      <c r="E459" s="4"/>
      <c r="F459" s="5"/>
      <c r="G459" s="5"/>
      <c r="J459" s="3"/>
      <c r="K459" s="3"/>
      <c r="L459" s="6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5"/>
      <c r="Y459" s="3"/>
      <c r="Z459" s="3"/>
      <c r="AA459" s="3"/>
      <c r="AB459" s="5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7"/>
      <c r="AV459" s="7"/>
      <c r="AW459" s="7"/>
      <c r="AX459" s="7"/>
      <c r="AY459" s="8"/>
      <c r="AZ459" s="3"/>
      <c r="BA459" s="3"/>
      <c r="BB459" s="3"/>
      <c r="BC459" s="3"/>
    </row>
    <row r="460" spans="1:55" x14ac:dyDescent="0.25">
      <c r="A460" s="2"/>
      <c r="D460" s="3"/>
      <c r="E460" s="4"/>
      <c r="F460" s="5"/>
      <c r="G460" s="5"/>
      <c r="J460" s="3"/>
      <c r="K460" s="3"/>
      <c r="L460" s="6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5"/>
      <c r="Y460" s="3"/>
      <c r="Z460" s="3"/>
      <c r="AA460" s="3"/>
      <c r="AB460" s="5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7"/>
      <c r="AV460" s="7"/>
      <c r="AW460" s="7"/>
      <c r="AX460" s="7"/>
      <c r="AY460" s="8"/>
      <c r="AZ460" s="3"/>
      <c r="BA460" s="3"/>
      <c r="BB460" s="3"/>
      <c r="BC460" s="3"/>
    </row>
    <row r="461" spans="1:55" x14ac:dyDescent="0.25">
      <c r="A461" s="2"/>
      <c r="D461" s="3"/>
      <c r="E461" s="4"/>
      <c r="F461" s="5"/>
      <c r="G461" s="5"/>
      <c r="J461" s="3"/>
      <c r="K461" s="3"/>
      <c r="L461" s="6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5"/>
      <c r="Y461" s="3"/>
      <c r="Z461" s="3"/>
      <c r="AA461" s="3"/>
      <c r="AB461" s="5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7"/>
      <c r="AV461" s="7"/>
      <c r="AW461" s="7"/>
      <c r="AX461" s="7"/>
      <c r="AY461" s="8"/>
      <c r="AZ461" s="3"/>
      <c r="BA461" s="3"/>
      <c r="BB461" s="3"/>
      <c r="BC461" s="3"/>
    </row>
    <row r="462" spans="1:55" x14ac:dyDescent="0.25">
      <c r="A462" s="2"/>
      <c r="D462" s="3"/>
      <c r="E462" s="4"/>
      <c r="F462" s="5"/>
      <c r="G462" s="5"/>
      <c r="J462" s="3"/>
      <c r="K462" s="3"/>
      <c r="L462" s="6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5"/>
      <c r="Y462" s="3"/>
      <c r="Z462" s="3"/>
      <c r="AA462" s="3"/>
      <c r="AB462" s="5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7"/>
      <c r="AV462" s="7"/>
      <c r="AW462" s="7"/>
      <c r="AX462" s="7"/>
      <c r="AY462" s="8"/>
      <c r="AZ462" s="3"/>
      <c r="BA462" s="3"/>
      <c r="BB462" s="3"/>
      <c r="BC462" s="3"/>
    </row>
    <row r="463" spans="1:55" x14ac:dyDescent="0.25">
      <c r="A463" s="2"/>
      <c r="D463" s="3"/>
      <c r="E463" s="4"/>
      <c r="F463" s="5"/>
      <c r="G463" s="5"/>
      <c r="J463" s="3"/>
      <c r="K463" s="3"/>
      <c r="L463" s="6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5"/>
      <c r="Y463" s="3"/>
      <c r="Z463" s="3"/>
      <c r="AA463" s="3"/>
      <c r="AB463" s="5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7"/>
      <c r="AV463" s="7"/>
      <c r="AW463" s="7"/>
      <c r="AX463" s="7"/>
      <c r="AY463" s="8"/>
      <c r="AZ463" s="3"/>
      <c r="BA463" s="3"/>
      <c r="BB463" s="3"/>
      <c r="BC463" s="3"/>
    </row>
    <row r="464" spans="1:55" x14ac:dyDescent="0.25">
      <c r="A464" s="2"/>
      <c r="D464" s="3"/>
      <c r="E464" s="4"/>
      <c r="F464" s="5"/>
      <c r="G464" s="5"/>
      <c r="J464" s="3"/>
      <c r="K464" s="3"/>
      <c r="L464" s="6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5"/>
      <c r="Y464" s="3"/>
      <c r="Z464" s="3"/>
      <c r="AA464" s="3"/>
      <c r="AB464" s="5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7"/>
      <c r="AV464" s="7"/>
      <c r="AW464" s="7"/>
      <c r="AX464" s="7"/>
      <c r="AY464" s="8"/>
      <c r="AZ464" s="3"/>
      <c r="BA464" s="3"/>
      <c r="BB464" s="3"/>
      <c r="BC464" s="3"/>
    </row>
    <row r="465" spans="1:55" x14ac:dyDescent="0.25">
      <c r="A465" s="2"/>
      <c r="D465" s="3"/>
      <c r="E465" s="4"/>
      <c r="F465" s="5"/>
      <c r="G465" s="5"/>
      <c r="J465" s="3"/>
      <c r="K465" s="3"/>
      <c r="L465" s="6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5"/>
      <c r="Y465" s="3"/>
      <c r="Z465" s="3"/>
      <c r="AA465" s="3"/>
      <c r="AB465" s="5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7"/>
      <c r="AV465" s="7"/>
      <c r="AW465" s="7"/>
      <c r="AX465" s="7"/>
      <c r="AY465" s="8"/>
      <c r="AZ465" s="3"/>
      <c r="BA465" s="3"/>
      <c r="BB465" s="3"/>
      <c r="BC465" s="3"/>
    </row>
    <row r="466" spans="1:55" x14ac:dyDescent="0.25">
      <c r="A466" s="2"/>
      <c r="D466" s="3"/>
      <c r="E466" s="4"/>
      <c r="F466" s="5"/>
      <c r="G466" s="5"/>
      <c r="J466" s="3"/>
      <c r="K466" s="3"/>
      <c r="L466" s="6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5"/>
      <c r="Y466" s="3"/>
      <c r="Z466" s="3"/>
      <c r="AA466" s="3"/>
      <c r="AB466" s="5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7"/>
      <c r="AV466" s="7"/>
      <c r="AW466" s="7"/>
      <c r="AX466" s="7"/>
      <c r="AY466" s="8"/>
      <c r="AZ466" s="3"/>
      <c r="BA466" s="3"/>
      <c r="BB466" s="3"/>
      <c r="BC466" s="3"/>
    </row>
    <row r="467" spans="1:55" x14ac:dyDescent="0.25">
      <c r="A467" s="2"/>
      <c r="D467" s="3"/>
      <c r="E467" s="4"/>
      <c r="F467" s="5"/>
      <c r="G467" s="5"/>
      <c r="J467" s="3"/>
      <c r="K467" s="3"/>
      <c r="L467" s="6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5"/>
      <c r="Y467" s="3"/>
      <c r="Z467" s="3"/>
      <c r="AA467" s="3"/>
      <c r="AB467" s="5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7"/>
      <c r="AV467" s="7"/>
      <c r="AW467" s="7"/>
      <c r="AX467" s="7"/>
      <c r="AY467" s="8"/>
      <c r="AZ467" s="3"/>
      <c r="BA467" s="3"/>
      <c r="BB467" s="3"/>
      <c r="BC467" s="3"/>
    </row>
    <row r="468" spans="1:55" x14ac:dyDescent="0.25">
      <c r="A468" s="2"/>
      <c r="D468" s="3"/>
      <c r="E468" s="4"/>
      <c r="F468" s="5"/>
      <c r="G468" s="5"/>
      <c r="J468" s="3"/>
      <c r="K468" s="3"/>
      <c r="L468" s="6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5"/>
      <c r="Y468" s="3"/>
      <c r="Z468" s="3"/>
      <c r="AA468" s="3"/>
      <c r="AB468" s="5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7"/>
      <c r="AV468" s="7"/>
      <c r="AW468" s="7"/>
      <c r="AX468" s="7"/>
      <c r="AY468" s="8"/>
      <c r="AZ468" s="3"/>
      <c r="BA468" s="3"/>
      <c r="BB468" s="3"/>
      <c r="BC468" s="3"/>
    </row>
    <row r="469" spans="1:55" x14ac:dyDescent="0.25">
      <c r="A469" s="2"/>
      <c r="D469" s="3"/>
      <c r="E469" s="4"/>
      <c r="F469" s="5"/>
      <c r="G469" s="5"/>
      <c r="J469" s="3"/>
      <c r="K469" s="3"/>
      <c r="L469" s="6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5"/>
      <c r="Y469" s="3"/>
      <c r="Z469" s="3"/>
      <c r="AA469" s="3"/>
      <c r="AB469" s="5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7"/>
      <c r="AV469" s="7"/>
      <c r="AW469" s="7"/>
      <c r="AX469" s="7"/>
      <c r="AY469" s="8"/>
      <c r="AZ469" s="3"/>
      <c r="BA469" s="3"/>
      <c r="BB469" s="3"/>
      <c r="BC469" s="3"/>
    </row>
    <row r="470" spans="1:55" x14ac:dyDescent="0.25">
      <c r="A470" s="2"/>
      <c r="D470" s="3"/>
      <c r="E470" s="4"/>
      <c r="F470" s="5"/>
      <c r="G470" s="5"/>
      <c r="J470" s="3"/>
      <c r="K470" s="3"/>
      <c r="L470" s="6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5"/>
      <c r="Y470" s="3"/>
      <c r="Z470" s="3"/>
      <c r="AA470" s="3"/>
      <c r="AB470" s="5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7"/>
      <c r="AV470" s="7"/>
      <c r="AW470" s="7"/>
      <c r="AX470" s="7"/>
      <c r="AY470" s="8"/>
      <c r="AZ470" s="3"/>
      <c r="BA470" s="3"/>
      <c r="BB470" s="3"/>
      <c r="BC470" s="3"/>
    </row>
    <row r="471" spans="1:55" x14ac:dyDescent="0.25">
      <c r="A471" s="2"/>
      <c r="D471" s="3"/>
      <c r="E471" s="4"/>
      <c r="F471" s="5"/>
      <c r="G471" s="5"/>
      <c r="J471" s="3"/>
      <c r="K471" s="3"/>
      <c r="L471" s="6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5"/>
      <c r="Y471" s="3"/>
      <c r="Z471" s="3"/>
      <c r="AA471" s="3"/>
      <c r="AB471" s="5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7"/>
      <c r="AV471" s="7"/>
      <c r="AW471" s="7"/>
      <c r="AX471" s="7"/>
      <c r="AY471" s="8"/>
      <c r="AZ471" s="3"/>
      <c r="BA471" s="3"/>
      <c r="BB471" s="3"/>
      <c r="BC471" s="3"/>
    </row>
    <row r="472" spans="1:55" x14ac:dyDescent="0.25">
      <c r="A472" s="2"/>
      <c r="D472" s="3"/>
      <c r="E472" s="4"/>
      <c r="F472" s="5"/>
      <c r="G472" s="5"/>
      <c r="J472" s="3"/>
      <c r="K472" s="3"/>
      <c r="L472" s="6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5"/>
      <c r="Y472" s="3"/>
      <c r="Z472" s="3"/>
      <c r="AA472" s="3"/>
      <c r="AB472" s="5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7"/>
      <c r="AV472" s="7"/>
      <c r="AW472" s="7"/>
      <c r="AX472" s="7"/>
      <c r="AY472" s="8"/>
      <c r="AZ472" s="3"/>
      <c r="BA472" s="3"/>
      <c r="BB472" s="3"/>
      <c r="BC472" s="3"/>
    </row>
    <row r="473" spans="1:55" x14ac:dyDescent="0.25">
      <c r="A473" s="2"/>
      <c r="D473" s="3"/>
      <c r="E473" s="4"/>
      <c r="F473" s="5"/>
      <c r="G473" s="5"/>
      <c r="J473" s="3"/>
      <c r="K473" s="3"/>
      <c r="L473" s="6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5"/>
      <c r="Y473" s="3"/>
      <c r="Z473" s="3"/>
      <c r="AA473" s="3"/>
      <c r="AB473" s="5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7"/>
      <c r="AV473" s="7"/>
      <c r="AW473" s="7"/>
      <c r="AX473" s="7"/>
      <c r="AY473" s="8"/>
      <c r="AZ473" s="3"/>
      <c r="BA473" s="3"/>
      <c r="BB473" s="3"/>
      <c r="BC473" s="3"/>
    </row>
    <row r="474" spans="1:55" x14ac:dyDescent="0.25">
      <c r="A474" s="2"/>
      <c r="D474" s="3"/>
      <c r="E474" s="4"/>
      <c r="F474" s="5"/>
      <c r="G474" s="5"/>
      <c r="J474" s="3"/>
      <c r="K474" s="3"/>
      <c r="L474" s="6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5"/>
      <c r="Y474" s="3"/>
      <c r="Z474" s="3"/>
      <c r="AA474" s="3"/>
      <c r="AB474" s="5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7"/>
      <c r="AV474" s="7"/>
      <c r="AW474" s="7"/>
      <c r="AX474" s="7"/>
      <c r="AY474" s="8"/>
      <c r="AZ474" s="3"/>
      <c r="BA474" s="3"/>
      <c r="BB474" s="3"/>
      <c r="BC474" s="3"/>
    </row>
    <row r="475" spans="1:55" x14ac:dyDescent="0.25">
      <c r="A475" s="2"/>
      <c r="D475" s="3"/>
      <c r="E475" s="4"/>
      <c r="F475" s="5"/>
      <c r="G475" s="5"/>
      <c r="J475" s="3"/>
      <c r="K475" s="3"/>
      <c r="L475" s="6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5"/>
      <c r="Y475" s="3"/>
      <c r="Z475" s="3"/>
      <c r="AA475" s="3"/>
      <c r="AB475" s="5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7"/>
      <c r="AV475" s="7"/>
      <c r="AW475" s="7"/>
      <c r="AX475" s="7"/>
      <c r="AY475" s="8"/>
      <c r="AZ475" s="3"/>
      <c r="BA475" s="3"/>
      <c r="BB475" s="3"/>
      <c r="BC475" s="3"/>
    </row>
    <row r="476" spans="1:55" x14ac:dyDescent="0.25">
      <c r="A476" s="2"/>
      <c r="D476" s="3"/>
      <c r="E476" s="4"/>
      <c r="F476" s="5"/>
      <c r="G476" s="5"/>
      <c r="J476" s="3"/>
      <c r="K476" s="3"/>
      <c r="L476" s="6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5"/>
      <c r="Y476" s="3"/>
      <c r="Z476" s="3"/>
      <c r="AA476" s="3"/>
      <c r="AB476" s="5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7"/>
      <c r="AV476" s="7"/>
      <c r="AW476" s="7"/>
      <c r="AX476" s="7"/>
      <c r="AY476" s="8"/>
      <c r="AZ476" s="3"/>
      <c r="BA476" s="3"/>
      <c r="BB476" s="3"/>
      <c r="BC476" s="3"/>
    </row>
    <row r="477" spans="1:55" x14ac:dyDescent="0.25">
      <c r="A477" s="2"/>
      <c r="D477" s="3"/>
      <c r="E477" s="4"/>
      <c r="F477" s="5"/>
      <c r="G477" s="5"/>
      <c r="J477" s="3"/>
      <c r="K477" s="3"/>
      <c r="L477" s="6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5"/>
      <c r="Y477" s="3"/>
      <c r="Z477" s="3"/>
      <c r="AA477" s="3"/>
      <c r="AB477" s="5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7"/>
      <c r="AV477" s="7"/>
      <c r="AW477" s="7"/>
      <c r="AX477" s="7"/>
      <c r="AY477" s="8"/>
      <c r="AZ477" s="3"/>
      <c r="BA477" s="3"/>
      <c r="BB477" s="3"/>
      <c r="BC477" s="3"/>
    </row>
    <row r="478" spans="1:55" x14ac:dyDescent="0.25">
      <c r="A478" s="2"/>
      <c r="D478" s="3"/>
      <c r="E478" s="4"/>
      <c r="F478" s="5"/>
      <c r="G478" s="5"/>
      <c r="J478" s="3"/>
      <c r="K478" s="3"/>
      <c r="L478" s="6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5"/>
      <c r="Y478" s="3"/>
      <c r="Z478" s="3"/>
      <c r="AA478" s="3"/>
      <c r="AB478" s="5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7"/>
      <c r="AV478" s="7"/>
      <c r="AW478" s="7"/>
      <c r="AX478" s="7"/>
      <c r="AY478" s="8"/>
      <c r="AZ478" s="3"/>
      <c r="BA478" s="3"/>
      <c r="BB478" s="3"/>
      <c r="BC478" s="3"/>
    </row>
    <row r="479" spans="1:55" x14ac:dyDescent="0.25">
      <c r="A479" s="2"/>
      <c r="D479" s="3"/>
      <c r="E479" s="4"/>
      <c r="F479" s="5"/>
      <c r="G479" s="5"/>
      <c r="J479" s="3"/>
      <c r="K479" s="3"/>
      <c r="L479" s="6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5"/>
      <c r="Y479" s="3"/>
      <c r="Z479" s="3"/>
      <c r="AA479" s="3"/>
      <c r="AB479" s="5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7"/>
      <c r="AV479" s="7"/>
      <c r="AW479" s="7"/>
      <c r="AX479" s="7"/>
      <c r="AY479" s="8"/>
      <c r="AZ479" s="3"/>
      <c r="BA479" s="3"/>
      <c r="BB479" s="3"/>
      <c r="BC479" s="3"/>
    </row>
    <row r="480" spans="1:55" x14ac:dyDescent="0.25">
      <c r="A480" s="2"/>
      <c r="D480" s="3"/>
      <c r="E480" s="4"/>
      <c r="F480" s="5"/>
      <c r="G480" s="5"/>
      <c r="J480" s="3"/>
      <c r="K480" s="3"/>
      <c r="L480" s="6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5"/>
      <c r="Y480" s="3"/>
      <c r="Z480" s="3"/>
      <c r="AA480" s="3"/>
      <c r="AB480" s="5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7"/>
      <c r="AV480" s="7"/>
      <c r="AW480" s="7"/>
      <c r="AX480" s="7"/>
      <c r="AY480" s="8"/>
      <c r="AZ480" s="3"/>
      <c r="BA480" s="3"/>
      <c r="BB480" s="3"/>
      <c r="BC480" s="3"/>
    </row>
    <row r="481" spans="1:55" x14ac:dyDescent="0.25">
      <c r="A481" s="2"/>
      <c r="D481" s="3"/>
      <c r="E481" s="4"/>
      <c r="F481" s="5"/>
      <c r="G481" s="5"/>
      <c r="J481" s="3"/>
      <c r="K481" s="3"/>
      <c r="L481" s="6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5"/>
      <c r="Y481" s="3"/>
      <c r="Z481" s="3"/>
      <c r="AA481" s="3"/>
      <c r="AB481" s="5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7"/>
      <c r="AV481" s="7"/>
      <c r="AW481" s="7"/>
      <c r="AX481" s="7"/>
      <c r="AY481" s="8"/>
      <c r="AZ481" s="3"/>
      <c r="BA481" s="3"/>
      <c r="BB481" s="3"/>
      <c r="BC481" s="3"/>
    </row>
    <row r="482" spans="1:55" x14ac:dyDescent="0.25">
      <c r="A482" s="2"/>
      <c r="D482" s="3"/>
      <c r="E482" s="4"/>
      <c r="F482" s="5"/>
      <c r="G482" s="5"/>
      <c r="J482" s="3"/>
      <c r="K482" s="3"/>
      <c r="L482" s="6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5"/>
      <c r="Y482" s="3"/>
      <c r="Z482" s="3"/>
      <c r="AA482" s="3"/>
      <c r="AB482" s="5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7"/>
      <c r="AV482" s="7"/>
      <c r="AW482" s="7"/>
      <c r="AX482" s="7"/>
      <c r="AY482" s="8"/>
      <c r="AZ482" s="3"/>
      <c r="BA482" s="3"/>
      <c r="BB482" s="3"/>
      <c r="BC482" s="3"/>
    </row>
    <row r="483" spans="1:55" x14ac:dyDescent="0.25">
      <c r="A483" s="2"/>
      <c r="D483" s="3"/>
      <c r="E483" s="4"/>
      <c r="F483" s="5"/>
      <c r="G483" s="5"/>
      <c r="J483" s="3"/>
      <c r="K483" s="3"/>
      <c r="L483" s="6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5"/>
      <c r="Y483" s="3"/>
      <c r="Z483" s="3"/>
      <c r="AA483" s="3"/>
      <c r="AB483" s="5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7"/>
      <c r="AV483" s="7"/>
      <c r="AW483" s="7"/>
      <c r="AX483" s="7"/>
      <c r="AY483" s="8"/>
      <c r="AZ483" s="3"/>
      <c r="BA483" s="3"/>
      <c r="BB483" s="3"/>
      <c r="BC483" s="3"/>
    </row>
    <row r="484" spans="1:55" x14ac:dyDescent="0.25">
      <c r="A484" s="2"/>
      <c r="D484" s="3"/>
      <c r="E484" s="4"/>
      <c r="F484" s="5"/>
      <c r="G484" s="5"/>
      <c r="J484" s="3"/>
      <c r="K484" s="3"/>
      <c r="L484" s="6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5"/>
      <c r="Y484" s="3"/>
      <c r="Z484" s="3"/>
      <c r="AA484" s="3"/>
      <c r="AB484" s="5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7"/>
      <c r="AV484" s="7"/>
      <c r="AW484" s="7"/>
      <c r="AX484" s="7"/>
      <c r="AY484" s="8"/>
      <c r="AZ484" s="3"/>
      <c r="BA484" s="3"/>
      <c r="BB484" s="3"/>
      <c r="BC484" s="3"/>
    </row>
    <row r="485" spans="1:55" x14ac:dyDescent="0.25">
      <c r="A485" s="2"/>
      <c r="D485" s="3"/>
      <c r="E485" s="4"/>
      <c r="F485" s="5"/>
      <c r="G485" s="5"/>
      <c r="J485" s="3"/>
      <c r="K485" s="3"/>
      <c r="L485" s="6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5"/>
      <c r="Y485" s="3"/>
      <c r="Z485" s="3"/>
      <c r="AA485" s="3"/>
      <c r="AB485" s="5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7"/>
      <c r="AV485" s="7"/>
      <c r="AW485" s="7"/>
      <c r="AX485" s="7"/>
      <c r="AY485" s="8"/>
      <c r="AZ485" s="3"/>
      <c r="BA485" s="3"/>
      <c r="BB485" s="3"/>
      <c r="BC485" s="3"/>
    </row>
    <row r="486" spans="1:55" x14ac:dyDescent="0.25">
      <c r="A486" s="2"/>
      <c r="D486" s="3"/>
      <c r="E486" s="4"/>
      <c r="F486" s="5"/>
      <c r="G486" s="5"/>
      <c r="J486" s="3"/>
      <c r="K486" s="3"/>
      <c r="L486" s="6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5"/>
      <c r="Y486" s="3"/>
      <c r="Z486" s="3"/>
      <c r="AA486" s="3"/>
      <c r="AB486" s="5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7"/>
      <c r="AV486" s="7"/>
      <c r="AW486" s="7"/>
      <c r="AX486" s="7"/>
      <c r="AY486" s="8"/>
      <c r="AZ486" s="3"/>
      <c r="BA486" s="3"/>
      <c r="BB486" s="3"/>
      <c r="BC486" s="3"/>
    </row>
    <row r="487" spans="1:55" x14ac:dyDescent="0.25">
      <c r="A487" s="2"/>
      <c r="D487" s="3"/>
      <c r="E487" s="4"/>
      <c r="F487" s="5"/>
      <c r="G487" s="5"/>
      <c r="J487" s="3"/>
      <c r="K487" s="3"/>
      <c r="L487" s="6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5"/>
      <c r="Y487" s="3"/>
      <c r="Z487" s="3"/>
      <c r="AA487" s="3"/>
      <c r="AB487" s="5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7"/>
      <c r="AV487" s="7"/>
      <c r="AW487" s="7"/>
      <c r="AX487" s="7"/>
      <c r="AY487" s="8"/>
      <c r="AZ487" s="3"/>
      <c r="BA487" s="3"/>
      <c r="BB487" s="3"/>
      <c r="BC487" s="3"/>
    </row>
    <row r="488" spans="1:55" x14ac:dyDescent="0.25">
      <c r="A488" s="2"/>
      <c r="D488" s="3"/>
      <c r="E488" s="4"/>
      <c r="F488" s="5"/>
      <c r="G488" s="5"/>
      <c r="J488" s="3"/>
      <c r="K488" s="3"/>
      <c r="L488" s="6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5"/>
      <c r="Y488" s="3"/>
      <c r="Z488" s="3"/>
      <c r="AA488" s="3"/>
      <c r="AB488" s="5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7"/>
      <c r="AV488" s="7"/>
      <c r="AW488" s="7"/>
      <c r="AX488" s="7"/>
      <c r="AY488" s="8"/>
      <c r="AZ488" s="3"/>
      <c r="BA488" s="3"/>
      <c r="BB488" s="3"/>
      <c r="BC488" s="3"/>
    </row>
    <row r="489" spans="1:55" x14ac:dyDescent="0.25">
      <c r="A489" s="2"/>
      <c r="D489" s="3"/>
      <c r="E489" s="4"/>
      <c r="F489" s="5"/>
      <c r="G489" s="5"/>
      <c r="J489" s="3"/>
      <c r="K489" s="3"/>
      <c r="L489" s="6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5"/>
      <c r="Y489" s="3"/>
      <c r="Z489" s="3"/>
      <c r="AA489" s="3"/>
      <c r="AB489" s="5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7"/>
      <c r="AV489" s="7"/>
      <c r="AW489" s="7"/>
      <c r="AX489" s="7"/>
      <c r="AY489" s="8"/>
      <c r="AZ489" s="3"/>
      <c r="BA489" s="3"/>
      <c r="BB489" s="3"/>
      <c r="BC489" s="3"/>
    </row>
    <row r="490" spans="1:55" x14ac:dyDescent="0.25">
      <c r="A490" s="2"/>
      <c r="D490" s="3"/>
      <c r="E490" s="4"/>
      <c r="F490" s="5"/>
      <c r="G490" s="5"/>
      <c r="J490" s="3"/>
      <c r="K490" s="3"/>
      <c r="L490" s="6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5"/>
      <c r="Y490" s="3"/>
      <c r="Z490" s="3"/>
      <c r="AA490" s="3"/>
      <c r="AB490" s="5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7"/>
      <c r="AV490" s="7"/>
      <c r="AW490" s="7"/>
      <c r="AX490" s="7"/>
      <c r="AY490" s="8"/>
      <c r="AZ490" s="3"/>
      <c r="BA490" s="3"/>
      <c r="BB490" s="3"/>
      <c r="BC490" s="3"/>
    </row>
    <row r="491" spans="1:55" x14ac:dyDescent="0.25">
      <c r="A491" s="2"/>
      <c r="D491" s="3"/>
      <c r="E491" s="4"/>
      <c r="F491" s="5"/>
      <c r="G491" s="5"/>
      <c r="J491" s="3"/>
      <c r="K491" s="3"/>
      <c r="L491" s="6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5"/>
      <c r="Y491" s="3"/>
      <c r="Z491" s="3"/>
      <c r="AA491" s="3"/>
      <c r="AB491" s="5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7"/>
      <c r="AV491" s="7"/>
      <c r="AW491" s="7"/>
      <c r="AX491" s="7"/>
      <c r="AY491" s="8"/>
      <c r="AZ491" s="3"/>
      <c r="BA491" s="3"/>
      <c r="BB491" s="3"/>
      <c r="BC491" s="3"/>
    </row>
    <row r="492" spans="1:55" x14ac:dyDescent="0.25">
      <c r="A492" s="2"/>
      <c r="D492" s="3"/>
      <c r="E492" s="4"/>
      <c r="F492" s="5"/>
      <c r="G492" s="5"/>
      <c r="J492" s="3"/>
      <c r="K492" s="3"/>
      <c r="L492" s="6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5"/>
      <c r="Y492" s="3"/>
      <c r="Z492" s="3"/>
      <c r="AA492" s="3"/>
      <c r="AB492" s="5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7"/>
      <c r="AV492" s="7"/>
      <c r="AW492" s="7"/>
      <c r="AX492" s="7"/>
      <c r="AY492" s="8"/>
      <c r="AZ492" s="3"/>
      <c r="BA492" s="3"/>
      <c r="BB492" s="3"/>
      <c r="BC492" s="3"/>
    </row>
    <row r="493" spans="1:55" x14ac:dyDescent="0.25">
      <c r="A493" s="2"/>
      <c r="D493" s="3"/>
      <c r="E493" s="4"/>
      <c r="F493" s="5"/>
      <c r="G493" s="5"/>
      <c r="J493" s="3"/>
      <c r="K493" s="3"/>
      <c r="L493" s="6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5"/>
      <c r="Y493" s="3"/>
      <c r="Z493" s="3"/>
      <c r="AA493" s="3"/>
      <c r="AB493" s="5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7"/>
      <c r="AV493" s="7"/>
      <c r="AW493" s="7"/>
      <c r="AX493" s="7"/>
      <c r="AY493" s="8"/>
      <c r="AZ493" s="3"/>
      <c r="BA493" s="3"/>
      <c r="BB493" s="3"/>
      <c r="BC493" s="3"/>
    </row>
    <row r="494" spans="1:55" x14ac:dyDescent="0.25">
      <c r="A494" s="2"/>
      <c r="D494" s="3"/>
      <c r="E494" s="4"/>
      <c r="F494" s="5"/>
      <c r="G494" s="5"/>
      <c r="J494" s="3"/>
      <c r="K494" s="3"/>
      <c r="L494" s="6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5"/>
      <c r="Y494" s="3"/>
      <c r="Z494" s="3"/>
      <c r="AA494" s="3"/>
      <c r="AB494" s="5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7"/>
      <c r="AV494" s="7"/>
      <c r="AW494" s="7"/>
      <c r="AX494" s="7"/>
      <c r="AY494" s="8"/>
      <c r="AZ494" s="3"/>
      <c r="BA494" s="3"/>
      <c r="BB494" s="3"/>
      <c r="BC494" s="3"/>
    </row>
    <row r="495" spans="1:55" x14ac:dyDescent="0.25">
      <c r="A495" s="2"/>
      <c r="D495" s="3"/>
      <c r="E495" s="4"/>
      <c r="F495" s="5"/>
      <c r="G495" s="5"/>
      <c r="J495" s="3"/>
      <c r="K495" s="3"/>
      <c r="L495" s="6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5"/>
      <c r="Y495" s="3"/>
      <c r="Z495" s="3"/>
      <c r="AA495" s="3"/>
      <c r="AB495" s="5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7"/>
      <c r="AV495" s="7"/>
      <c r="AW495" s="7"/>
      <c r="AX495" s="7"/>
      <c r="AY495" s="8"/>
      <c r="AZ495" s="3"/>
      <c r="BA495" s="3"/>
      <c r="BB495" s="3"/>
      <c r="BC495" s="3"/>
    </row>
    <row r="496" spans="1:55" x14ac:dyDescent="0.25">
      <c r="A496" s="2"/>
      <c r="D496" s="3"/>
      <c r="E496" s="4"/>
      <c r="F496" s="5"/>
      <c r="G496" s="5"/>
      <c r="J496" s="3"/>
      <c r="K496" s="3"/>
      <c r="L496" s="6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5"/>
      <c r="Y496" s="3"/>
      <c r="Z496" s="3"/>
      <c r="AA496" s="3"/>
      <c r="AB496" s="5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7"/>
      <c r="AV496" s="7"/>
      <c r="AW496" s="7"/>
      <c r="AX496" s="7"/>
      <c r="AY496" s="8"/>
      <c r="AZ496" s="3"/>
      <c r="BA496" s="3"/>
      <c r="BB496" s="3"/>
      <c r="BC496" s="3"/>
    </row>
    <row r="497" spans="1:55" x14ac:dyDescent="0.25">
      <c r="A497" s="2"/>
      <c r="D497" s="3"/>
      <c r="E497" s="4"/>
      <c r="F497" s="5"/>
      <c r="G497" s="5"/>
      <c r="J497" s="3"/>
      <c r="K497" s="3"/>
      <c r="L497" s="6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5"/>
      <c r="Y497" s="3"/>
      <c r="Z497" s="3"/>
      <c r="AA497" s="3"/>
      <c r="AB497" s="5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7"/>
      <c r="AV497" s="7"/>
      <c r="AW497" s="7"/>
      <c r="AX497" s="7"/>
      <c r="AY497" s="8"/>
      <c r="AZ497" s="3"/>
      <c r="BA497" s="3"/>
      <c r="BB497" s="3"/>
      <c r="BC497" s="3"/>
    </row>
    <row r="498" spans="1:55" x14ac:dyDescent="0.25">
      <c r="A498" s="2"/>
      <c r="D498" s="3"/>
      <c r="E498" s="4"/>
      <c r="F498" s="5"/>
      <c r="G498" s="5"/>
      <c r="J498" s="3"/>
      <c r="K498" s="3"/>
      <c r="L498" s="6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5"/>
      <c r="Y498" s="3"/>
      <c r="Z498" s="3"/>
      <c r="AA498" s="3"/>
      <c r="AB498" s="5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7"/>
      <c r="AV498" s="7"/>
      <c r="AW498" s="7"/>
      <c r="AX498" s="7"/>
      <c r="AY498" s="8"/>
      <c r="AZ498" s="3"/>
      <c r="BA498" s="3"/>
      <c r="BB498" s="3"/>
      <c r="BC498" s="3"/>
    </row>
    <row r="499" spans="1:55" x14ac:dyDescent="0.25">
      <c r="A499" s="2"/>
      <c r="D499" s="3"/>
      <c r="E499" s="4"/>
      <c r="F499" s="5"/>
      <c r="G499" s="5"/>
      <c r="J499" s="3"/>
      <c r="K499" s="3"/>
      <c r="L499" s="6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5"/>
      <c r="Y499" s="3"/>
      <c r="Z499" s="3"/>
      <c r="AA499" s="3"/>
      <c r="AB499" s="5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7"/>
      <c r="AV499" s="7"/>
      <c r="AW499" s="7"/>
      <c r="AX499" s="7"/>
      <c r="AY499" s="8"/>
      <c r="AZ499" s="3"/>
      <c r="BA499" s="3"/>
      <c r="BB499" s="3"/>
      <c r="BC499" s="3"/>
    </row>
    <row r="500" spans="1:55" x14ac:dyDescent="0.25">
      <c r="A500" s="2"/>
      <c r="D500" s="3"/>
      <c r="E500" s="4"/>
      <c r="F500" s="5"/>
      <c r="G500" s="5"/>
      <c r="J500" s="3"/>
      <c r="K500" s="3"/>
      <c r="L500" s="6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5"/>
      <c r="Y500" s="3"/>
      <c r="Z500" s="3"/>
      <c r="AA500" s="3"/>
      <c r="AB500" s="5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7"/>
      <c r="AV500" s="7"/>
      <c r="AW500" s="7"/>
      <c r="AX500" s="7"/>
      <c r="AY500" s="8"/>
      <c r="AZ500" s="3"/>
      <c r="BA500" s="3"/>
      <c r="BB500" s="3"/>
      <c r="BC500" s="3"/>
    </row>
    <row r="501" spans="1:55" x14ac:dyDescent="0.25">
      <c r="A501" s="2"/>
      <c r="D501" s="3"/>
      <c r="E501" s="4"/>
      <c r="F501" s="5"/>
      <c r="G501" s="5"/>
      <c r="J501" s="3"/>
      <c r="K501" s="3"/>
      <c r="L501" s="6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5"/>
      <c r="Y501" s="3"/>
      <c r="Z501" s="3"/>
      <c r="AA501" s="3"/>
      <c r="AB501" s="5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7"/>
      <c r="AV501" s="7"/>
      <c r="AW501" s="7"/>
      <c r="AX501" s="7"/>
      <c r="AY501" s="8"/>
      <c r="AZ501" s="3"/>
      <c r="BA501" s="3"/>
      <c r="BB501" s="3"/>
      <c r="BC501" s="3"/>
    </row>
    <row r="502" spans="1:55" x14ac:dyDescent="0.25">
      <c r="A502" s="2"/>
      <c r="D502" s="3"/>
      <c r="E502" s="4"/>
      <c r="F502" s="5"/>
      <c r="G502" s="5"/>
      <c r="J502" s="3"/>
      <c r="K502" s="3"/>
      <c r="L502" s="6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5"/>
      <c r="Y502" s="3"/>
      <c r="Z502" s="3"/>
      <c r="AA502" s="3"/>
      <c r="AB502" s="5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7"/>
      <c r="AV502" s="7"/>
      <c r="AW502" s="7"/>
      <c r="AX502" s="7"/>
      <c r="AY502" s="8"/>
      <c r="AZ502" s="3"/>
      <c r="BA502" s="3"/>
      <c r="BB502" s="3"/>
      <c r="BC502" s="3"/>
    </row>
    <row r="503" spans="1:55" x14ac:dyDescent="0.25">
      <c r="A503" s="2"/>
      <c r="D503" s="3"/>
      <c r="E503" s="4"/>
      <c r="F503" s="5"/>
      <c r="G503" s="5"/>
      <c r="J503" s="3"/>
      <c r="K503" s="3"/>
      <c r="L503" s="6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5"/>
      <c r="Y503" s="3"/>
      <c r="Z503" s="3"/>
      <c r="AA503" s="3"/>
      <c r="AB503" s="5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7"/>
      <c r="AV503" s="7"/>
      <c r="AW503" s="7"/>
      <c r="AX503" s="7"/>
      <c r="AY503" s="8"/>
      <c r="AZ503" s="3"/>
      <c r="BA503" s="3"/>
      <c r="BB503" s="3"/>
      <c r="BC503" s="3"/>
    </row>
    <row r="504" spans="1:55" x14ac:dyDescent="0.25">
      <c r="A504" s="2"/>
      <c r="D504" s="3"/>
      <c r="E504" s="4"/>
      <c r="F504" s="5"/>
      <c r="G504" s="5"/>
      <c r="J504" s="3"/>
      <c r="K504" s="3"/>
      <c r="L504" s="6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5"/>
      <c r="Y504" s="3"/>
      <c r="Z504" s="3"/>
      <c r="AA504" s="3"/>
      <c r="AB504" s="5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7"/>
      <c r="AV504" s="7"/>
      <c r="AW504" s="7"/>
      <c r="AX504" s="7"/>
      <c r="AY504" s="8"/>
      <c r="AZ504" s="3"/>
      <c r="BA504" s="3"/>
      <c r="BB504" s="3"/>
      <c r="BC504" s="3"/>
    </row>
    <row r="505" spans="1:55" x14ac:dyDescent="0.25">
      <c r="A505" s="2"/>
      <c r="D505" s="3"/>
      <c r="E505" s="4"/>
      <c r="F505" s="5"/>
      <c r="G505" s="5"/>
      <c r="J505" s="3"/>
      <c r="K505" s="3"/>
      <c r="L505" s="6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5"/>
      <c r="Y505" s="3"/>
      <c r="Z505" s="3"/>
      <c r="AA505" s="3"/>
      <c r="AB505" s="5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7"/>
      <c r="AV505" s="7"/>
      <c r="AW505" s="7"/>
      <c r="AX505" s="7"/>
      <c r="AY505" s="8"/>
      <c r="AZ505" s="3"/>
      <c r="BA505" s="3"/>
      <c r="BB505" s="3"/>
      <c r="BC505" s="3"/>
    </row>
    <row r="506" spans="1:55" x14ac:dyDescent="0.25">
      <c r="A506" s="2"/>
      <c r="D506" s="3"/>
      <c r="E506" s="4"/>
      <c r="F506" s="5"/>
      <c r="G506" s="5"/>
      <c r="J506" s="3"/>
      <c r="K506" s="3"/>
      <c r="L506" s="6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5"/>
      <c r="Y506" s="3"/>
      <c r="Z506" s="3"/>
      <c r="AA506" s="3"/>
      <c r="AB506" s="5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7"/>
      <c r="AV506" s="7"/>
      <c r="AW506" s="7"/>
      <c r="AX506" s="7"/>
      <c r="AY506" s="8"/>
      <c r="AZ506" s="3"/>
      <c r="BA506" s="3"/>
      <c r="BB506" s="3"/>
      <c r="BC506" s="3"/>
    </row>
    <row r="507" spans="1:55" x14ac:dyDescent="0.25">
      <c r="A507" s="2"/>
      <c r="D507" s="3"/>
      <c r="E507" s="4"/>
      <c r="F507" s="5"/>
      <c r="G507" s="5"/>
      <c r="J507" s="3"/>
      <c r="K507" s="3"/>
      <c r="L507" s="6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5"/>
      <c r="Y507" s="3"/>
      <c r="Z507" s="3"/>
      <c r="AA507" s="3"/>
      <c r="AB507" s="5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7"/>
      <c r="AV507" s="7"/>
      <c r="AW507" s="7"/>
      <c r="AX507" s="7"/>
      <c r="AY507" s="8"/>
      <c r="AZ507" s="3"/>
      <c r="BA507" s="3"/>
      <c r="BB507" s="3"/>
      <c r="BC507" s="3"/>
    </row>
    <row r="508" spans="1:55" x14ac:dyDescent="0.25">
      <c r="A508" s="2"/>
      <c r="D508" s="3"/>
      <c r="E508" s="4"/>
      <c r="F508" s="5"/>
      <c r="G508" s="5"/>
      <c r="J508" s="3"/>
      <c r="K508" s="3"/>
      <c r="L508" s="6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5"/>
      <c r="Y508" s="3"/>
      <c r="Z508" s="3"/>
      <c r="AA508" s="3"/>
      <c r="AB508" s="5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7"/>
      <c r="AV508" s="7"/>
      <c r="AW508" s="7"/>
      <c r="AX508" s="7"/>
      <c r="AY508" s="8"/>
      <c r="AZ508" s="3"/>
      <c r="BA508" s="3"/>
      <c r="BB508" s="3"/>
      <c r="BC508" s="3"/>
    </row>
    <row r="509" spans="1:55" x14ac:dyDescent="0.25">
      <c r="A509" s="2"/>
      <c r="D509" s="3"/>
      <c r="E509" s="4"/>
      <c r="F509" s="5"/>
      <c r="G509" s="5"/>
      <c r="J509" s="3"/>
      <c r="K509" s="3"/>
      <c r="L509" s="6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5"/>
      <c r="Y509" s="3"/>
      <c r="Z509" s="3"/>
      <c r="AA509" s="3"/>
      <c r="AB509" s="5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7"/>
      <c r="AV509" s="7"/>
      <c r="AW509" s="7"/>
      <c r="AX509" s="7"/>
      <c r="AY509" s="8"/>
      <c r="AZ509" s="3"/>
      <c r="BA509" s="3"/>
      <c r="BB509" s="3"/>
      <c r="BC509" s="3"/>
    </row>
    <row r="510" spans="1:55" x14ac:dyDescent="0.25">
      <c r="A510" s="2"/>
      <c r="D510" s="3"/>
      <c r="E510" s="4"/>
      <c r="F510" s="5"/>
      <c r="G510" s="5"/>
      <c r="J510" s="3"/>
      <c r="K510" s="3"/>
      <c r="L510" s="6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5"/>
      <c r="Y510" s="3"/>
      <c r="Z510" s="3"/>
      <c r="AA510" s="3"/>
      <c r="AB510" s="5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7"/>
      <c r="AV510" s="7"/>
      <c r="AW510" s="7"/>
      <c r="AX510" s="7"/>
      <c r="AY510" s="8"/>
      <c r="AZ510" s="3"/>
      <c r="BA510" s="3"/>
      <c r="BB510" s="3"/>
      <c r="BC510" s="3"/>
    </row>
    <row r="511" spans="1:55" x14ac:dyDescent="0.25">
      <c r="A511" s="2"/>
      <c r="D511" s="3"/>
      <c r="E511" s="4"/>
      <c r="F511" s="5"/>
      <c r="G511" s="5"/>
      <c r="J511" s="3"/>
      <c r="K511" s="3"/>
      <c r="L511" s="6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5"/>
      <c r="Y511" s="3"/>
      <c r="Z511" s="3"/>
      <c r="AA511" s="3"/>
      <c r="AB511" s="5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7"/>
      <c r="AV511" s="7"/>
      <c r="AW511" s="7"/>
      <c r="AX511" s="7"/>
      <c r="AY511" s="8"/>
      <c r="AZ511" s="3"/>
      <c r="BA511" s="3"/>
      <c r="BB511" s="3"/>
      <c r="BC511" s="3"/>
    </row>
    <row r="512" spans="1:55" x14ac:dyDescent="0.25">
      <c r="A512" s="2"/>
      <c r="D512" s="3"/>
      <c r="E512" s="4"/>
      <c r="F512" s="5"/>
      <c r="G512" s="5"/>
      <c r="J512" s="3"/>
      <c r="K512" s="3"/>
      <c r="L512" s="6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5"/>
      <c r="Y512" s="3"/>
      <c r="Z512" s="3"/>
      <c r="AA512" s="3"/>
      <c r="AB512" s="5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7"/>
      <c r="AV512" s="7"/>
      <c r="AW512" s="7"/>
      <c r="AX512" s="7"/>
      <c r="AY512" s="8"/>
      <c r="AZ512" s="3"/>
      <c r="BA512" s="3"/>
      <c r="BB512" s="3"/>
      <c r="BC512" s="3"/>
    </row>
    <row r="513" spans="1:55" x14ac:dyDescent="0.25">
      <c r="A513" s="2"/>
      <c r="D513" s="3"/>
      <c r="E513" s="4"/>
      <c r="F513" s="5"/>
      <c r="G513" s="5"/>
      <c r="J513" s="3"/>
      <c r="K513" s="3"/>
      <c r="L513" s="6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5"/>
      <c r="Y513" s="3"/>
      <c r="Z513" s="3"/>
      <c r="AA513" s="3"/>
      <c r="AB513" s="5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7"/>
      <c r="AV513" s="7"/>
      <c r="AW513" s="7"/>
      <c r="AX513" s="7"/>
      <c r="AY513" s="8"/>
      <c r="AZ513" s="3"/>
      <c r="BA513" s="3"/>
      <c r="BB513" s="3"/>
      <c r="BC513" s="3"/>
    </row>
    <row r="514" spans="1:55" x14ac:dyDescent="0.25">
      <c r="A514" s="2"/>
      <c r="D514" s="3"/>
      <c r="E514" s="4"/>
      <c r="F514" s="5"/>
      <c r="G514" s="5"/>
      <c r="J514" s="3"/>
      <c r="K514" s="3"/>
      <c r="L514" s="6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5"/>
      <c r="Y514" s="3"/>
      <c r="Z514" s="3"/>
      <c r="AA514" s="3"/>
      <c r="AB514" s="5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7"/>
      <c r="AV514" s="7"/>
      <c r="AW514" s="7"/>
      <c r="AX514" s="7"/>
      <c r="AY514" s="8"/>
      <c r="AZ514" s="3"/>
      <c r="BA514" s="3"/>
      <c r="BB514" s="3"/>
      <c r="BC514" s="3"/>
    </row>
    <row r="515" spans="1:55" x14ac:dyDescent="0.25">
      <c r="A515" s="2"/>
      <c r="D515" s="3"/>
      <c r="E515" s="4"/>
      <c r="F515" s="5"/>
      <c r="G515" s="5"/>
      <c r="J515" s="3"/>
      <c r="K515" s="3"/>
      <c r="L515" s="6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5"/>
      <c r="Y515" s="3"/>
      <c r="Z515" s="3"/>
      <c r="AA515" s="3"/>
      <c r="AB515" s="5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7"/>
      <c r="AV515" s="7"/>
      <c r="AW515" s="7"/>
      <c r="AX515" s="7"/>
      <c r="AY515" s="8"/>
      <c r="AZ515" s="3"/>
      <c r="BA515" s="3"/>
      <c r="BB515" s="3"/>
      <c r="BC515" s="3"/>
    </row>
    <row r="516" spans="1:55" x14ac:dyDescent="0.25">
      <c r="A516" s="2"/>
      <c r="D516" s="3"/>
      <c r="E516" s="4"/>
      <c r="F516" s="5"/>
      <c r="G516" s="5"/>
      <c r="J516" s="3"/>
      <c r="K516" s="3"/>
      <c r="L516" s="6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5"/>
      <c r="Y516" s="3"/>
      <c r="Z516" s="3"/>
      <c r="AA516" s="3"/>
      <c r="AB516" s="5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7"/>
      <c r="AV516" s="7"/>
      <c r="AW516" s="7"/>
      <c r="AX516" s="7"/>
      <c r="AY516" s="8"/>
      <c r="AZ516" s="3"/>
      <c r="BA516" s="3"/>
      <c r="BB516" s="3"/>
      <c r="BC516" s="3"/>
    </row>
    <row r="517" spans="1:55" x14ac:dyDescent="0.25">
      <c r="A517" s="2"/>
      <c r="D517" s="3"/>
      <c r="E517" s="4"/>
      <c r="F517" s="5"/>
      <c r="G517" s="5"/>
      <c r="J517" s="3"/>
      <c r="K517" s="3"/>
      <c r="L517" s="6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5"/>
      <c r="Y517" s="3"/>
      <c r="Z517" s="3"/>
      <c r="AA517" s="3"/>
      <c r="AB517" s="5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7"/>
      <c r="AV517" s="7"/>
      <c r="AW517" s="7"/>
      <c r="AX517" s="7"/>
      <c r="AY517" s="8"/>
      <c r="AZ517" s="3"/>
      <c r="BA517" s="3"/>
      <c r="BB517" s="3"/>
      <c r="BC517" s="3"/>
    </row>
    <row r="518" spans="1:55" x14ac:dyDescent="0.25">
      <c r="A518" s="2"/>
      <c r="D518" s="3"/>
      <c r="E518" s="4"/>
      <c r="F518" s="5"/>
      <c r="G518" s="5"/>
      <c r="J518" s="3"/>
      <c r="K518" s="3"/>
      <c r="L518" s="6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5"/>
      <c r="Y518" s="3"/>
      <c r="Z518" s="3"/>
      <c r="AA518" s="3"/>
      <c r="AB518" s="5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7"/>
      <c r="AV518" s="7"/>
      <c r="AW518" s="7"/>
      <c r="AX518" s="7"/>
      <c r="AY518" s="8"/>
      <c r="AZ518" s="3"/>
      <c r="BA518" s="3"/>
      <c r="BB518" s="3"/>
      <c r="BC518" s="3"/>
    </row>
    <row r="519" spans="1:55" x14ac:dyDescent="0.25">
      <c r="A519" s="2"/>
      <c r="D519" s="3"/>
      <c r="E519" s="4"/>
      <c r="F519" s="5"/>
      <c r="G519" s="5"/>
      <c r="J519" s="3"/>
      <c r="K519" s="3"/>
      <c r="L519" s="6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5"/>
      <c r="Y519" s="3"/>
      <c r="Z519" s="3"/>
      <c r="AA519" s="3"/>
      <c r="AB519" s="5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7"/>
      <c r="AV519" s="7"/>
      <c r="AW519" s="7"/>
      <c r="AX519" s="7"/>
      <c r="AY519" s="8"/>
      <c r="AZ519" s="3"/>
      <c r="BA519" s="3"/>
      <c r="BB519" s="3"/>
      <c r="BC519" s="3"/>
    </row>
    <row r="520" spans="1:55" x14ac:dyDescent="0.25">
      <c r="A520" s="2"/>
      <c r="D520" s="3"/>
      <c r="E520" s="4"/>
      <c r="F520" s="5"/>
      <c r="G520" s="5"/>
      <c r="J520" s="3"/>
      <c r="K520" s="3"/>
      <c r="L520" s="6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5"/>
      <c r="Y520" s="3"/>
      <c r="Z520" s="3"/>
      <c r="AA520" s="3"/>
      <c r="AB520" s="5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7"/>
      <c r="AV520" s="7"/>
      <c r="AW520" s="7"/>
      <c r="AX520" s="7"/>
      <c r="AY520" s="8"/>
      <c r="AZ520" s="3"/>
      <c r="BA520" s="3"/>
      <c r="BB520" s="3"/>
      <c r="BC520" s="3"/>
    </row>
    <row r="521" spans="1:55" x14ac:dyDescent="0.25">
      <c r="A521" s="2"/>
      <c r="D521" s="3"/>
      <c r="E521" s="4"/>
      <c r="F521" s="5"/>
      <c r="G521" s="5"/>
      <c r="J521" s="3"/>
      <c r="K521" s="3"/>
      <c r="L521" s="6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5"/>
      <c r="Y521" s="3"/>
      <c r="Z521" s="3"/>
      <c r="AA521" s="3"/>
      <c r="AB521" s="5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7"/>
      <c r="AV521" s="7"/>
      <c r="AW521" s="7"/>
      <c r="AX521" s="7"/>
      <c r="AY521" s="8"/>
      <c r="AZ521" s="3"/>
      <c r="BA521" s="3"/>
      <c r="BB521" s="3"/>
      <c r="BC521" s="3"/>
    </row>
    <row r="522" spans="1:55" x14ac:dyDescent="0.25">
      <c r="A522" s="2"/>
      <c r="D522" s="3"/>
      <c r="E522" s="4"/>
      <c r="F522" s="5"/>
      <c r="G522" s="5"/>
      <c r="J522" s="3"/>
      <c r="K522" s="3"/>
      <c r="L522" s="6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5"/>
      <c r="Y522" s="3"/>
      <c r="Z522" s="3"/>
      <c r="AA522" s="3"/>
      <c r="AB522" s="5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7"/>
      <c r="AV522" s="7"/>
      <c r="AW522" s="7"/>
      <c r="AX522" s="7"/>
      <c r="AY522" s="8"/>
      <c r="AZ522" s="3"/>
      <c r="BA522" s="3"/>
      <c r="BB522" s="3"/>
      <c r="BC522" s="3"/>
    </row>
    <row r="523" spans="1:55" x14ac:dyDescent="0.25">
      <c r="A523" s="2"/>
      <c r="D523" s="3"/>
      <c r="E523" s="4"/>
      <c r="F523" s="5"/>
      <c r="G523" s="5"/>
      <c r="J523" s="3"/>
      <c r="K523" s="3"/>
      <c r="L523" s="6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5"/>
      <c r="Y523" s="3"/>
      <c r="Z523" s="3"/>
      <c r="AA523" s="3"/>
      <c r="AB523" s="5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7"/>
      <c r="AV523" s="7"/>
      <c r="AW523" s="7"/>
      <c r="AX523" s="7"/>
      <c r="AY523" s="8"/>
      <c r="AZ523" s="3"/>
      <c r="BA523" s="3"/>
      <c r="BB523" s="3"/>
      <c r="BC523" s="3"/>
    </row>
    <row r="524" spans="1:55" x14ac:dyDescent="0.25">
      <c r="A524" s="2"/>
      <c r="D524" s="3"/>
      <c r="E524" s="4"/>
      <c r="F524" s="5"/>
      <c r="G524" s="5"/>
      <c r="J524" s="3"/>
      <c r="K524" s="3"/>
      <c r="L524" s="6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5"/>
      <c r="Y524" s="3"/>
      <c r="Z524" s="3"/>
      <c r="AA524" s="3"/>
      <c r="AB524" s="5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7"/>
      <c r="AV524" s="7"/>
      <c r="AW524" s="7"/>
      <c r="AX524" s="7"/>
      <c r="AY524" s="8"/>
      <c r="AZ524" s="3"/>
      <c r="BA524" s="3"/>
      <c r="BB524" s="3"/>
      <c r="BC524" s="3"/>
    </row>
    <row r="525" spans="1:55" x14ac:dyDescent="0.25">
      <c r="A525" s="2"/>
      <c r="D525" s="3"/>
      <c r="E525" s="4"/>
      <c r="F525" s="5"/>
      <c r="G525" s="5"/>
      <c r="J525" s="3"/>
      <c r="K525" s="3"/>
      <c r="L525" s="6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5"/>
      <c r="Y525" s="3"/>
      <c r="Z525" s="3"/>
      <c r="AA525" s="3"/>
      <c r="AB525" s="5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7"/>
      <c r="AV525" s="7"/>
      <c r="AW525" s="7"/>
      <c r="AX525" s="7"/>
      <c r="AY525" s="8"/>
      <c r="AZ525" s="3"/>
      <c r="BA525" s="3"/>
      <c r="BB525" s="3"/>
      <c r="BC525" s="3"/>
    </row>
    <row r="526" spans="1:55" x14ac:dyDescent="0.25">
      <c r="A526" s="2"/>
      <c r="D526" s="3"/>
      <c r="E526" s="4"/>
      <c r="F526" s="5"/>
      <c r="G526" s="5"/>
      <c r="J526" s="3"/>
      <c r="K526" s="3"/>
      <c r="L526" s="6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5"/>
      <c r="Y526" s="3"/>
      <c r="Z526" s="3"/>
      <c r="AA526" s="3"/>
      <c r="AB526" s="5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7"/>
      <c r="AV526" s="7"/>
      <c r="AW526" s="7"/>
      <c r="AX526" s="7"/>
      <c r="AY526" s="8"/>
      <c r="AZ526" s="3"/>
      <c r="BA526" s="3"/>
      <c r="BB526" s="3"/>
      <c r="BC526" s="3"/>
    </row>
    <row r="527" spans="1:55" x14ac:dyDescent="0.25">
      <c r="A527" s="2"/>
      <c r="D527" s="3"/>
      <c r="E527" s="4"/>
      <c r="F527" s="5"/>
      <c r="G527" s="5"/>
      <c r="J527" s="3"/>
      <c r="K527" s="3"/>
      <c r="L527" s="6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5"/>
      <c r="Y527" s="3"/>
      <c r="Z527" s="3"/>
      <c r="AA527" s="3"/>
      <c r="AB527" s="5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7"/>
      <c r="AV527" s="7"/>
      <c r="AW527" s="7"/>
      <c r="AX527" s="7"/>
      <c r="AY527" s="8"/>
      <c r="AZ527" s="3"/>
      <c r="BA527" s="3"/>
      <c r="BB527" s="3"/>
      <c r="BC527" s="3"/>
    </row>
    <row r="528" spans="1:55" x14ac:dyDescent="0.25">
      <c r="A528" s="2"/>
      <c r="D528" s="3"/>
      <c r="E528" s="4"/>
      <c r="F528" s="5"/>
      <c r="G528" s="5"/>
      <c r="J528" s="3"/>
      <c r="K528" s="3"/>
      <c r="L528" s="6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5"/>
      <c r="Y528" s="3"/>
      <c r="Z528" s="3"/>
      <c r="AA528" s="3"/>
      <c r="AB528" s="5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7"/>
      <c r="AV528" s="7"/>
      <c r="AW528" s="7"/>
      <c r="AX528" s="7"/>
      <c r="AY528" s="8"/>
      <c r="AZ528" s="3"/>
      <c r="BA528" s="3"/>
      <c r="BB528" s="3"/>
      <c r="BC528" s="3"/>
    </row>
    <row r="529" spans="1:55" x14ac:dyDescent="0.25">
      <c r="A529" s="2"/>
      <c r="D529" s="3"/>
      <c r="E529" s="4"/>
      <c r="F529" s="5"/>
      <c r="G529" s="5"/>
      <c r="J529" s="3"/>
      <c r="K529" s="3"/>
      <c r="L529" s="6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5"/>
      <c r="Y529" s="3"/>
      <c r="Z529" s="3"/>
      <c r="AA529" s="3"/>
      <c r="AB529" s="5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7"/>
      <c r="AV529" s="7"/>
      <c r="AW529" s="7"/>
      <c r="AX529" s="7"/>
      <c r="AY529" s="8"/>
      <c r="AZ529" s="3"/>
      <c r="BA529" s="3"/>
      <c r="BB529" s="3"/>
      <c r="BC529" s="3"/>
    </row>
    <row r="530" spans="1:55" x14ac:dyDescent="0.25">
      <c r="A530" s="2"/>
      <c r="D530" s="3"/>
      <c r="E530" s="4"/>
      <c r="F530" s="5"/>
      <c r="G530" s="5"/>
      <c r="J530" s="3"/>
      <c r="K530" s="3"/>
      <c r="L530" s="6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5"/>
      <c r="Y530" s="3"/>
      <c r="Z530" s="3"/>
      <c r="AA530" s="3"/>
      <c r="AB530" s="5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7"/>
      <c r="AV530" s="7"/>
      <c r="AW530" s="7"/>
      <c r="AX530" s="7"/>
      <c r="AY530" s="8"/>
      <c r="AZ530" s="3"/>
      <c r="BA530" s="3"/>
      <c r="BB530" s="3"/>
      <c r="BC530" s="3"/>
    </row>
    <row r="531" spans="1:55" x14ac:dyDescent="0.25">
      <c r="A531" s="2"/>
      <c r="D531" s="3"/>
      <c r="E531" s="4"/>
      <c r="F531" s="5"/>
      <c r="G531" s="5"/>
      <c r="J531" s="3"/>
      <c r="K531" s="3"/>
      <c r="L531" s="6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5"/>
      <c r="Y531" s="3"/>
      <c r="Z531" s="3"/>
      <c r="AA531" s="3"/>
      <c r="AB531" s="5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7"/>
      <c r="AV531" s="7"/>
      <c r="AW531" s="7"/>
      <c r="AX531" s="7"/>
      <c r="AY531" s="8"/>
      <c r="AZ531" s="3"/>
      <c r="BA531" s="3"/>
      <c r="BB531" s="3"/>
      <c r="BC531" s="3"/>
    </row>
    <row r="532" spans="1:55" x14ac:dyDescent="0.25">
      <c r="A532" s="2"/>
      <c r="D532" s="3"/>
      <c r="E532" s="4"/>
      <c r="F532" s="5"/>
      <c r="G532" s="5"/>
      <c r="J532" s="3"/>
      <c r="K532" s="3"/>
      <c r="L532" s="6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5"/>
      <c r="Y532" s="3"/>
      <c r="Z532" s="3"/>
      <c r="AA532" s="3"/>
      <c r="AB532" s="5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7"/>
      <c r="AV532" s="7"/>
      <c r="AW532" s="7"/>
      <c r="AX532" s="7"/>
      <c r="AY532" s="8"/>
      <c r="AZ532" s="3"/>
      <c r="BA532" s="3"/>
      <c r="BB532" s="3"/>
      <c r="BC532" s="3"/>
    </row>
    <row r="533" spans="1:55" x14ac:dyDescent="0.25">
      <c r="A533" s="2"/>
      <c r="D533" s="3"/>
      <c r="E533" s="4"/>
      <c r="F533" s="5"/>
      <c r="G533" s="5"/>
      <c r="J533" s="3"/>
      <c r="K533" s="3"/>
      <c r="L533" s="6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5"/>
      <c r="Y533" s="3"/>
      <c r="Z533" s="3"/>
      <c r="AA533" s="3"/>
      <c r="AB533" s="5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7"/>
      <c r="AV533" s="7"/>
      <c r="AW533" s="7"/>
      <c r="AX533" s="7"/>
      <c r="AY533" s="8"/>
      <c r="AZ533" s="3"/>
      <c r="BA533" s="3"/>
      <c r="BB533" s="3"/>
      <c r="BC533" s="3"/>
    </row>
    <row r="534" spans="1:55" x14ac:dyDescent="0.25">
      <c r="A534" s="2"/>
      <c r="D534" s="3"/>
      <c r="E534" s="4"/>
      <c r="F534" s="5"/>
      <c r="G534" s="5"/>
      <c r="J534" s="3"/>
      <c r="K534" s="3"/>
      <c r="L534" s="6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5"/>
      <c r="Y534" s="3"/>
      <c r="Z534" s="3"/>
      <c r="AA534" s="3"/>
      <c r="AB534" s="5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7"/>
      <c r="AV534" s="7"/>
      <c r="AW534" s="7"/>
      <c r="AX534" s="7"/>
      <c r="AY534" s="8"/>
      <c r="AZ534" s="3"/>
      <c r="BA534" s="3"/>
      <c r="BB534" s="3"/>
      <c r="BC534" s="3"/>
    </row>
    <row r="535" spans="1:55" x14ac:dyDescent="0.25">
      <c r="A535" s="2"/>
      <c r="D535" s="3"/>
      <c r="E535" s="4"/>
      <c r="F535" s="5"/>
      <c r="G535" s="5"/>
      <c r="J535" s="3"/>
      <c r="K535" s="3"/>
      <c r="L535" s="6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5"/>
      <c r="Y535" s="3"/>
      <c r="Z535" s="3"/>
      <c r="AA535" s="3"/>
      <c r="AB535" s="5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7"/>
      <c r="AV535" s="7"/>
      <c r="AW535" s="7"/>
      <c r="AX535" s="7"/>
      <c r="AY535" s="8"/>
      <c r="AZ535" s="3"/>
      <c r="BA535" s="3"/>
      <c r="BB535" s="3"/>
      <c r="BC535" s="3"/>
    </row>
    <row r="536" spans="1:55" x14ac:dyDescent="0.25">
      <c r="A536" s="2"/>
      <c r="D536" s="3"/>
      <c r="E536" s="4"/>
      <c r="F536" s="5"/>
      <c r="G536" s="5"/>
      <c r="J536" s="3"/>
      <c r="K536" s="3"/>
      <c r="L536" s="6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5"/>
      <c r="Y536" s="3"/>
      <c r="Z536" s="3"/>
      <c r="AA536" s="3"/>
      <c r="AB536" s="5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7"/>
      <c r="AV536" s="7"/>
      <c r="AW536" s="7"/>
      <c r="AX536" s="7"/>
      <c r="AY536" s="8"/>
      <c r="AZ536" s="3"/>
      <c r="BA536" s="3"/>
      <c r="BB536" s="3"/>
      <c r="BC536" s="3"/>
    </row>
    <row r="537" spans="1:55" x14ac:dyDescent="0.25">
      <c r="A537" s="2"/>
      <c r="D537" s="3"/>
      <c r="E537" s="4"/>
      <c r="F537" s="5"/>
      <c r="G537" s="5"/>
      <c r="J537" s="3"/>
      <c r="K537" s="3"/>
      <c r="L537" s="6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5"/>
      <c r="Y537" s="3"/>
      <c r="Z537" s="3"/>
      <c r="AA537" s="3"/>
      <c r="AB537" s="5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7"/>
      <c r="AV537" s="7"/>
      <c r="AW537" s="7"/>
      <c r="AX537" s="7"/>
      <c r="AY537" s="8"/>
      <c r="AZ537" s="3"/>
      <c r="BA537" s="3"/>
      <c r="BB537" s="3"/>
      <c r="BC537" s="3"/>
    </row>
    <row r="538" spans="1:55" x14ac:dyDescent="0.25">
      <c r="A538" s="2"/>
      <c r="D538" s="3"/>
      <c r="E538" s="4"/>
      <c r="F538" s="5"/>
      <c r="G538" s="5"/>
      <c r="J538" s="3"/>
      <c r="K538" s="3"/>
      <c r="L538" s="6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5"/>
      <c r="Y538" s="3"/>
      <c r="Z538" s="3"/>
      <c r="AA538" s="3"/>
      <c r="AB538" s="5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7"/>
      <c r="AV538" s="7"/>
      <c r="AW538" s="7"/>
      <c r="AX538" s="7"/>
      <c r="AY538" s="8"/>
      <c r="AZ538" s="3"/>
      <c r="BA538" s="3"/>
      <c r="BB538" s="3"/>
      <c r="BC538" s="3"/>
    </row>
    <row r="539" spans="1:55" x14ac:dyDescent="0.25">
      <c r="A539" s="2"/>
      <c r="D539" s="3"/>
      <c r="E539" s="4"/>
      <c r="F539" s="5"/>
      <c r="G539" s="5"/>
      <c r="J539" s="3"/>
      <c r="K539" s="3"/>
      <c r="L539" s="6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5"/>
      <c r="Y539" s="3"/>
      <c r="Z539" s="3"/>
      <c r="AA539" s="3"/>
      <c r="AB539" s="5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7"/>
      <c r="AV539" s="7"/>
      <c r="AW539" s="7"/>
      <c r="AX539" s="7"/>
      <c r="AY539" s="8"/>
      <c r="AZ539" s="3"/>
      <c r="BA539" s="3"/>
      <c r="BB539" s="3"/>
      <c r="BC539" s="3"/>
    </row>
    <row r="540" spans="1:55" x14ac:dyDescent="0.25">
      <c r="A540" s="2"/>
      <c r="D540" s="3"/>
      <c r="E540" s="4"/>
      <c r="F540" s="5"/>
      <c r="G540" s="5"/>
      <c r="J540" s="3"/>
      <c r="K540" s="3"/>
      <c r="L540" s="6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5"/>
      <c r="Y540" s="3"/>
      <c r="Z540" s="3"/>
      <c r="AA540" s="3"/>
      <c r="AB540" s="5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7"/>
      <c r="AV540" s="7"/>
      <c r="AW540" s="7"/>
      <c r="AX540" s="7"/>
      <c r="AY540" s="8"/>
      <c r="AZ540" s="3"/>
      <c r="BA540" s="3"/>
      <c r="BB540" s="3"/>
      <c r="BC540" s="3"/>
    </row>
    <row r="541" spans="1:55" x14ac:dyDescent="0.25">
      <c r="A541" s="2"/>
      <c r="D541" s="3"/>
      <c r="E541" s="4"/>
      <c r="F541" s="5"/>
      <c r="G541" s="5"/>
      <c r="J541" s="3"/>
      <c r="K541" s="3"/>
      <c r="L541" s="6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5"/>
      <c r="Y541" s="3"/>
      <c r="Z541" s="3"/>
      <c r="AA541" s="3"/>
      <c r="AB541" s="5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7"/>
      <c r="AV541" s="7"/>
      <c r="AW541" s="7"/>
      <c r="AX541" s="7"/>
      <c r="AY541" s="8"/>
      <c r="AZ541" s="3"/>
      <c r="BA541" s="3"/>
      <c r="BB541" s="3"/>
      <c r="BC541" s="3"/>
    </row>
    <row r="542" spans="1:55" x14ac:dyDescent="0.25">
      <c r="A542" s="2"/>
      <c r="D542" s="3"/>
      <c r="E542" s="4"/>
      <c r="F542" s="5"/>
      <c r="G542" s="5"/>
      <c r="J542" s="3"/>
      <c r="K542" s="3"/>
      <c r="L542" s="6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5"/>
      <c r="Y542" s="3"/>
      <c r="Z542" s="3"/>
      <c r="AA542" s="3"/>
      <c r="AB542" s="5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7"/>
      <c r="AV542" s="7"/>
      <c r="AW542" s="7"/>
      <c r="AX542" s="7"/>
      <c r="AY542" s="8"/>
      <c r="AZ542" s="3"/>
      <c r="BA542" s="3"/>
      <c r="BB542" s="3"/>
      <c r="BC542" s="3"/>
    </row>
    <row r="543" spans="1:55" x14ac:dyDescent="0.25">
      <c r="A543" s="2"/>
      <c r="D543" s="3"/>
      <c r="E543" s="4"/>
      <c r="F543" s="5"/>
      <c r="G543" s="5"/>
      <c r="J543" s="3"/>
      <c r="K543" s="3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5"/>
      <c r="Y543" s="3"/>
      <c r="Z543" s="3"/>
      <c r="AA543" s="3"/>
      <c r="AB543" s="5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7"/>
      <c r="AV543" s="7"/>
      <c r="AW543" s="7"/>
      <c r="AX543" s="7"/>
      <c r="AY543" s="8"/>
      <c r="AZ543" s="3"/>
      <c r="BA543" s="3"/>
      <c r="BB543" s="3"/>
      <c r="BC543" s="3"/>
    </row>
    <row r="544" spans="1:55" x14ac:dyDescent="0.25">
      <c r="A544" s="2"/>
      <c r="D544" s="3"/>
      <c r="E544" s="4"/>
      <c r="F544" s="5"/>
      <c r="G544" s="5"/>
      <c r="J544" s="3"/>
      <c r="K544" s="3"/>
      <c r="L544" s="6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5"/>
      <c r="Y544" s="3"/>
      <c r="Z544" s="3"/>
      <c r="AA544" s="3"/>
      <c r="AB544" s="5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7"/>
      <c r="AV544" s="7"/>
      <c r="AW544" s="7"/>
      <c r="AX544" s="7"/>
      <c r="AY544" s="8"/>
      <c r="AZ544" s="3"/>
      <c r="BA544" s="3"/>
      <c r="BB544" s="3"/>
      <c r="BC544" s="3"/>
    </row>
    <row r="545" spans="1:55" x14ac:dyDescent="0.25">
      <c r="A545" s="2"/>
      <c r="D545" s="3"/>
      <c r="E545" s="4"/>
      <c r="F545" s="5"/>
      <c r="G545" s="5"/>
      <c r="J545" s="3"/>
      <c r="K545" s="3"/>
      <c r="L545" s="6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5"/>
      <c r="Y545" s="3"/>
      <c r="Z545" s="3"/>
      <c r="AA545" s="3"/>
      <c r="AB545" s="5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7"/>
      <c r="AV545" s="7"/>
      <c r="AW545" s="7"/>
      <c r="AX545" s="7"/>
      <c r="AY545" s="8"/>
      <c r="AZ545" s="3"/>
      <c r="BA545" s="3"/>
      <c r="BB545" s="3"/>
      <c r="BC545" s="3"/>
    </row>
    <row r="546" spans="1:55" x14ac:dyDescent="0.25">
      <c r="A546" s="2"/>
      <c r="D546" s="3"/>
      <c r="E546" s="4"/>
      <c r="F546" s="5"/>
      <c r="G546" s="5"/>
      <c r="J546" s="3"/>
      <c r="K546" s="3"/>
      <c r="L546" s="6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5"/>
      <c r="Y546" s="3"/>
      <c r="Z546" s="3"/>
      <c r="AA546" s="3"/>
      <c r="AB546" s="5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7"/>
      <c r="AV546" s="7"/>
      <c r="AW546" s="7"/>
      <c r="AX546" s="7"/>
      <c r="AY546" s="8"/>
      <c r="AZ546" s="3"/>
      <c r="BA546" s="3"/>
      <c r="BB546" s="3"/>
      <c r="BC546" s="3"/>
    </row>
    <row r="547" spans="1:55" x14ac:dyDescent="0.25">
      <c r="A547" s="2"/>
      <c r="D547" s="3"/>
      <c r="E547" s="4"/>
      <c r="F547" s="5"/>
      <c r="G547" s="5"/>
      <c r="J547" s="3"/>
      <c r="K547" s="3"/>
      <c r="L547" s="6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5"/>
      <c r="Y547" s="3"/>
      <c r="Z547" s="3"/>
      <c r="AA547" s="3"/>
      <c r="AB547" s="5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7"/>
      <c r="AV547" s="7"/>
      <c r="AW547" s="7"/>
      <c r="AX547" s="7"/>
      <c r="AY547" s="8"/>
      <c r="AZ547" s="3"/>
      <c r="BA547" s="3"/>
      <c r="BB547" s="3"/>
      <c r="BC547" s="3"/>
    </row>
    <row r="548" spans="1:55" x14ac:dyDescent="0.25">
      <c r="A548" s="2"/>
      <c r="D548" s="3"/>
      <c r="E548" s="4"/>
      <c r="F548" s="5"/>
      <c r="G548" s="5"/>
      <c r="J548" s="3"/>
      <c r="K548" s="3"/>
      <c r="L548" s="6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5"/>
      <c r="Y548" s="3"/>
      <c r="Z548" s="3"/>
      <c r="AA548" s="3"/>
      <c r="AB548" s="5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7"/>
      <c r="AV548" s="7"/>
      <c r="AW548" s="7"/>
      <c r="AX548" s="7"/>
      <c r="AY548" s="8"/>
      <c r="AZ548" s="3"/>
      <c r="BA548" s="3"/>
      <c r="BB548" s="3"/>
      <c r="BC548" s="3"/>
    </row>
    <row r="549" spans="1:55" x14ac:dyDescent="0.25">
      <c r="A549" s="2"/>
      <c r="D549" s="3"/>
      <c r="E549" s="4"/>
      <c r="F549" s="5"/>
      <c r="G549" s="5"/>
      <c r="J549" s="3"/>
      <c r="K549" s="3"/>
      <c r="L549" s="6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5"/>
      <c r="Y549" s="3"/>
      <c r="Z549" s="3"/>
      <c r="AA549" s="3"/>
      <c r="AB549" s="5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7"/>
      <c r="AV549" s="7"/>
      <c r="AW549" s="7"/>
      <c r="AX549" s="7"/>
      <c r="AY549" s="8"/>
      <c r="AZ549" s="3"/>
      <c r="BA549" s="3"/>
      <c r="BB549" s="3"/>
      <c r="BC549" s="3"/>
    </row>
    <row r="550" spans="1:55" x14ac:dyDescent="0.25">
      <c r="A550" s="2"/>
      <c r="D550" s="3"/>
      <c r="E550" s="4"/>
      <c r="F550" s="5"/>
      <c r="G550" s="5"/>
      <c r="J550" s="3"/>
      <c r="K550" s="3"/>
      <c r="L550" s="6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5"/>
      <c r="Y550" s="3"/>
      <c r="Z550" s="3"/>
      <c r="AA550" s="3"/>
      <c r="AB550" s="5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7"/>
      <c r="AV550" s="7"/>
      <c r="AW550" s="7"/>
      <c r="AX550" s="7"/>
      <c r="AY550" s="8"/>
      <c r="AZ550" s="3"/>
      <c r="BA550" s="3"/>
      <c r="BB550" s="3"/>
      <c r="BC550" s="3"/>
    </row>
    <row r="551" spans="1:55" x14ac:dyDescent="0.25">
      <c r="A551" s="2"/>
      <c r="D551" s="3"/>
      <c r="E551" s="4"/>
      <c r="F551" s="5"/>
      <c r="G551" s="5"/>
      <c r="J551" s="3"/>
      <c r="K551" s="3"/>
      <c r="L551" s="6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5"/>
      <c r="Y551" s="3"/>
      <c r="Z551" s="3"/>
      <c r="AA551" s="3"/>
      <c r="AB551" s="5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7"/>
      <c r="AV551" s="7"/>
      <c r="AW551" s="7"/>
      <c r="AX551" s="7"/>
      <c r="AY551" s="8"/>
      <c r="AZ551" s="3"/>
      <c r="BA551" s="3"/>
      <c r="BB551" s="3"/>
      <c r="BC551" s="3"/>
    </row>
    <row r="552" spans="1:55" x14ac:dyDescent="0.25">
      <c r="A552" s="2"/>
      <c r="D552" s="3"/>
      <c r="E552" s="4"/>
      <c r="F552" s="5"/>
      <c r="G552" s="5"/>
      <c r="J552" s="3"/>
      <c r="K552" s="3"/>
      <c r="L552" s="6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5"/>
      <c r="Y552" s="3"/>
      <c r="Z552" s="3"/>
      <c r="AA552" s="3"/>
      <c r="AB552" s="5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7"/>
      <c r="AV552" s="7"/>
      <c r="AW552" s="7"/>
      <c r="AX552" s="7"/>
      <c r="AY552" s="8"/>
      <c r="AZ552" s="3"/>
      <c r="BA552" s="3"/>
      <c r="BB552" s="3"/>
      <c r="BC552" s="3"/>
    </row>
    <row r="553" spans="1:55" x14ac:dyDescent="0.25">
      <c r="A553" s="2"/>
      <c r="D553" s="3"/>
      <c r="E553" s="4"/>
      <c r="F553" s="5"/>
      <c r="G553" s="5"/>
      <c r="J553" s="3"/>
      <c r="K553" s="3"/>
      <c r="L553" s="6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5"/>
      <c r="Y553" s="3"/>
      <c r="Z553" s="3"/>
      <c r="AA553" s="3"/>
      <c r="AB553" s="5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7"/>
      <c r="AV553" s="7"/>
      <c r="AW553" s="7"/>
      <c r="AX553" s="7"/>
      <c r="AY553" s="8"/>
      <c r="AZ553" s="3"/>
      <c r="BA553" s="3"/>
      <c r="BB553" s="3"/>
      <c r="BC553" s="3"/>
    </row>
    <row r="554" spans="1:55" x14ac:dyDescent="0.25">
      <c r="A554" s="2"/>
      <c r="D554" s="3"/>
      <c r="E554" s="4"/>
      <c r="F554" s="5"/>
      <c r="G554" s="5"/>
      <c r="J554" s="3"/>
      <c r="K554" s="3"/>
      <c r="L554" s="6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5"/>
      <c r="Y554" s="3"/>
      <c r="Z554" s="3"/>
      <c r="AA554" s="3"/>
      <c r="AB554" s="5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7"/>
      <c r="AV554" s="7"/>
      <c r="AW554" s="7"/>
      <c r="AX554" s="7"/>
      <c r="AY554" s="8"/>
      <c r="AZ554" s="3"/>
      <c r="BA554" s="3"/>
      <c r="BB554" s="3"/>
      <c r="BC554" s="3"/>
    </row>
    <row r="555" spans="1:55" x14ac:dyDescent="0.25">
      <c r="A555" s="2"/>
      <c r="D555" s="3"/>
      <c r="E555" s="4"/>
      <c r="F555" s="5"/>
      <c r="G555" s="5"/>
      <c r="J555" s="3"/>
      <c r="K555" s="3"/>
      <c r="L555" s="6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5"/>
      <c r="Y555" s="3"/>
      <c r="Z555" s="3"/>
      <c r="AA555" s="3"/>
      <c r="AB555" s="5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7"/>
      <c r="AV555" s="7"/>
      <c r="AW555" s="7"/>
      <c r="AX555" s="7"/>
      <c r="AY555" s="8"/>
      <c r="AZ555" s="3"/>
      <c r="BA555" s="3"/>
      <c r="BB555" s="3"/>
      <c r="BC555" s="3"/>
    </row>
    <row r="556" spans="1:55" x14ac:dyDescent="0.25">
      <c r="A556" s="2"/>
      <c r="D556" s="3"/>
      <c r="E556" s="4"/>
      <c r="F556" s="5"/>
      <c r="G556" s="5"/>
      <c r="J556" s="3"/>
      <c r="K556" s="3"/>
      <c r="L556" s="6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5"/>
      <c r="Y556" s="3"/>
      <c r="Z556" s="3"/>
      <c r="AA556" s="3"/>
      <c r="AB556" s="5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7"/>
      <c r="AV556" s="7"/>
      <c r="AW556" s="7"/>
      <c r="AX556" s="7"/>
      <c r="AY556" s="8"/>
      <c r="AZ556" s="3"/>
      <c r="BA556" s="3"/>
      <c r="BB556" s="3"/>
      <c r="BC556" s="3"/>
    </row>
    <row r="557" spans="1:55" x14ac:dyDescent="0.25">
      <c r="A557" s="2"/>
      <c r="D557" s="3"/>
      <c r="E557" s="4"/>
      <c r="F557" s="5"/>
      <c r="G557" s="5"/>
      <c r="J557" s="3"/>
      <c r="K557" s="3"/>
      <c r="L557" s="6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5"/>
      <c r="Y557" s="3"/>
      <c r="Z557" s="3"/>
      <c r="AA557" s="3"/>
      <c r="AB557" s="5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7"/>
      <c r="AV557" s="7"/>
      <c r="AW557" s="7"/>
      <c r="AX557" s="7"/>
      <c r="AY557" s="8"/>
      <c r="AZ557" s="3"/>
      <c r="BA557" s="3"/>
      <c r="BB557" s="3"/>
      <c r="BC557" s="3"/>
    </row>
    <row r="558" spans="1:55" x14ac:dyDescent="0.25">
      <c r="A558" s="2"/>
      <c r="D558" s="3"/>
      <c r="E558" s="4"/>
      <c r="F558" s="5"/>
      <c r="G558" s="5"/>
      <c r="J558" s="3"/>
      <c r="K558" s="3"/>
      <c r="L558" s="6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5"/>
      <c r="Y558" s="3"/>
      <c r="Z558" s="3"/>
      <c r="AA558" s="3"/>
      <c r="AB558" s="5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7"/>
      <c r="AV558" s="7"/>
      <c r="AW558" s="7"/>
      <c r="AX558" s="7"/>
      <c r="AY558" s="8"/>
      <c r="AZ558" s="3"/>
      <c r="BA558" s="3"/>
      <c r="BB558" s="3"/>
      <c r="BC558" s="3"/>
    </row>
    <row r="559" spans="1:55" x14ac:dyDescent="0.25">
      <c r="A559" s="2"/>
      <c r="D559" s="3"/>
      <c r="E559" s="4"/>
      <c r="F559" s="5"/>
      <c r="G559" s="5"/>
      <c r="J559" s="3"/>
      <c r="K559" s="3"/>
      <c r="L559" s="6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5"/>
      <c r="Y559" s="3"/>
      <c r="Z559" s="3"/>
      <c r="AA559" s="3"/>
      <c r="AB559" s="5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7"/>
      <c r="AV559" s="7"/>
      <c r="AW559" s="7"/>
      <c r="AX559" s="7"/>
      <c r="AY559" s="8"/>
      <c r="AZ559" s="3"/>
      <c r="BA559" s="3"/>
      <c r="BB559" s="3"/>
      <c r="BC559" s="3"/>
    </row>
    <row r="560" spans="1:55" x14ac:dyDescent="0.25">
      <c r="A560" s="2"/>
      <c r="D560" s="3"/>
      <c r="E560" s="4"/>
      <c r="F560" s="5"/>
      <c r="G560" s="5"/>
      <c r="J560" s="3"/>
      <c r="K560" s="3"/>
      <c r="L560" s="6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5"/>
      <c r="Y560" s="3"/>
      <c r="Z560" s="3"/>
      <c r="AA560" s="3"/>
      <c r="AB560" s="5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7"/>
      <c r="AV560" s="7"/>
      <c r="AW560" s="7"/>
      <c r="AX560" s="7"/>
      <c r="AY560" s="8"/>
      <c r="AZ560" s="3"/>
      <c r="BA560" s="3"/>
      <c r="BB560" s="3"/>
      <c r="BC560" s="3"/>
    </row>
    <row r="561" spans="1:55" x14ac:dyDescent="0.25">
      <c r="A561" s="2"/>
      <c r="D561" s="3"/>
      <c r="E561" s="4"/>
      <c r="F561" s="5"/>
      <c r="G561" s="5"/>
      <c r="J561" s="3"/>
      <c r="K561" s="3"/>
      <c r="L561" s="6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5"/>
      <c r="Y561" s="3"/>
      <c r="Z561" s="3"/>
      <c r="AA561" s="3"/>
      <c r="AB561" s="5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7"/>
      <c r="AV561" s="7"/>
      <c r="AW561" s="7"/>
      <c r="AX561" s="7"/>
      <c r="AY561" s="8"/>
      <c r="AZ561" s="3"/>
      <c r="BA561" s="3"/>
      <c r="BB561" s="3"/>
      <c r="BC561" s="3"/>
    </row>
    <row r="562" spans="1:55" x14ac:dyDescent="0.25">
      <c r="A562" s="2"/>
      <c r="D562" s="3"/>
      <c r="E562" s="4"/>
      <c r="F562" s="5"/>
      <c r="G562" s="5"/>
      <c r="J562" s="3"/>
      <c r="K562" s="3"/>
      <c r="L562" s="6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5"/>
      <c r="Y562" s="3"/>
      <c r="Z562" s="3"/>
      <c r="AA562" s="3"/>
      <c r="AB562" s="5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7"/>
      <c r="AV562" s="7"/>
      <c r="AW562" s="7"/>
      <c r="AX562" s="7"/>
      <c r="AY562" s="8"/>
      <c r="AZ562" s="3"/>
      <c r="BA562" s="3"/>
      <c r="BB562" s="3"/>
      <c r="BC562" s="3"/>
    </row>
    <row r="563" spans="1:55" x14ac:dyDescent="0.25">
      <c r="A563" s="2"/>
      <c r="D563" s="3"/>
      <c r="E563" s="4"/>
      <c r="F563" s="5"/>
      <c r="G563" s="5"/>
      <c r="J563" s="3"/>
      <c r="K563" s="3"/>
      <c r="L563" s="6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5"/>
      <c r="Y563" s="3"/>
      <c r="Z563" s="3"/>
      <c r="AA563" s="3"/>
      <c r="AB563" s="5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7"/>
      <c r="AV563" s="7"/>
      <c r="AW563" s="7"/>
      <c r="AX563" s="7"/>
      <c r="AY563" s="8"/>
      <c r="AZ563" s="3"/>
      <c r="BA563" s="3"/>
      <c r="BB563" s="3"/>
      <c r="BC563" s="3"/>
    </row>
    <row r="564" spans="1:55" x14ac:dyDescent="0.25">
      <c r="A564" s="2"/>
      <c r="D564" s="3"/>
      <c r="E564" s="4"/>
      <c r="F564" s="5"/>
      <c r="G564" s="5"/>
      <c r="J564" s="3"/>
      <c r="K564" s="3"/>
      <c r="L564" s="6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5"/>
      <c r="Y564" s="3"/>
      <c r="Z564" s="3"/>
      <c r="AA564" s="3"/>
      <c r="AB564" s="5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7"/>
      <c r="AV564" s="7"/>
      <c r="AW564" s="7"/>
      <c r="AX564" s="7"/>
      <c r="AY564" s="8"/>
      <c r="AZ564" s="3"/>
      <c r="BA564" s="3"/>
      <c r="BB564" s="3"/>
      <c r="BC564" s="3"/>
    </row>
    <row r="565" spans="1:55" x14ac:dyDescent="0.25">
      <c r="A565" s="2"/>
      <c r="D565" s="3"/>
      <c r="E565" s="4"/>
      <c r="F565" s="5"/>
      <c r="G565" s="5"/>
      <c r="J565" s="3"/>
      <c r="K565" s="3"/>
      <c r="L565" s="6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5"/>
      <c r="Y565" s="3"/>
      <c r="Z565" s="3"/>
      <c r="AA565" s="3"/>
      <c r="AB565" s="5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7"/>
      <c r="AV565" s="7"/>
      <c r="AW565" s="7"/>
      <c r="AX565" s="7"/>
      <c r="AY565" s="8"/>
      <c r="AZ565" s="3"/>
      <c r="BA565" s="3"/>
      <c r="BB565" s="3"/>
      <c r="BC565" s="3"/>
    </row>
    <row r="566" spans="1:55" x14ac:dyDescent="0.25">
      <c r="A566" s="2"/>
      <c r="D566" s="3"/>
      <c r="E566" s="4"/>
      <c r="F566" s="5"/>
      <c r="G566" s="5"/>
      <c r="J566" s="3"/>
      <c r="K566" s="3"/>
      <c r="L566" s="6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5"/>
      <c r="Y566" s="3"/>
      <c r="Z566" s="3"/>
      <c r="AA566" s="3"/>
      <c r="AB566" s="5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7"/>
      <c r="AV566" s="7"/>
      <c r="AW566" s="7"/>
      <c r="AX566" s="7"/>
      <c r="AY566" s="8"/>
      <c r="AZ566" s="3"/>
      <c r="BA566" s="3"/>
      <c r="BB566" s="3"/>
      <c r="BC566" s="3"/>
    </row>
    <row r="567" spans="1:55" x14ac:dyDescent="0.25">
      <c r="A567" s="2"/>
      <c r="D567" s="3"/>
      <c r="E567" s="4"/>
      <c r="F567" s="5"/>
      <c r="G567" s="5"/>
      <c r="J567" s="3"/>
      <c r="K567" s="3"/>
      <c r="L567" s="6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5"/>
      <c r="Y567" s="3"/>
      <c r="Z567" s="3"/>
      <c r="AA567" s="3"/>
      <c r="AB567" s="5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7"/>
      <c r="AV567" s="7"/>
      <c r="AW567" s="7"/>
      <c r="AX567" s="7"/>
      <c r="AY567" s="8"/>
      <c r="AZ567" s="3"/>
      <c r="BA567" s="3"/>
      <c r="BB567" s="3"/>
      <c r="BC567" s="3"/>
    </row>
    <row r="568" spans="1:55" x14ac:dyDescent="0.25">
      <c r="A568" s="2"/>
      <c r="D568" s="3"/>
      <c r="E568" s="4"/>
      <c r="F568" s="5"/>
      <c r="G568" s="5"/>
      <c r="J568" s="3"/>
      <c r="K568" s="3"/>
      <c r="L568" s="6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5"/>
      <c r="Y568" s="3"/>
      <c r="Z568" s="3"/>
      <c r="AA568" s="3"/>
      <c r="AB568" s="5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7"/>
      <c r="AV568" s="7"/>
      <c r="AW568" s="7"/>
      <c r="AX568" s="7"/>
      <c r="AY568" s="8"/>
      <c r="AZ568" s="3"/>
      <c r="BA568" s="3"/>
      <c r="BB568" s="3"/>
      <c r="BC568" s="3"/>
    </row>
    <row r="569" spans="1:55" x14ac:dyDescent="0.25">
      <c r="A569" s="2"/>
      <c r="D569" s="3"/>
      <c r="E569" s="4"/>
      <c r="F569" s="5"/>
      <c r="G569" s="5"/>
      <c r="J569" s="3"/>
      <c r="K569" s="3"/>
      <c r="L569" s="6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5"/>
      <c r="Y569" s="3"/>
      <c r="Z569" s="3"/>
      <c r="AA569" s="3"/>
      <c r="AB569" s="5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7"/>
      <c r="AV569" s="7"/>
      <c r="AW569" s="7"/>
      <c r="AX569" s="7"/>
      <c r="AY569" s="8"/>
      <c r="AZ569" s="3"/>
      <c r="BA569" s="3"/>
      <c r="BB569" s="3"/>
      <c r="BC569" s="3"/>
    </row>
    <row r="570" spans="1:55" x14ac:dyDescent="0.25">
      <c r="A570" s="2"/>
      <c r="D570" s="3"/>
      <c r="E570" s="4"/>
      <c r="F570" s="5"/>
      <c r="G570" s="5"/>
      <c r="J570" s="3"/>
      <c r="K570" s="3"/>
      <c r="L570" s="6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5"/>
      <c r="Y570" s="3"/>
      <c r="Z570" s="3"/>
      <c r="AA570" s="3"/>
      <c r="AB570" s="5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7"/>
      <c r="AV570" s="7"/>
      <c r="AW570" s="7"/>
      <c r="AX570" s="7"/>
      <c r="AY570" s="8"/>
      <c r="AZ570" s="3"/>
      <c r="BA570" s="3"/>
      <c r="BB570" s="3"/>
      <c r="BC570" s="3"/>
    </row>
    <row r="571" spans="1:55" x14ac:dyDescent="0.25">
      <c r="A571" s="2"/>
      <c r="D571" s="3"/>
      <c r="E571" s="4"/>
      <c r="F571" s="5"/>
      <c r="G571" s="5"/>
      <c r="J571" s="3"/>
      <c r="K571" s="3"/>
      <c r="L571" s="6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5"/>
      <c r="Y571" s="3"/>
      <c r="Z571" s="3"/>
      <c r="AA571" s="3"/>
      <c r="AB571" s="5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7"/>
      <c r="AV571" s="7"/>
      <c r="AW571" s="7"/>
      <c r="AX571" s="7"/>
      <c r="AY571" s="8"/>
      <c r="AZ571" s="3"/>
      <c r="BA571" s="3"/>
      <c r="BB571" s="3"/>
      <c r="BC571" s="3"/>
    </row>
    <row r="572" spans="1:55" x14ac:dyDescent="0.25">
      <c r="A572" s="2"/>
      <c r="D572" s="3"/>
      <c r="E572" s="4"/>
      <c r="F572" s="5"/>
      <c r="G572" s="5"/>
      <c r="J572" s="3"/>
      <c r="K572" s="3"/>
      <c r="L572" s="6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5"/>
      <c r="Y572" s="3"/>
      <c r="Z572" s="3"/>
      <c r="AA572" s="3"/>
      <c r="AB572" s="5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7"/>
      <c r="AV572" s="7"/>
      <c r="AW572" s="7"/>
      <c r="AX572" s="7"/>
      <c r="AY572" s="8"/>
      <c r="AZ572" s="3"/>
      <c r="BA572" s="3"/>
      <c r="BB572" s="3"/>
      <c r="BC572" s="3"/>
    </row>
    <row r="573" spans="1:55" x14ac:dyDescent="0.25">
      <c r="A573" s="2"/>
      <c r="D573" s="3"/>
      <c r="E573" s="4"/>
      <c r="F573" s="5"/>
      <c r="G573" s="5"/>
      <c r="J573" s="3"/>
      <c r="K573" s="3"/>
      <c r="L573" s="6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5"/>
      <c r="Y573" s="3"/>
      <c r="Z573" s="3"/>
      <c r="AA573" s="3"/>
      <c r="AB573" s="5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7"/>
      <c r="AV573" s="7"/>
      <c r="AW573" s="7"/>
      <c r="AX573" s="7"/>
      <c r="AY573" s="8"/>
      <c r="AZ573" s="3"/>
      <c r="BA573" s="3"/>
      <c r="BB573" s="3"/>
      <c r="BC573" s="3"/>
    </row>
    <row r="574" spans="1:55" x14ac:dyDescent="0.25">
      <c r="A574" s="2"/>
      <c r="D574" s="3"/>
      <c r="E574" s="4"/>
      <c r="F574" s="5"/>
      <c r="G574" s="5"/>
      <c r="J574" s="3"/>
      <c r="K574" s="3"/>
      <c r="L574" s="6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5"/>
      <c r="Y574" s="3"/>
      <c r="Z574" s="3"/>
      <c r="AA574" s="3"/>
      <c r="AB574" s="5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7"/>
      <c r="AV574" s="7"/>
      <c r="AW574" s="7"/>
      <c r="AX574" s="7"/>
      <c r="AY574" s="8"/>
      <c r="AZ574" s="3"/>
      <c r="BA574" s="3"/>
      <c r="BB574" s="3"/>
      <c r="BC574" s="3"/>
    </row>
    <row r="575" spans="1:55" x14ac:dyDescent="0.25">
      <c r="A575" s="2"/>
      <c r="D575" s="3"/>
      <c r="E575" s="4"/>
      <c r="F575" s="5"/>
      <c r="G575" s="5"/>
      <c r="J575" s="3"/>
      <c r="K575" s="3"/>
      <c r="L575" s="6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5"/>
      <c r="Y575" s="3"/>
      <c r="Z575" s="3"/>
      <c r="AA575" s="3"/>
      <c r="AB575" s="5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7"/>
      <c r="AV575" s="7"/>
      <c r="AW575" s="7"/>
      <c r="AX575" s="7"/>
      <c r="AY575" s="8"/>
      <c r="AZ575" s="3"/>
      <c r="BA575" s="3"/>
      <c r="BB575" s="3"/>
      <c r="BC575" s="3"/>
    </row>
    <row r="576" spans="1:55" x14ac:dyDescent="0.25">
      <c r="A576" s="2"/>
      <c r="D576" s="3"/>
      <c r="E576" s="4"/>
      <c r="F576" s="5"/>
      <c r="G576" s="5"/>
      <c r="J576" s="3"/>
      <c r="K576" s="3"/>
      <c r="L576" s="6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5"/>
      <c r="Y576" s="3"/>
      <c r="Z576" s="3"/>
      <c r="AA576" s="3"/>
      <c r="AB576" s="5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7"/>
      <c r="AV576" s="7"/>
      <c r="AW576" s="7"/>
      <c r="AX576" s="7"/>
      <c r="AY576" s="8"/>
      <c r="AZ576" s="3"/>
      <c r="BA576" s="3"/>
      <c r="BB576" s="3"/>
      <c r="BC576" s="3"/>
    </row>
    <row r="577" spans="1:55" x14ac:dyDescent="0.25">
      <c r="A577" s="2"/>
      <c r="D577" s="3"/>
      <c r="E577" s="4"/>
      <c r="F577" s="5"/>
      <c r="G577" s="5"/>
      <c r="J577" s="3"/>
      <c r="K577" s="3"/>
      <c r="L577" s="6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5"/>
      <c r="Y577" s="3"/>
      <c r="Z577" s="3"/>
      <c r="AA577" s="3"/>
      <c r="AB577" s="5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7"/>
      <c r="AV577" s="7"/>
      <c r="AW577" s="7"/>
      <c r="AX577" s="7"/>
      <c r="AY577" s="8"/>
      <c r="AZ577" s="3"/>
      <c r="BA577" s="3"/>
      <c r="BB577" s="3"/>
      <c r="BC577" s="3"/>
    </row>
    <row r="578" spans="1:55" x14ac:dyDescent="0.25">
      <c r="A578" s="2"/>
      <c r="D578" s="3"/>
      <c r="E578" s="4"/>
      <c r="F578" s="5"/>
      <c r="G578" s="5"/>
      <c r="J578" s="3"/>
      <c r="K578" s="3"/>
      <c r="L578" s="6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5"/>
      <c r="Y578" s="3"/>
      <c r="Z578" s="3"/>
      <c r="AA578" s="3"/>
      <c r="AB578" s="5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7"/>
      <c r="AV578" s="7"/>
      <c r="AW578" s="7"/>
      <c r="AX578" s="7"/>
      <c r="AY578" s="8"/>
      <c r="AZ578" s="3"/>
      <c r="BA578" s="3"/>
      <c r="BB578" s="3"/>
      <c r="BC578" s="3"/>
    </row>
    <row r="579" spans="1:55" x14ac:dyDescent="0.25">
      <c r="A579" s="2"/>
      <c r="D579" s="3"/>
      <c r="E579" s="4"/>
      <c r="F579" s="5"/>
      <c r="G579" s="5"/>
      <c r="J579" s="3"/>
      <c r="K579" s="3"/>
      <c r="L579" s="6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5"/>
      <c r="Y579" s="3"/>
      <c r="Z579" s="3"/>
      <c r="AA579" s="3"/>
      <c r="AB579" s="5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7"/>
      <c r="AV579" s="7"/>
      <c r="AW579" s="7"/>
      <c r="AX579" s="7"/>
      <c r="AY579" s="8"/>
      <c r="AZ579" s="3"/>
      <c r="BA579" s="3"/>
      <c r="BB579" s="3"/>
      <c r="BC579" s="3"/>
    </row>
    <row r="580" spans="1:55" x14ac:dyDescent="0.25">
      <c r="A580" s="2"/>
      <c r="D580" s="3"/>
      <c r="E580" s="4"/>
      <c r="F580" s="5"/>
      <c r="G580" s="5"/>
      <c r="J580" s="3"/>
      <c r="K580" s="3"/>
      <c r="L580" s="6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5"/>
      <c r="Y580" s="3"/>
      <c r="Z580" s="3"/>
      <c r="AA580" s="3"/>
      <c r="AB580" s="5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7"/>
      <c r="AV580" s="7"/>
      <c r="AW580" s="7"/>
      <c r="AX580" s="7"/>
      <c r="AY580" s="8"/>
      <c r="AZ580" s="3"/>
      <c r="BA580" s="3"/>
      <c r="BB580" s="3"/>
      <c r="BC580" s="3"/>
    </row>
    <row r="581" spans="1:55" x14ac:dyDescent="0.25">
      <c r="A581" s="2"/>
      <c r="D581" s="3"/>
      <c r="E581" s="4"/>
      <c r="F581" s="5"/>
      <c r="G581" s="5"/>
      <c r="J581" s="3"/>
      <c r="K581" s="3"/>
      <c r="L581" s="6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5"/>
      <c r="Y581" s="3"/>
      <c r="Z581" s="3"/>
      <c r="AA581" s="3"/>
      <c r="AB581" s="5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7"/>
      <c r="AV581" s="7"/>
      <c r="AW581" s="7"/>
      <c r="AX581" s="7"/>
      <c r="AY581" s="8"/>
      <c r="AZ581" s="3"/>
      <c r="BA581" s="3"/>
      <c r="BB581" s="3"/>
      <c r="BC581" s="3"/>
    </row>
    <row r="582" spans="1:55" x14ac:dyDescent="0.25">
      <c r="A582" s="2"/>
      <c r="D582" s="3"/>
      <c r="E582" s="4"/>
      <c r="F582" s="5"/>
      <c r="G582" s="5"/>
      <c r="J582" s="3"/>
      <c r="K582" s="3"/>
      <c r="L582" s="6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5"/>
      <c r="Y582" s="3"/>
      <c r="Z582" s="3"/>
      <c r="AA582" s="3"/>
      <c r="AB582" s="5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7"/>
      <c r="AV582" s="7"/>
      <c r="AW582" s="7"/>
      <c r="AX582" s="7"/>
      <c r="AY582" s="8"/>
      <c r="AZ582" s="3"/>
      <c r="BA582" s="3"/>
      <c r="BB582" s="3"/>
      <c r="BC582" s="3"/>
    </row>
    <row r="583" spans="1:55" x14ac:dyDescent="0.25">
      <c r="A583" s="2"/>
      <c r="D583" s="3"/>
      <c r="E583" s="4"/>
      <c r="F583" s="5"/>
      <c r="G583" s="5"/>
      <c r="J583" s="3"/>
      <c r="K583" s="3"/>
      <c r="L583" s="6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5"/>
      <c r="Y583" s="3"/>
      <c r="Z583" s="3"/>
      <c r="AA583" s="3"/>
      <c r="AB583" s="5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7"/>
      <c r="AV583" s="7"/>
      <c r="AW583" s="7"/>
      <c r="AX583" s="7"/>
      <c r="AY583" s="8"/>
      <c r="AZ583" s="3"/>
      <c r="BA583" s="3"/>
      <c r="BB583" s="3"/>
      <c r="BC583" s="3"/>
    </row>
    <row r="584" spans="1:55" x14ac:dyDescent="0.25">
      <c r="A584" s="2"/>
      <c r="D584" s="3"/>
      <c r="E584" s="4"/>
      <c r="F584" s="5"/>
      <c r="G584" s="5"/>
      <c r="J584" s="3"/>
      <c r="K584" s="3"/>
      <c r="L584" s="6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5"/>
      <c r="Y584" s="3"/>
      <c r="Z584" s="3"/>
      <c r="AA584" s="3"/>
      <c r="AB584" s="5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7"/>
      <c r="AV584" s="7"/>
      <c r="AW584" s="7"/>
      <c r="AX584" s="7"/>
      <c r="AY584" s="8"/>
      <c r="AZ584" s="3"/>
      <c r="BA584" s="3"/>
      <c r="BB584" s="3"/>
      <c r="BC584" s="3"/>
    </row>
    <row r="585" spans="1:55" x14ac:dyDescent="0.25">
      <c r="A585" s="2"/>
      <c r="D585" s="3"/>
      <c r="E585" s="4"/>
      <c r="F585" s="5"/>
      <c r="G585" s="5"/>
      <c r="J585" s="3"/>
      <c r="K585" s="3"/>
      <c r="L585" s="6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5"/>
      <c r="Y585" s="3"/>
      <c r="Z585" s="3"/>
      <c r="AA585" s="3"/>
      <c r="AB585" s="5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7"/>
      <c r="AV585" s="7"/>
      <c r="AW585" s="7"/>
      <c r="AX585" s="7"/>
      <c r="AY585" s="8"/>
      <c r="AZ585" s="3"/>
      <c r="BA585" s="3"/>
      <c r="BB585" s="3"/>
      <c r="BC585" s="3"/>
    </row>
    <row r="586" spans="1:55" x14ac:dyDescent="0.25">
      <c r="A586" s="2"/>
      <c r="D586" s="3"/>
      <c r="E586" s="4"/>
      <c r="F586" s="5"/>
      <c r="G586" s="5"/>
      <c r="J586" s="3"/>
      <c r="K586" s="3"/>
      <c r="L586" s="6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5"/>
      <c r="Y586" s="3"/>
      <c r="Z586" s="3"/>
      <c r="AA586" s="3"/>
      <c r="AB586" s="5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7"/>
      <c r="AV586" s="7"/>
      <c r="AW586" s="7"/>
      <c r="AX586" s="7"/>
      <c r="AY586" s="8"/>
      <c r="AZ586" s="3"/>
      <c r="BA586" s="3"/>
      <c r="BB586" s="3"/>
      <c r="BC586" s="3"/>
    </row>
    <row r="587" spans="1:55" x14ac:dyDescent="0.25">
      <c r="A587" s="2"/>
      <c r="D587" s="3"/>
      <c r="E587" s="4"/>
      <c r="F587" s="5"/>
      <c r="G587" s="5"/>
      <c r="J587" s="3"/>
      <c r="K587" s="3"/>
      <c r="L587" s="6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5"/>
      <c r="Y587" s="3"/>
      <c r="Z587" s="3"/>
      <c r="AA587" s="3"/>
      <c r="AB587" s="5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7"/>
      <c r="AV587" s="7"/>
      <c r="AW587" s="7"/>
      <c r="AX587" s="7"/>
      <c r="AY587" s="8"/>
      <c r="AZ587" s="3"/>
      <c r="BA587" s="3"/>
      <c r="BB587" s="3"/>
      <c r="BC587" s="3"/>
    </row>
    <row r="588" spans="1:55" x14ac:dyDescent="0.25">
      <c r="A588" s="2"/>
      <c r="D588" s="3"/>
      <c r="E588" s="4"/>
      <c r="F588" s="5"/>
      <c r="G588" s="5"/>
      <c r="J588" s="3"/>
      <c r="K588" s="3"/>
      <c r="L588" s="6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5"/>
      <c r="Y588" s="3"/>
      <c r="Z588" s="3"/>
      <c r="AA588" s="3"/>
      <c r="AB588" s="5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7"/>
      <c r="AV588" s="7"/>
      <c r="AW588" s="7"/>
      <c r="AX588" s="7"/>
      <c r="AY588" s="8"/>
      <c r="AZ588" s="3"/>
      <c r="BA588" s="3"/>
      <c r="BB588" s="3"/>
      <c r="BC588" s="3"/>
    </row>
    <row r="589" spans="1:55" x14ac:dyDescent="0.25">
      <c r="A589" s="2"/>
      <c r="D589" s="3"/>
      <c r="E589" s="4"/>
      <c r="F589" s="5"/>
      <c r="G589" s="5"/>
      <c r="J589" s="3"/>
      <c r="K589" s="3"/>
      <c r="L589" s="6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5"/>
      <c r="Y589" s="3"/>
      <c r="Z589" s="3"/>
      <c r="AA589" s="3"/>
      <c r="AB589" s="5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7"/>
      <c r="AV589" s="7"/>
      <c r="AW589" s="7"/>
      <c r="AX589" s="7"/>
      <c r="AY589" s="8"/>
      <c r="AZ589" s="3"/>
      <c r="BA589" s="3"/>
      <c r="BB589" s="3"/>
      <c r="BC589" s="3"/>
    </row>
    <row r="590" spans="1:55" x14ac:dyDescent="0.25">
      <c r="A590" s="2"/>
      <c r="D590" s="3"/>
      <c r="E590" s="4"/>
      <c r="F590" s="5"/>
      <c r="G590" s="5"/>
      <c r="J590" s="3"/>
      <c r="K590" s="3"/>
      <c r="L590" s="6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5"/>
      <c r="Y590" s="3"/>
      <c r="Z590" s="3"/>
      <c r="AA590" s="3"/>
      <c r="AB590" s="5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7"/>
      <c r="AV590" s="7"/>
      <c r="AW590" s="7"/>
      <c r="AX590" s="7"/>
      <c r="AY590" s="8"/>
      <c r="AZ590" s="3"/>
      <c r="BA590" s="3"/>
      <c r="BB590" s="3"/>
      <c r="BC590" s="3"/>
    </row>
    <row r="591" spans="1:55" x14ac:dyDescent="0.25">
      <c r="A591" s="2"/>
      <c r="D591" s="3"/>
      <c r="E591" s="4"/>
      <c r="F591" s="5"/>
      <c r="G591" s="5"/>
      <c r="J591" s="3"/>
      <c r="K591" s="3"/>
      <c r="L591" s="6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5"/>
      <c r="Y591" s="3"/>
      <c r="Z591" s="3"/>
      <c r="AA591" s="3"/>
      <c r="AB591" s="5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7"/>
      <c r="AV591" s="7"/>
      <c r="AW591" s="7"/>
      <c r="AX591" s="7"/>
      <c r="AY591" s="8"/>
      <c r="AZ591" s="3"/>
      <c r="BA591" s="3"/>
      <c r="BB591" s="3"/>
      <c r="BC591" s="3"/>
    </row>
    <row r="592" spans="1:55" x14ac:dyDescent="0.25">
      <c r="A592" s="2"/>
      <c r="D592" s="3"/>
      <c r="E592" s="4"/>
      <c r="F592" s="5"/>
      <c r="G592" s="5"/>
      <c r="J592" s="3"/>
      <c r="K592" s="3"/>
      <c r="L592" s="6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5"/>
      <c r="Y592" s="3"/>
      <c r="Z592" s="3"/>
      <c r="AA592" s="3"/>
      <c r="AB592" s="5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7"/>
      <c r="AV592" s="7"/>
      <c r="AW592" s="7"/>
      <c r="AX592" s="7"/>
      <c r="AY592" s="8"/>
      <c r="AZ592" s="3"/>
      <c r="BA592" s="3"/>
      <c r="BB592" s="3"/>
      <c r="BC592" s="3"/>
    </row>
    <row r="593" spans="1:55" x14ac:dyDescent="0.25">
      <c r="A593" s="2"/>
      <c r="D593" s="3"/>
      <c r="E593" s="4"/>
      <c r="F593" s="5"/>
      <c r="G593" s="5"/>
      <c r="J593" s="3"/>
      <c r="K593" s="3"/>
      <c r="L593" s="6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5"/>
      <c r="Y593" s="3"/>
      <c r="Z593" s="3"/>
      <c r="AA593" s="3"/>
      <c r="AB593" s="5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7"/>
      <c r="AV593" s="7"/>
      <c r="AW593" s="7"/>
      <c r="AX593" s="7"/>
      <c r="AY593" s="8"/>
      <c r="AZ593" s="3"/>
      <c r="BA593" s="3"/>
      <c r="BB593" s="3"/>
      <c r="BC593" s="3"/>
    </row>
    <row r="594" spans="1:55" x14ac:dyDescent="0.25">
      <c r="A594" s="2"/>
      <c r="D594" s="3"/>
      <c r="E594" s="4"/>
      <c r="F594" s="5"/>
      <c r="G594" s="5"/>
      <c r="J594" s="3"/>
      <c r="K594" s="3"/>
      <c r="L594" s="6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5"/>
      <c r="Y594" s="3"/>
      <c r="Z594" s="3"/>
      <c r="AA594" s="3"/>
      <c r="AB594" s="5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7"/>
      <c r="AV594" s="7"/>
      <c r="AW594" s="7"/>
      <c r="AX594" s="7"/>
      <c r="AY594" s="8"/>
      <c r="AZ594" s="3"/>
      <c r="BA594" s="3"/>
      <c r="BB594" s="3"/>
      <c r="BC594" s="3"/>
    </row>
    <row r="595" spans="1:55" x14ac:dyDescent="0.25">
      <c r="A595" s="2"/>
      <c r="D595" s="3"/>
      <c r="E595" s="4"/>
      <c r="F595" s="5"/>
      <c r="G595" s="5"/>
      <c r="J595" s="3"/>
      <c r="K595" s="3"/>
      <c r="L595" s="6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5"/>
      <c r="Y595" s="3"/>
      <c r="Z595" s="3"/>
      <c r="AA595" s="3"/>
      <c r="AB595" s="5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7"/>
      <c r="AV595" s="7"/>
      <c r="AW595" s="7"/>
      <c r="AX595" s="7"/>
      <c r="AY595" s="8"/>
      <c r="AZ595" s="3"/>
      <c r="BA595" s="3"/>
      <c r="BB595" s="3"/>
      <c r="BC595" s="3"/>
    </row>
    <row r="596" spans="1:55" x14ac:dyDescent="0.25">
      <c r="A596" s="2"/>
      <c r="D596" s="3"/>
      <c r="E596" s="4"/>
      <c r="F596" s="5"/>
      <c r="G596" s="5"/>
      <c r="J596" s="3"/>
      <c r="K596" s="3"/>
      <c r="L596" s="6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5"/>
      <c r="Y596" s="3"/>
      <c r="Z596" s="3"/>
      <c r="AA596" s="3"/>
      <c r="AB596" s="5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7"/>
      <c r="AV596" s="7"/>
      <c r="AW596" s="7"/>
      <c r="AX596" s="7"/>
      <c r="AY596" s="8"/>
      <c r="AZ596" s="3"/>
      <c r="BA596" s="3"/>
      <c r="BB596" s="3"/>
      <c r="BC596" s="3"/>
    </row>
    <row r="597" spans="1:55" x14ac:dyDescent="0.25">
      <c r="A597" s="2"/>
      <c r="D597" s="3"/>
      <c r="E597" s="4"/>
      <c r="F597" s="5"/>
      <c r="G597" s="5"/>
      <c r="J597" s="3"/>
      <c r="K597" s="3"/>
      <c r="L597" s="6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5"/>
      <c r="Y597" s="3"/>
      <c r="Z597" s="3"/>
      <c r="AA597" s="3"/>
      <c r="AB597" s="5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7"/>
      <c r="AV597" s="7"/>
      <c r="AW597" s="7"/>
      <c r="AX597" s="7"/>
      <c r="AY597" s="8"/>
      <c r="AZ597" s="3"/>
      <c r="BA597" s="3"/>
      <c r="BB597" s="3"/>
      <c r="BC597" s="3"/>
    </row>
    <row r="598" spans="1:55" x14ac:dyDescent="0.25">
      <c r="A598" s="2"/>
      <c r="D598" s="3"/>
      <c r="E598" s="4"/>
      <c r="F598" s="5"/>
      <c r="G598" s="5"/>
      <c r="J598" s="3"/>
      <c r="K598" s="3"/>
      <c r="L598" s="6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5"/>
      <c r="Y598" s="3"/>
      <c r="Z598" s="3"/>
      <c r="AA598" s="3"/>
      <c r="AB598" s="5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7"/>
      <c r="AV598" s="7"/>
      <c r="AW598" s="7"/>
      <c r="AX598" s="7"/>
      <c r="AY598" s="8"/>
      <c r="AZ598" s="3"/>
      <c r="BA598" s="3"/>
      <c r="BB598" s="3"/>
      <c r="BC598" s="3"/>
    </row>
    <row r="599" spans="1:55" x14ac:dyDescent="0.25">
      <c r="A599" s="2"/>
      <c r="D599" s="3"/>
      <c r="E599" s="4"/>
      <c r="F599" s="5"/>
      <c r="G599" s="5"/>
      <c r="J599" s="3"/>
      <c r="K599" s="3"/>
      <c r="L599" s="6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5"/>
      <c r="Y599" s="3"/>
      <c r="Z599" s="3"/>
      <c r="AA599" s="3"/>
      <c r="AB599" s="5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7"/>
      <c r="AV599" s="7"/>
      <c r="AW599" s="7"/>
      <c r="AX599" s="7"/>
      <c r="AY599" s="8"/>
      <c r="AZ599" s="3"/>
      <c r="BA599" s="3"/>
      <c r="BB599" s="3"/>
      <c r="BC599" s="3"/>
    </row>
    <row r="600" spans="1:55" x14ac:dyDescent="0.25">
      <c r="A600" s="2"/>
      <c r="D600" s="3"/>
      <c r="E600" s="4"/>
      <c r="F600" s="5"/>
      <c r="G600" s="5"/>
      <c r="J600" s="3"/>
      <c r="K600" s="3"/>
      <c r="L600" s="6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5"/>
      <c r="Y600" s="3"/>
      <c r="Z600" s="3"/>
      <c r="AA600" s="3"/>
      <c r="AB600" s="5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7"/>
      <c r="AV600" s="7"/>
      <c r="AW600" s="7"/>
      <c r="AX600" s="7"/>
      <c r="AY600" s="8"/>
      <c r="AZ600" s="3"/>
      <c r="BA600" s="3"/>
      <c r="BB600" s="3"/>
      <c r="BC600" s="3"/>
    </row>
    <row r="601" spans="1:55" x14ac:dyDescent="0.25">
      <c r="A601" s="2"/>
      <c r="D601" s="3"/>
      <c r="E601" s="4"/>
      <c r="F601" s="5"/>
      <c r="G601" s="5"/>
      <c r="J601" s="3"/>
      <c r="K601" s="3"/>
      <c r="L601" s="6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5"/>
      <c r="Y601" s="3"/>
      <c r="Z601" s="3"/>
      <c r="AA601" s="3"/>
      <c r="AB601" s="5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7"/>
      <c r="AV601" s="7"/>
      <c r="AW601" s="7"/>
      <c r="AX601" s="7"/>
      <c r="AY601" s="8"/>
      <c r="AZ601" s="3"/>
      <c r="BA601" s="3"/>
      <c r="BB601" s="3"/>
      <c r="BC601" s="3"/>
    </row>
    <row r="602" spans="1:55" x14ac:dyDescent="0.25">
      <c r="A602" s="2"/>
      <c r="D602" s="3"/>
      <c r="E602" s="4"/>
      <c r="F602" s="5"/>
      <c r="G602" s="5"/>
      <c r="J602" s="3"/>
      <c r="K602" s="3"/>
      <c r="L602" s="6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5"/>
      <c r="Y602" s="3"/>
      <c r="Z602" s="3"/>
      <c r="AA602" s="3"/>
      <c r="AB602" s="5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7"/>
      <c r="AV602" s="7"/>
      <c r="AW602" s="7"/>
      <c r="AX602" s="7"/>
      <c r="AY602" s="8"/>
      <c r="AZ602" s="3"/>
      <c r="BA602" s="3"/>
      <c r="BB602" s="3"/>
      <c r="BC602" s="3"/>
    </row>
    <row r="603" spans="1:55" x14ac:dyDescent="0.25">
      <c r="A603" s="2"/>
      <c r="D603" s="3"/>
      <c r="E603" s="4"/>
      <c r="F603" s="5"/>
      <c r="G603" s="5"/>
      <c r="J603" s="3"/>
      <c r="K603" s="3"/>
      <c r="L603" s="6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5"/>
      <c r="Y603" s="3"/>
      <c r="Z603" s="3"/>
      <c r="AA603" s="3"/>
      <c r="AB603" s="5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7"/>
      <c r="AV603" s="7"/>
      <c r="AW603" s="7"/>
      <c r="AX603" s="7"/>
      <c r="AY603" s="8"/>
      <c r="AZ603" s="3"/>
      <c r="BA603" s="3"/>
      <c r="BB603" s="3"/>
      <c r="BC603" s="3"/>
    </row>
    <row r="604" spans="1:55" x14ac:dyDescent="0.25">
      <c r="A604" s="2"/>
      <c r="D604" s="3"/>
      <c r="E604" s="4"/>
      <c r="F604" s="5"/>
      <c r="G604" s="5"/>
      <c r="J604" s="3"/>
      <c r="K604" s="3"/>
      <c r="L604" s="6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5"/>
      <c r="Y604" s="3"/>
      <c r="Z604" s="3"/>
      <c r="AA604" s="3"/>
      <c r="AB604" s="5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7"/>
      <c r="AV604" s="7"/>
      <c r="AW604" s="7"/>
      <c r="AX604" s="7"/>
      <c r="AY604" s="8"/>
      <c r="AZ604" s="3"/>
      <c r="BA604" s="3"/>
      <c r="BB604" s="3"/>
      <c r="BC604" s="3"/>
    </row>
    <row r="605" spans="1:55" x14ac:dyDescent="0.25">
      <c r="A605" s="2"/>
      <c r="D605" s="3"/>
      <c r="E605" s="4"/>
      <c r="F605" s="5"/>
      <c r="G605" s="5"/>
      <c r="J605" s="3"/>
      <c r="K605" s="3"/>
      <c r="L605" s="6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5"/>
      <c r="Y605" s="3"/>
      <c r="Z605" s="3"/>
      <c r="AA605" s="3"/>
      <c r="AB605" s="5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7"/>
      <c r="AV605" s="7"/>
      <c r="AW605" s="7"/>
      <c r="AX605" s="7"/>
      <c r="AY605" s="8"/>
      <c r="AZ605" s="3"/>
      <c r="BA605" s="3"/>
      <c r="BB605" s="3"/>
      <c r="BC605" s="3"/>
    </row>
    <row r="606" spans="1:55" x14ac:dyDescent="0.25">
      <c r="A606" s="2"/>
      <c r="D606" s="3"/>
      <c r="E606" s="4"/>
      <c r="F606" s="5"/>
      <c r="G606" s="5"/>
      <c r="J606" s="3"/>
      <c r="K606" s="3"/>
      <c r="L606" s="6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5"/>
      <c r="Y606" s="3"/>
      <c r="Z606" s="3"/>
      <c r="AA606" s="3"/>
      <c r="AB606" s="5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7"/>
      <c r="AV606" s="7"/>
      <c r="AW606" s="7"/>
      <c r="AX606" s="7"/>
      <c r="AY606" s="8"/>
      <c r="AZ606" s="3"/>
      <c r="BA606" s="3"/>
      <c r="BB606" s="3"/>
      <c r="BC606" s="3"/>
    </row>
    <row r="607" spans="1:55" x14ac:dyDescent="0.25">
      <c r="A607" s="2"/>
      <c r="D607" s="3"/>
      <c r="E607" s="4"/>
      <c r="F607" s="5"/>
      <c r="G607" s="5"/>
      <c r="J607" s="3"/>
      <c r="K607" s="3"/>
      <c r="L607" s="6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5"/>
      <c r="Y607" s="3"/>
      <c r="Z607" s="3"/>
      <c r="AA607" s="3"/>
      <c r="AB607" s="5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7"/>
      <c r="AV607" s="7"/>
      <c r="AW607" s="7"/>
      <c r="AX607" s="7"/>
      <c r="AY607" s="8"/>
      <c r="AZ607" s="3"/>
      <c r="BA607" s="3"/>
      <c r="BB607" s="3"/>
      <c r="BC607" s="3"/>
    </row>
    <row r="608" spans="1:55" x14ac:dyDescent="0.25">
      <c r="A608" s="2"/>
      <c r="D608" s="3"/>
      <c r="E608" s="4"/>
      <c r="F608" s="5"/>
      <c r="G608" s="5"/>
      <c r="J608" s="3"/>
      <c r="K608" s="3"/>
      <c r="L608" s="6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5"/>
      <c r="Y608" s="3"/>
      <c r="Z608" s="3"/>
      <c r="AA608" s="3"/>
      <c r="AB608" s="5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7"/>
      <c r="AV608" s="7"/>
      <c r="AW608" s="7"/>
      <c r="AX608" s="7"/>
      <c r="AY608" s="8"/>
      <c r="AZ608" s="3"/>
      <c r="BA608" s="3"/>
      <c r="BB608" s="3"/>
      <c r="BC608" s="3"/>
    </row>
    <row r="609" spans="1:55" x14ac:dyDescent="0.25">
      <c r="A609" s="2"/>
      <c r="D609" s="3"/>
      <c r="E609" s="4"/>
      <c r="F609" s="5"/>
      <c r="G609" s="5"/>
      <c r="J609" s="3"/>
      <c r="K609" s="3"/>
      <c r="L609" s="6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5"/>
      <c r="Y609" s="3"/>
      <c r="Z609" s="3"/>
      <c r="AA609" s="3"/>
      <c r="AB609" s="5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7"/>
      <c r="AV609" s="7"/>
      <c r="AW609" s="7"/>
      <c r="AX609" s="7"/>
      <c r="AY609" s="8"/>
      <c r="AZ609" s="3"/>
      <c r="BA609" s="3"/>
      <c r="BB609" s="3"/>
      <c r="BC609" s="3"/>
    </row>
    <row r="610" spans="1:55" x14ac:dyDescent="0.25">
      <c r="A610" s="2"/>
      <c r="D610" s="3"/>
      <c r="E610" s="4"/>
      <c r="F610" s="5"/>
      <c r="G610" s="5"/>
      <c r="J610" s="3"/>
      <c r="K610" s="3"/>
      <c r="L610" s="6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5"/>
      <c r="Y610" s="3"/>
      <c r="Z610" s="3"/>
      <c r="AA610" s="3"/>
      <c r="AB610" s="5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7"/>
      <c r="AV610" s="7"/>
      <c r="AW610" s="7"/>
      <c r="AX610" s="7"/>
      <c r="AY610" s="8"/>
      <c r="AZ610" s="3"/>
      <c r="BA610" s="3"/>
      <c r="BB610" s="3"/>
      <c r="BC610" s="3"/>
    </row>
    <row r="611" spans="1:55" x14ac:dyDescent="0.25">
      <c r="A611" s="2"/>
      <c r="D611" s="3"/>
      <c r="E611" s="4"/>
      <c r="F611" s="5"/>
      <c r="G611" s="5"/>
      <c r="J611" s="3"/>
      <c r="K611" s="3"/>
      <c r="L611" s="6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5"/>
      <c r="Y611" s="3"/>
      <c r="Z611" s="3"/>
      <c r="AA611" s="3"/>
      <c r="AB611" s="5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7"/>
      <c r="AV611" s="7"/>
      <c r="AW611" s="7"/>
      <c r="AX611" s="7"/>
      <c r="AY611" s="8"/>
      <c r="AZ611" s="3"/>
      <c r="BA611" s="3"/>
      <c r="BB611" s="3"/>
      <c r="BC611" s="3"/>
    </row>
    <row r="612" spans="1:55" x14ac:dyDescent="0.25">
      <c r="A612" s="2"/>
      <c r="D612" s="3"/>
      <c r="E612" s="4"/>
      <c r="F612" s="5"/>
      <c r="G612" s="5"/>
      <c r="J612" s="3"/>
      <c r="K612" s="3"/>
      <c r="L612" s="6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5"/>
      <c r="Y612" s="3"/>
      <c r="Z612" s="3"/>
      <c r="AA612" s="3"/>
      <c r="AB612" s="5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7"/>
      <c r="AV612" s="7"/>
      <c r="AW612" s="7"/>
      <c r="AX612" s="7"/>
      <c r="AY612" s="8"/>
      <c r="AZ612" s="3"/>
      <c r="BA612" s="3"/>
      <c r="BB612" s="3"/>
      <c r="BC612" s="3"/>
    </row>
    <row r="613" spans="1:55" x14ac:dyDescent="0.25">
      <c r="A613" s="2"/>
      <c r="D613" s="3"/>
      <c r="E613" s="4"/>
      <c r="F613" s="5"/>
      <c r="G613" s="5"/>
      <c r="J613" s="3"/>
      <c r="K613" s="3"/>
      <c r="L613" s="6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5"/>
      <c r="Y613" s="3"/>
      <c r="Z613" s="3"/>
      <c r="AA613" s="3"/>
      <c r="AB613" s="5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7"/>
      <c r="AV613" s="7"/>
      <c r="AW613" s="7"/>
      <c r="AX613" s="7"/>
      <c r="AY613" s="8"/>
      <c r="AZ613" s="3"/>
      <c r="BA613" s="3"/>
      <c r="BB613" s="3"/>
      <c r="BC613" s="3"/>
    </row>
    <row r="614" spans="1:55" x14ac:dyDescent="0.25">
      <c r="A614" s="2"/>
      <c r="D614" s="3"/>
      <c r="E614" s="4"/>
      <c r="F614" s="5"/>
      <c r="G614" s="5"/>
      <c r="J614" s="3"/>
      <c r="K614" s="3"/>
      <c r="L614" s="6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5"/>
      <c r="Y614" s="3"/>
      <c r="Z614" s="3"/>
      <c r="AA614" s="3"/>
      <c r="AB614" s="5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7"/>
      <c r="AV614" s="7"/>
      <c r="AW614" s="7"/>
      <c r="AX614" s="7"/>
      <c r="AY614" s="8"/>
      <c r="AZ614" s="3"/>
      <c r="BA614" s="3"/>
      <c r="BB614" s="3"/>
      <c r="BC614" s="3"/>
    </row>
    <row r="615" spans="1:55" x14ac:dyDescent="0.25">
      <c r="A615" s="2"/>
      <c r="D615" s="3"/>
      <c r="E615" s="4"/>
      <c r="F615" s="5"/>
      <c r="G615" s="5"/>
      <c r="J615" s="3"/>
      <c r="K615" s="3"/>
      <c r="L615" s="6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5"/>
      <c r="Y615" s="3"/>
      <c r="Z615" s="3"/>
      <c r="AA615" s="3"/>
      <c r="AB615" s="5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7"/>
      <c r="AV615" s="7"/>
      <c r="AW615" s="7"/>
      <c r="AX615" s="7"/>
      <c r="AY615" s="8"/>
      <c r="AZ615" s="3"/>
      <c r="BA615" s="3"/>
      <c r="BB615" s="3"/>
      <c r="BC615" s="3"/>
    </row>
    <row r="616" spans="1:55" x14ac:dyDescent="0.25">
      <c r="A616" s="2"/>
      <c r="D616" s="3"/>
      <c r="E616" s="4"/>
      <c r="F616" s="5"/>
      <c r="G616" s="5"/>
      <c r="J616" s="3"/>
      <c r="K616" s="3"/>
      <c r="L616" s="6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5"/>
      <c r="Y616" s="3"/>
      <c r="Z616" s="3"/>
      <c r="AA616" s="3"/>
      <c r="AB616" s="5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7"/>
      <c r="AV616" s="7"/>
      <c r="AW616" s="7"/>
      <c r="AX616" s="7"/>
      <c r="AY616" s="8"/>
      <c r="AZ616" s="3"/>
      <c r="BA616" s="3"/>
      <c r="BB616" s="3"/>
      <c r="BC616" s="3"/>
    </row>
    <row r="617" spans="1:55" x14ac:dyDescent="0.25">
      <c r="A617" s="2"/>
      <c r="D617" s="3"/>
      <c r="E617" s="4"/>
      <c r="F617" s="5"/>
      <c r="G617" s="5"/>
      <c r="J617" s="3"/>
      <c r="K617" s="3"/>
      <c r="L617" s="6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5"/>
      <c r="Y617" s="3"/>
      <c r="Z617" s="3"/>
      <c r="AA617" s="3"/>
      <c r="AB617" s="5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7"/>
      <c r="AV617" s="7"/>
      <c r="AW617" s="7"/>
      <c r="AX617" s="7"/>
      <c r="AY617" s="8"/>
      <c r="AZ617" s="3"/>
      <c r="BA617" s="3"/>
      <c r="BB617" s="3"/>
      <c r="BC617" s="3"/>
    </row>
    <row r="618" spans="1:55" x14ac:dyDescent="0.25">
      <c r="A618" s="2"/>
      <c r="D618" s="3"/>
      <c r="E618" s="4"/>
      <c r="F618" s="5"/>
      <c r="G618" s="5"/>
      <c r="J618" s="3"/>
      <c r="K618" s="3"/>
      <c r="L618" s="6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5"/>
      <c r="Y618" s="3"/>
      <c r="Z618" s="3"/>
      <c r="AA618" s="3"/>
      <c r="AB618" s="5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7"/>
      <c r="AV618" s="7"/>
      <c r="AW618" s="7"/>
      <c r="AX618" s="7"/>
      <c r="AY618" s="8"/>
      <c r="AZ618" s="3"/>
      <c r="BA618" s="3"/>
      <c r="BB618" s="3"/>
      <c r="BC618" s="3"/>
    </row>
    <row r="619" spans="1:55" x14ac:dyDescent="0.25">
      <c r="A619" s="2"/>
      <c r="D619" s="3"/>
      <c r="E619" s="4"/>
      <c r="F619" s="5"/>
      <c r="G619" s="5"/>
      <c r="J619" s="3"/>
      <c r="K619" s="3"/>
      <c r="L619" s="6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5"/>
      <c r="Y619" s="3"/>
      <c r="Z619" s="3"/>
      <c r="AA619" s="3"/>
      <c r="AB619" s="5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7"/>
      <c r="AV619" s="7"/>
      <c r="AW619" s="7"/>
      <c r="AX619" s="7"/>
      <c r="AY619" s="8"/>
      <c r="AZ619" s="3"/>
      <c r="BA619" s="3"/>
      <c r="BB619" s="3"/>
      <c r="BC619" s="3"/>
    </row>
    <row r="620" spans="1:55" x14ac:dyDescent="0.25">
      <c r="A620" s="2"/>
      <c r="D620" s="3"/>
      <c r="E620" s="4"/>
      <c r="F620" s="5"/>
      <c r="G620" s="5"/>
      <c r="J620" s="3"/>
      <c r="K620" s="3"/>
      <c r="L620" s="6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5"/>
      <c r="Y620" s="3"/>
      <c r="Z620" s="3"/>
      <c r="AA620" s="3"/>
      <c r="AB620" s="5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7"/>
      <c r="AV620" s="7"/>
      <c r="AW620" s="7"/>
      <c r="AX620" s="7"/>
      <c r="AY620" s="8"/>
      <c r="AZ620" s="3"/>
      <c r="BA620" s="3"/>
      <c r="BB620" s="3"/>
      <c r="BC620" s="3"/>
    </row>
    <row r="621" spans="1:55" x14ac:dyDescent="0.25">
      <c r="A621" s="2"/>
      <c r="D621" s="3"/>
      <c r="E621" s="4"/>
      <c r="F621" s="5"/>
      <c r="G621" s="5"/>
      <c r="J621" s="3"/>
      <c r="K621" s="3"/>
      <c r="L621" s="6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5"/>
      <c r="Y621" s="3"/>
      <c r="Z621" s="3"/>
      <c r="AA621" s="3"/>
      <c r="AB621" s="5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7"/>
      <c r="AV621" s="7"/>
      <c r="AW621" s="7"/>
      <c r="AX621" s="7"/>
      <c r="AY621" s="8"/>
      <c r="AZ621" s="3"/>
      <c r="BA621" s="3"/>
      <c r="BB621" s="3"/>
      <c r="BC621" s="3"/>
    </row>
    <row r="622" spans="1:55" x14ac:dyDescent="0.25">
      <c r="A622" s="2"/>
      <c r="D622" s="3"/>
      <c r="E622" s="4"/>
      <c r="F622" s="5"/>
      <c r="G622" s="5"/>
      <c r="J622" s="3"/>
      <c r="K622" s="3"/>
      <c r="L622" s="6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5"/>
      <c r="Y622" s="3"/>
      <c r="Z622" s="3"/>
      <c r="AA622" s="3"/>
      <c r="AB622" s="5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7"/>
      <c r="AV622" s="7"/>
      <c r="AW622" s="7"/>
      <c r="AX622" s="7"/>
      <c r="AY622" s="8"/>
      <c r="AZ622" s="3"/>
      <c r="BA622" s="3"/>
      <c r="BB622" s="3"/>
      <c r="BC622" s="3"/>
    </row>
    <row r="623" spans="1:55" x14ac:dyDescent="0.25">
      <c r="A623" s="2"/>
      <c r="D623" s="3"/>
      <c r="E623" s="4"/>
      <c r="F623" s="5"/>
      <c r="G623" s="5"/>
      <c r="J623" s="3"/>
      <c r="K623" s="3"/>
      <c r="L623" s="6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5"/>
      <c r="Y623" s="3"/>
      <c r="Z623" s="3"/>
      <c r="AA623" s="3"/>
      <c r="AB623" s="5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7"/>
      <c r="AV623" s="7"/>
      <c r="AW623" s="7"/>
      <c r="AX623" s="7"/>
      <c r="AY623" s="8"/>
      <c r="AZ623" s="3"/>
      <c r="BA623" s="3"/>
      <c r="BB623" s="3"/>
      <c r="BC623" s="3"/>
    </row>
    <row r="624" spans="1:55" x14ac:dyDescent="0.25">
      <c r="A624" s="2"/>
      <c r="D624" s="3"/>
      <c r="E624" s="4"/>
      <c r="F624" s="5"/>
      <c r="G624" s="5"/>
      <c r="J624" s="3"/>
      <c r="K624" s="3"/>
      <c r="L624" s="6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5"/>
      <c r="Y624" s="3"/>
      <c r="Z624" s="3"/>
      <c r="AA624" s="3"/>
      <c r="AB624" s="5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7"/>
      <c r="AV624" s="7"/>
      <c r="AW624" s="7"/>
      <c r="AX624" s="7"/>
      <c r="AY624" s="8"/>
      <c r="AZ624" s="3"/>
      <c r="BA624" s="3"/>
      <c r="BB624" s="3"/>
      <c r="BC624" s="3"/>
    </row>
    <row r="625" spans="1:55" x14ac:dyDescent="0.25">
      <c r="A625" s="2"/>
      <c r="D625" s="3"/>
      <c r="E625" s="4"/>
      <c r="F625" s="5"/>
      <c r="G625" s="5"/>
      <c r="J625" s="3"/>
      <c r="K625" s="3"/>
      <c r="L625" s="6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5"/>
      <c r="Y625" s="3"/>
      <c r="Z625" s="3"/>
      <c r="AA625" s="3"/>
      <c r="AB625" s="5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7"/>
      <c r="AV625" s="7"/>
      <c r="AW625" s="7"/>
      <c r="AX625" s="7"/>
      <c r="AY625" s="8"/>
      <c r="AZ625" s="3"/>
      <c r="BA625" s="3"/>
      <c r="BB625" s="3"/>
      <c r="BC625" s="3"/>
    </row>
    <row r="626" spans="1:55" x14ac:dyDescent="0.25">
      <c r="A626" s="2"/>
      <c r="D626" s="3"/>
      <c r="E626" s="4"/>
      <c r="F626" s="5"/>
      <c r="G626" s="5"/>
      <c r="J626" s="3"/>
      <c r="K626" s="3"/>
      <c r="L626" s="6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5"/>
      <c r="Y626" s="3"/>
      <c r="Z626" s="3"/>
      <c r="AA626" s="3"/>
      <c r="AB626" s="5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7"/>
      <c r="AV626" s="7"/>
      <c r="AW626" s="7"/>
      <c r="AX626" s="7"/>
      <c r="AY626" s="8"/>
      <c r="AZ626" s="3"/>
      <c r="BA626" s="3"/>
      <c r="BB626" s="3"/>
      <c r="BC626" s="3"/>
    </row>
    <row r="627" spans="1:55" x14ac:dyDescent="0.25">
      <c r="A627" s="2"/>
      <c r="D627" s="3"/>
      <c r="E627" s="4"/>
      <c r="F627" s="5"/>
      <c r="G627" s="5"/>
      <c r="J627" s="3"/>
      <c r="K627" s="3"/>
      <c r="L627" s="6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5"/>
      <c r="Y627" s="3"/>
      <c r="Z627" s="3"/>
      <c r="AA627" s="3"/>
      <c r="AB627" s="5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7"/>
      <c r="AV627" s="7"/>
      <c r="AW627" s="7"/>
      <c r="AX627" s="7"/>
      <c r="AY627" s="8"/>
      <c r="AZ627" s="3"/>
      <c r="BA627" s="3"/>
      <c r="BB627" s="3"/>
      <c r="BC627" s="3"/>
    </row>
    <row r="628" spans="1:55" x14ac:dyDescent="0.25">
      <c r="A628" s="2"/>
      <c r="D628" s="3"/>
      <c r="E628" s="4"/>
      <c r="F628" s="5"/>
      <c r="G628" s="5"/>
      <c r="J628" s="3"/>
      <c r="K628" s="3"/>
      <c r="L628" s="6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5"/>
      <c r="Y628" s="3"/>
      <c r="Z628" s="3"/>
      <c r="AA628" s="3"/>
      <c r="AB628" s="5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7"/>
      <c r="AV628" s="7"/>
      <c r="AW628" s="7"/>
      <c r="AX628" s="7"/>
      <c r="AY628" s="8"/>
      <c r="AZ628" s="3"/>
      <c r="BA628" s="3"/>
      <c r="BB628" s="3"/>
      <c r="BC628" s="3"/>
    </row>
    <row r="629" spans="1:55" x14ac:dyDescent="0.25">
      <c r="A629" s="2"/>
      <c r="D629" s="3"/>
      <c r="E629" s="4"/>
      <c r="F629" s="5"/>
      <c r="G629" s="5"/>
      <c r="J629" s="3"/>
      <c r="K629" s="3"/>
      <c r="L629" s="6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5"/>
      <c r="Y629" s="3"/>
      <c r="Z629" s="3"/>
      <c r="AA629" s="3"/>
      <c r="AB629" s="5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7"/>
      <c r="AV629" s="7"/>
      <c r="AW629" s="7"/>
      <c r="AX629" s="7"/>
      <c r="AY629" s="8"/>
      <c r="AZ629" s="3"/>
      <c r="BA629" s="3"/>
      <c r="BB629" s="3"/>
      <c r="BC629" s="3"/>
    </row>
    <row r="630" spans="1:55" x14ac:dyDescent="0.25">
      <c r="A630" s="2"/>
      <c r="D630" s="3"/>
      <c r="E630" s="4"/>
      <c r="F630" s="5"/>
      <c r="G630" s="5"/>
      <c r="J630" s="3"/>
      <c r="K630" s="3"/>
      <c r="L630" s="6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5"/>
      <c r="Y630" s="3"/>
      <c r="Z630" s="3"/>
      <c r="AA630" s="3"/>
      <c r="AB630" s="5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7"/>
      <c r="AV630" s="7"/>
      <c r="AW630" s="7"/>
      <c r="AX630" s="7"/>
      <c r="AY630" s="8"/>
      <c r="AZ630" s="3"/>
      <c r="BA630" s="3"/>
      <c r="BB630" s="3"/>
      <c r="BC630" s="3"/>
    </row>
    <row r="631" spans="1:55" x14ac:dyDescent="0.25">
      <c r="A631" s="2"/>
      <c r="D631" s="3"/>
      <c r="E631" s="4"/>
      <c r="F631" s="5"/>
      <c r="G631" s="5"/>
      <c r="J631" s="3"/>
      <c r="K631" s="3"/>
      <c r="L631" s="6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5"/>
      <c r="Y631" s="3"/>
      <c r="Z631" s="3"/>
      <c r="AA631" s="3"/>
      <c r="AB631" s="5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7"/>
      <c r="AV631" s="7"/>
      <c r="AW631" s="7"/>
      <c r="AX631" s="7"/>
      <c r="AY631" s="8"/>
      <c r="AZ631" s="3"/>
      <c r="BA631" s="3"/>
      <c r="BB631" s="3"/>
      <c r="BC631" s="3"/>
    </row>
    <row r="632" spans="1:55" x14ac:dyDescent="0.25">
      <c r="A632" s="2"/>
      <c r="D632" s="3"/>
      <c r="E632" s="4"/>
      <c r="F632" s="5"/>
      <c r="G632" s="5"/>
      <c r="J632" s="3"/>
      <c r="K632" s="3"/>
      <c r="L632" s="6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5"/>
      <c r="Y632" s="3"/>
      <c r="Z632" s="3"/>
      <c r="AA632" s="3"/>
      <c r="AB632" s="5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7"/>
      <c r="AV632" s="7"/>
      <c r="AW632" s="7"/>
      <c r="AX632" s="7"/>
      <c r="AY632" s="8"/>
      <c r="AZ632" s="3"/>
      <c r="BA632" s="3"/>
      <c r="BB632" s="3"/>
      <c r="BC632" s="3"/>
    </row>
    <row r="633" spans="1:55" x14ac:dyDescent="0.25">
      <c r="A633" s="2"/>
      <c r="D633" s="3"/>
      <c r="E633" s="4"/>
      <c r="F633" s="5"/>
      <c r="G633" s="5"/>
      <c r="J633" s="3"/>
      <c r="K633" s="3"/>
      <c r="L633" s="6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5"/>
      <c r="Y633" s="3"/>
      <c r="Z633" s="3"/>
      <c r="AA633" s="3"/>
      <c r="AB633" s="5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7"/>
      <c r="AV633" s="7"/>
      <c r="AW633" s="7"/>
      <c r="AX633" s="7"/>
      <c r="AY633" s="8"/>
      <c r="AZ633" s="3"/>
      <c r="BA633" s="3"/>
      <c r="BB633" s="3"/>
      <c r="BC633" s="3"/>
    </row>
    <row r="634" spans="1:55" x14ac:dyDescent="0.25">
      <c r="A634" s="2"/>
      <c r="D634" s="3"/>
      <c r="E634" s="4"/>
      <c r="F634" s="5"/>
      <c r="G634" s="5"/>
      <c r="J634" s="3"/>
      <c r="K634" s="3"/>
      <c r="L634" s="6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5"/>
      <c r="Y634" s="3"/>
      <c r="Z634" s="3"/>
      <c r="AA634" s="3"/>
      <c r="AB634" s="5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7"/>
      <c r="AV634" s="7"/>
      <c r="AW634" s="7"/>
      <c r="AX634" s="7"/>
      <c r="AY634" s="8"/>
      <c r="AZ634" s="3"/>
      <c r="BA634" s="3"/>
      <c r="BB634" s="3"/>
      <c r="BC634" s="3"/>
    </row>
    <row r="635" spans="1:55" x14ac:dyDescent="0.25">
      <c r="A635" s="2"/>
      <c r="D635" s="3"/>
      <c r="E635" s="4"/>
      <c r="F635" s="5"/>
      <c r="G635" s="5"/>
      <c r="J635" s="3"/>
      <c r="K635" s="3"/>
      <c r="L635" s="6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5"/>
      <c r="Y635" s="3"/>
      <c r="Z635" s="3"/>
      <c r="AA635" s="3"/>
      <c r="AB635" s="5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7"/>
      <c r="AV635" s="7"/>
      <c r="AW635" s="7"/>
      <c r="AX635" s="7"/>
      <c r="AY635" s="8"/>
      <c r="AZ635" s="3"/>
      <c r="BA635" s="3"/>
      <c r="BB635" s="3"/>
      <c r="BC635" s="3"/>
    </row>
    <row r="636" spans="1:55" x14ac:dyDescent="0.25">
      <c r="A636" s="2"/>
      <c r="D636" s="3"/>
      <c r="E636" s="4"/>
      <c r="F636" s="5"/>
      <c r="G636" s="5"/>
      <c r="J636" s="3"/>
      <c r="K636" s="3"/>
      <c r="L636" s="6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5"/>
      <c r="Y636" s="3"/>
      <c r="Z636" s="3"/>
      <c r="AA636" s="3"/>
      <c r="AB636" s="5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7"/>
      <c r="AV636" s="7"/>
      <c r="AW636" s="7"/>
      <c r="AX636" s="7"/>
      <c r="AY636" s="8"/>
      <c r="AZ636" s="3"/>
      <c r="BA636" s="3"/>
      <c r="BB636" s="3"/>
      <c r="BC636" s="3"/>
    </row>
    <row r="637" spans="1:55" x14ac:dyDescent="0.25">
      <c r="A637" s="2"/>
      <c r="D637" s="3"/>
      <c r="E637" s="4"/>
      <c r="F637" s="5"/>
      <c r="G637" s="5"/>
      <c r="J637" s="3"/>
      <c r="K637" s="3"/>
      <c r="L637" s="6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5"/>
      <c r="Y637" s="3"/>
      <c r="Z637" s="3"/>
      <c r="AA637" s="3"/>
      <c r="AB637" s="5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7"/>
      <c r="AV637" s="7"/>
      <c r="AW637" s="7"/>
      <c r="AX637" s="7"/>
      <c r="AY637" s="8"/>
      <c r="AZ637" s="3"/>
      <c r="BA637" s="3"/>
      <c r="BB637" s="3"/>
      <c r="BC637" s="3"/>
    </row>
    <row r="638" spans="1:55" x14ac:dyDescent="0.25">
      <c r="A638" s="2"/>
      <c r="D638" s="3"/>
      <c r="E638" s="4"/>
      <c r="F638" s="5"/>
      <c r="G638" s="5"/>
      <c r="J638" s="3"/>
      <c r="K638" s="3"/>
      <c r="L638" s="6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5"/>
      <c r="Y638" s="3"/>
      <c r="Z638" s="3"/>
      <c r="AA638" s="3"/>
      <c r="AB638" s="5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7"/>
      <c r="AV638" s="7"/>
      <c r="AW638" s="7"/>
      <c r="AX638" s="7"/>
      <c r="AY638" s="8"/>
      <c r="AZ638" s="3"/>
      <c r="BA638" s="3"/>
      <c r="BB638" s="3"/>
      <c r="BC638" s="3"/>
    </row>
    <row r="639" spans="1:55" x14ac:dyDescent="0.25">
      <c r="A639" s="2"/>
      <c r="D639" s="3"/>
      <c r="E639" s="4"/>
      <c r="F639" s="5"/>
      <c r="G639" s="5"/>
      <c r="J639" s="3"/>
      <c r="K639" s="3"/>
      <c r="L639" s="6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5"/>
      <c r="Y639" s="3"/>
      <c r="Z639" s="3"/>
      <c r="AA639" s="3"/>
      <c r="AB639" s="5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7"/>
      <c r="AV639" s="7"/>
      <c r="AW639" s="7"/>
      <c r="AX639" s="7"/>
      <c r="AY639" s="8"/>
      <c r="AZ639" s="3"/>
      <c r="BA639" s="3"/>
      <c r="BB639" s="3"/>
      <c r="BC639" s="3"/>
    </row>
    <row r="640" spans="1:55" x14ac:dyDescent="0.25">
      <c r="A640" s="2"/>
      <c r="D640" s="3"/>
      <c r="E640" s="4"/>
      <c r="F640" s="5"/>
      <c r="G640" s="5"/>
      <c r="J640" s="3"/>
      <c r="K640" s="3"/>
      <c r="L640" s="6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5"/>
      <c r="Y640" s="3"/>
      <c r="Z640" s="3"/>
      <c r="AA640" s="3"/>
      <c r="AB640" s="5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7"/>
      <c r="AV640" s="7"/>
      <c r="AW640" s="7"/>
      <c r="AX640" s="7"/>
      <c r="AY640" s="8"/>
      <c r="AZ640" s="3"/>
      <c r="BA640" s="3"/>
      <c r="BB640" s="3"/>
      <c r="BC640" s="3"/>
    </row>
    <row r="641" spans="1:55" x14ac:dyDescent="0.25">
      <c r="A641" s="2"/>
      <c r="D641" s="3"/>
      <c r="E641" s="4"/>
      <c r="F641" s="5"/>
      <c r="G641" s="5"/>
      <c r="J641" s="3"/>
      <c r="K641" s="3"/>
      <c r="L641" s="6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5"/>
      <c r="Y641" s="3"/>
      <c r="Z641" s="3"/>
      <c r="AA641" s="3"/>
      <c r="AB641" s="5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7"/>
      <c r="AV641" s="7"/>
      <c r="AW641" s="7"/>
      <c r="AX641" s="7"/>
      <c r="AY641" s="8"/>
      <c r="AZ641" s="3"/>
      <c r="BA641" s="3"/>
      <c r="BB641" s="3"/>
      <c r="BC641" s="3"/>
    </row>
    <row r="642" spans="1:55" x14ac:dyDescent="0.25">
      <c r="A642" s="2"/>
      <c r="D642" s="3"/>
      <c r="E642" s="4"/>
      <c r="F642" s="5"/>
      <c r="G642" s="5"/>
      <c r="J642" s="3"/>
      <c r="K642" s="3"/>
      <c r="L642" s="6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5"/>
      <c r="Y642" s="3"/>
      <c r="Z642" s="3"/>
      <c r="AA642" s="3"/>
      <c r="AB642" s="5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7"/>
      <c r="AV642" s="7"/>
      <c r="AW642" s="7"/>
      <c r="AX642" s="7"/>
      <c r="AY642" s="8"/>
      <c r="AZ642" s="3"/>
      <c r="BA642" s="3"/>
      <c r="BB642" s="3"/>
      <c r="BC642" s="3"/>
    </row>
    <row r="643" spans="1:55" x14ac:dyDescent="0.25">
      <c r="A643" s="2"/>
      <c r="D643" s="3"/>
      <c r="E643" s="4"/>
      <c r="F643" s="5"/>
      <c r="G643" s="5"/>
      <c r="J643" s="3"/>
      <c r="K643" s="3"/>
      <c r="L643" s="6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5"/>
      <c r="Y643" s="3"/>
      <c r="Z643" s="3"/>
      <c r="AA643" s="3"/>
      <c r="AB643" s="5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7"/>
      <c r="AV643" s="7"/>
      <c r="AW643" s="7"/>
      <c r="AX643" s="7"/>
      <c r="AY643" s="8"/>
      <c r="AZ643" s="3"/>
      <c r="BA643" s="3"/>
      <c r="BB643" s="3"/>
      <c r="BC643" s="3"/>
    </row>
    <row r="644" spans="1:55" x14ac:dyDescent="0.25">
      <c r="A644" s="2"/>
      <c r="D644" s="3"/>
      <c r="E644" s="4"/>
      <c r="F644" s="5"/>
      <c r="G644" s="5"/>
      <c r="J644" s="3"/>
      <c r="K644" s="3"/>
      <c r="L644" s="6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5"/>
      <c r="Y644" s="3"/>
      <c r="Z644" s="3"/>
      <c r="AA644" s="3"/>
      <c r="AB644" s="5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7"/>
      <c r="AV644" s="7"/>
      <c r="AW644" s="7"/>
      <c r="AX644" s="7"/>
      <c r="AY644" s="8"/>
      <c r="AZ644" s="3"/>
      <c r="BA644" s="3"/>
      <c r="BB644" s="3"/>
      <c r="BC644" s="3"/>
    </row>
    <row r="645" spans="1:55" x14ac:dyDescent="0.25">
      <c r="A645" s="2"/>
      <c r="D645" s="3"/>
      <c r="E645" s="4"/>
      <c r="F645" s="5"/>
      <c r="G645" s="5"/>
      <c r="J645" s="3"/>
      <c r="K645" s="3"/>
      <c r="L645" s="6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5"/>
      <c r="Y645" s="3"/>
      <c r="Z645" s="3"/>
      <c r="AA645" s="3"/>
      <c r="AB645" s="5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7"/>
      <c r="AV645" s="7"/>
      <c r="AW645" s="7"/>
      <c r="AX645" s="7"/>
      <c r="AY645" s="8"/>
      <c r="AZ645" s="3"/>
      <c r="BA645" s="3"/>
      <c r="BB645" s="3"/>
      <c r="BC645" s="3"/>
    </row>
    <row r="646" spans="1:55" x14ac:dyDescent="0.25">
      <c r="A646" s="2"/>
      <c r="D646" s="3"/>
      <c r="E646" s="4"/>
      <c r="F646" s="5"/>
      <c r="G646" s="5"/>
      <c r="J646" s="3"/>
      <c r="K646" s="3"/>
      <c r="L646" s="6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5"/>
      <c r="Y646" s="3"/>
      <c r="Z646" s="3"/>
      <c r="AA646" s="3"/>
      <c r="AB646" s="5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7"/>
      <c r="AV646" s="7"/>
      <c r="AW646" s="7"/>
      <c r="AX646" s="7"/>
      <c r="AY646" s="8"/>
      <c r="AZ646" s="3"/>
      <c r="BA646" s="3"/>
      <c r="BB646" s="3"/>
      <c r="BC646" s="3"/>
    </row>
    <row r="647" spans="1:55" x14ac:dyDescent="0.25">
      <c r="A647" s="2"/>
      <c r="D647" s="3"/>
      <c r="E647" s="4"/>
      <c r="F647" s="5"/>
      <c r="G647" s="5"/>
      <c r="J647" s="3"/>
      <c r="K647" s="3"/>
      <c r="L647" s="6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5"/>
      <c r="Y647" s="3"/>
      <c r="Z647" s="3"/>
      <c r="AA647" s="3"/>
      <c r="AB647" s="5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7"/>
      <c r="AV647" s="7"/>
      <c r="AW647" s="7"/>
      <c r="AX647" s="7"/>
      <c r="AY647" s="8"/>
      <c r="AZ647" s="3"/>
      <c r="BA647" s="3"/>
      <c r="BB647" s="3"/>
      <c r="BC647" s="3"/>
    </row>
    <row r="648" spans="1:55" x14ac:dyDescent="0.25">
      <c r="A648" s="2"/>
      <c r="D648" s="3"/>
      <c r="E648" s="4"/>
      <c r="F648" s="5"/>
      <c r="G648" s="5"/>
      <c r="J648" s="3"/>
      <c r="K648" s="3"/>
      <c r="L648" s="6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5"/>
      <c r="Y648" s="3"/>
      <c r="Z648" s="3"/>
      <c r="AA648" s="3"/>
      <c r="AB648" s="5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7"/>
      <c r="AV648" s="7"/>
      <c r="AW648" s="7"/>
      <c r="AX648" s="7"/>
      <c r="AY648" s="8"/>
      <c r="AZ648" s="3"/>
      <c r="BA648" s="3"/>
      <c r="BB648" s="3"/>
      <c r="BC648" s="3"/>
    </row>
    <row r="649" spans="1:55" x14ac:dyDescent="0.25">
      <c r="A649" s="2"/>
      <c r="D649" s="3"/>
      <c r="E649" s="4"/>
      <c r="F649" s="5"/>
      <c r="G649" s="5"/>
      <c r="J649" s="3"/>
      <c r="K649" s="3"/>
      <c r="L649" s="6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5"/>
      <c r="Y649" s="3"/>
      <c r="Z649" s="3"/>
      <c r="AA649" s="3"/>
      <c r="AB649" s="5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7"/>
      <c r="AV649" s="7"/>
      <c r="AW649" s="7"/>
      <c r="AX649" s="7"/>
      <c r="AY649" s="8"/>
      <c r="AZ649" s="3"/>
      <c r="BA649" s="3"/>
      <c r="BB649" s="3"/>
      <c r="BC649" s="3"/>
    </row>
    <row r="650" spans="1:55" x14ac:dyDescent="0.25">
      <c r="A650" s="2"/>
      <c r="D650" s="3"/>
      <c r="E650" s="4"/>
      <c r="F650" s="5"/>
      <c r="G650" s="5"/>
      <c r="J650" s="3"/>
      <c r="K650" s="3"/>
      <c r="L650" s="6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5"/>
      <c r="Y650" s="3"/>
      <c r="Z650" s="3"/>
      <c r="AA650" s="3"/>
      <c r="AB650" s="5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7"/>
      <c r="AV650" s="7"/>
      <c r="AW650" s="7"/>
      <c r="AX650" s="7"/>
      <c r="AY650" s="8"/>
      <c r="AZ650" s="3"/>
      <c r="BA650" s="3"/>
      <c r="BB650" s="3"/>
      <c r="BC650" s="3"/>
    </row>
    <row r="651" spans="1:55" x14ac:dyDescent="0.25">
      <c r="A651" s="2"/>
      <c r="D651" s="3"/>
      <c r="E651" s="4"/>
      <c r="F651" s="5"/>
      <c r="G651" s="5"/>
      <c r="J651" s="3"/>
      <c r="K651" s="3"/>
      <c r="L651" s="6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5"/>
      <c r="Y651" s="3"/>
      <c r="Z651" s="3"/>
      <c r="AA651" s="3"/>
      <c r="AB651" s="5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7"/>
      <c r="AV651" s="7"/>
      <c r="AW651" s="7"/>
      <c r="AX651" s="7"/>
      <c r="AY651" s="8"/>
      <c r="AZ651" s="3"/>
      <c r="BA651" s="3"/>
      <c r="BB651" s="3"/>
      <c r="BC651" s="3"/>
    </row>
    <row r="652" spans="1:55" x14ac:dyDescent="0.25">
      <c r="A652" s="2"/>
      <c r="D652" s="3"/>
      <c r="E652" s="4"/>
      <c r="F652" s="5"/>
      <c r="G652" s="5"/>
      <c r="J652" s="3"/>
      <c r="K652" s="3"/>
      <c r="L652" s="6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5"/>
      <c r="Y652" s="3"/>
      <c r="Z652" s="3"/>
      <c r="AA652" s="3"/>
      <c r="AB652" s="5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7"/>
      <c r="AV652" s="7"/>
      <c r="AW652" s="7"/>
      <c r="AX652" s="7"/>
      <c r="AY652" s="8"/>
      <c r="AZ652" s="3"/>
      <c r="BA652" s="3"/>
      <c r="BB652" s="3"/>
      <c r="BC652" s="3"/>
    </row>
    <row r="653" spans="1:55" x14ac:dyDescent="0.25">
      <c r="A653" s="2"/>
      <c r="D653" s="3"/>
      <c r="E653" s="4"/>
      <c r="F653" s="5"/>
      <c r="G653" s="5"/>
      <c r="J653" s="3"/>
      <c r="K653" s="3"/>
      <c r="L653" s="6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5"/>
      <c r="Y653" s="3"/>
      <c r="Z653" s="3"/>
      <c r="AA653" s="3"/>
      <c r="AB653" s="5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7"/>
      <c r="AV653" s="7"/>
      <c r="AW653" s="7"/>
      <c r="AX653" s="7"/>
      <c r="AY653" s="8"/>
      <c r="AZ653" s="3"/>
      <c r="BA653" s="3"/>
      <c r="BB653" s="3"/>
      <c r="BC653" s="3"/>
    </row>
    <row r="654" spans="1:55" x14ac:dyDescent="0.25">
      <c r="A654" s="2"/>
      <c r="D654" s="3"/>
      <c r="E654" s="4"/>
      <c r="F654" s="5"/>
      <c r="G654" s="5"/>
      <c r="J654" s="3"/>
      <c r="K654" s="3"/>
      <c r="L654" s="6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5"/>
      <c r="Y654" s="3"/>
      <c r="Z654" s="3"/>
      <c r="AA654" s="3"/>
      <c r="AB654" s="5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7"/>
      <c r="AV654" s="7"/>
      <c r="AW654" s="7"/>
      <c r="AX654" s="7"/>
      <c r="AY654" s="8"/>
      <c r="AZ654" s="3"/>
      <c r="BA654" s="3"/>
      <c r="BB654" s="3"/>
      <c r="BC654" s="3"/>
    </row>
    <row r="655" spans="1:55" x14ac:dyDescent="0.25">
      <c r="A655" s="2"/>
      <c r="D655" s="3"/>
      <c r="E655" s="4"/>
      <c r="F655" s="5"/>
      <c r="G655" s="5"/>
      <c r="J655" s="3"/>
      <c r="K655" s="3"/>
      <c r="L655" s="6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5"/>
      <c r="Y655" s="3"/>
      <c r="Z655" s="3"/>
      <c r="AA655" s="3"/>
      <c r="AB655" s="5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7"/>
      <c r="AV655" s="7"/>
      <c r="AW655" s="7"/>
      <c r="AX655" s="7"/>
      <c r="AY655" s="8"/>
      <c r="AZ655" s="3"/>
      <c r="BA655" s="3"/>
      <c r="BB655" s="3"/>
      <c r="BC655" s="3"/>
    </row>
    <row r="656" spans="1:55" x14ac:dyDescent="0.25">
      <c r="A656" s="2"/>
      <c r="D656" s="3"/>
      <c r="E656" s="4"/>
      <c r="F656" s="5"/>
      <c r="G656" s="5"/>
      <c r="J656" s="3"/>
      <c r="K656" s="3"/>
      <c r="L656" s="6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5"/>
      <c r="Y656" s="3"/>
      <c r="Z656" s="3"/>
      <c r="AA656" s="3"/>
      <c r="AB656" s="5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7"/>
      <c r="AV656" s="7"/>
      <c r="AW656" s="7"/>
      <c r="AX656" s="7"/>
      <c r="AY656" s="8"/>
      <c r="AZ656" s="3"/>
      <c r="BA656" s="3"/>
      <c r="BB656" s="3"/>
      <c r="BC656" s="3"/>
    </row>
    <row r="657" spans="1:55" x14ac:dyDescent="0.25">
      <c r="A657" s="2"/>
      <c r="D657" s="3"/>
      <c r="E657" s="4"/>
      <c r="F657" s="5"/>
      <c r="G657" s="5"/>
      <c r="J657" s="3"/>
      <c r="K657" s="3"/>
      <c r="L657" s="6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5"/>
      <c r="Y657" s="3"/>
      <c r="Z657" s="3"/>
      <c r="AA657" s="3"/>
      <c r="AB657" s="5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7"/>
      <c r="AV657" s="7"/>
      <c r="AW657" s="7"/>
      <c r="AX657" s="7"/>
      <c r="AY657" s="8"/>
      <c r="AZ657" s="3"/>
      <c r="BA657" s="3"/>
      <c r="BB657" s="3"/>
      <c r="BC657" s="3"/>
    </row>
    <row r="658" spans="1:55" x14ac:dyDescent="0.25">
      <c r="A658" s="2"/>
      <c r="D658" s="3"/>
      <c r="E658" s="4"/>
      <c r="F658" s="5"/>
      <c r="G658" s="5"/>
      <c r="J658" s="3"/>
      <c r="K658" s="3"/>
      <c r="L658" s="6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5"/>
      <c r="Y658" s="3"/>
      <c r="Z658" s="3"/>
      <c r="AA658" s="3"/>
      <c r="AB658" s="5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7"/>
      <c r="AV658" s="7"/>
      <c r="AW658" s="7"/>
      <c r="AX658" s="7"/>
      <c r="AY658" s="8"/>
      <c r="AZ658" s="3"/>
      <c r="BA658" s="3"/>
      <c r="BB658" s="3"/>
      <c r="BC658" s="3"/>
    </row>
    <row r="659" spans="1:55" x14ac:dyDescent="0.25">
      <c r="A659" s="2"/>
      <c r="D659" s="3"/>
      <c r="E659" s="4"/>
      <c r="F659" s="5"/>
      <c r="G659" s="5"/>
      <c r="J659" s="3"/>
      <c r="K659" s="3"/>
      <c r="L659" s="6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5"/>
      <c r="Y659" s="3"/>
      <c r="Z659" s="3"/>
      <c r="AA659" s="3"/>
      <c r="AB659" s="5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7"/>
      <c r="AV659" s="7"/>
      <c r="AW659" s="7"/>
      <c r="AX659" s="7"/>
      <c r="AY659" s="8"/>
      <c r="AZ659" s="3"/>
      <c r="BA659" s="3"/>
      <c r="BB659" s="3"/>
      <c r="BC659" s="3"/>
    </row>
    <row r="660" spans="1:55" x14ac:dyDescent="0.25">
      <c r="A660" s="2"/>
      <c r="D660" s="3"/>
      <c r="E660" s="4"/>
      <c r="F660" s="5"/>
      <c r="G660" s="5"/>
      <c r="J660" s="3"/>
      <c r="K660" s="3"/>
      <c r="L660" s="6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5"/>
      <c r="Y660" s="3"/>
      <c r="Z660" s="3"/>
      <c r="AA660" s="3"/>
      <c r="AB660" s="5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7"/>
      <c r="AV660" s="7"/>
      <c r="AW660" s="7"/>
      <c r="AX660" s="7"/>
      <c r="AY660" s="8"/>
      <c r="AZ660" s="3"/>
      <c r="BA660" s="3"/>
      <c r="BB660" s="3"/>
      <c r="BC660" s="3"/>
    </row>
    <row r="661" spans="1:55" x14ac:dyDescent="0.25">
      <c r="A661" s="2"/>
      <c r="D661" s="3"/>
      <c r="E661" s="4"/>
      <c r="F661" s="5"/>
      <c r="G661" s="5"/>
      <c r="J661" s="3"/>
      <c r="K661" s="3"/>
      <c r="L661" s="6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5"/>
      <c r="Y661" s="3"/>
      <c r="Z661" s="3"/>
      <c r="AA661" s="3"/>
      <c r="AB661" s="5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7"/>
      <c r="AV661" s="7"/>
      <c r="AW661" s="7"/>
      <c r="AX661" s="7"/>
      <c r="AY661" s="8"/>
      <c r="AZ661" s="3"/>
      <c r="BA661" s="3"/>
      <c r="BB661" s="3"/>
      <c r="BC661" s="3"/>
    </row>
    <row r="662" spans="1:55" x14ac:dyDescent="0.25">
      <c r="A662" s="2"/>
      <c r="D662" s="3"/>
      <c r="E662" s="4"/>
      <c r="F662" s="5"/>
      <c r="G662" s="5"/>
      <c r="J662" s="3"/>
      <c r="K662" s="3"/>
      <c r="L662" s="6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5"/>
      <c r="Y662" s="3"/>
      <c r="Z662" s="3"/>
      <c r="AA662" s="3"/>
      <c r="AB662" s="5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7"/>
      <c r="AV662" s="7"/>
      <c r="AW662" s="7"/>
      <c r="AX662" s="7"/>
      <c r="AY662" s="8"/>
      <c r="AZ662" s="3"/>
      <c r="BA662" s="3"/>
      <c r="BB662" s="3"/>
      <c r="BC662" s="3"/>
    </row>
    <row r="663" spans="1:55" x14ac:dyDescent="0.25">
      <c r="A663" s="2"/>
      <c r="D663" s="3"/>
      <c r="E663" s="4"/>
      <c r="F663" s="5"/>
      <c r="G663" s="5"/>
      <c r="J663" s="3"/>
      <c r="K663" s="3"/>
      <c r="L663" s="6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5"/>
      <c r="Y663" s="3"/>
      <c r="Z663" s="3"/>
      <c r="AA663" s="3"/>
      <c r="AB663" s="5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7"/>
      <c r="AV663" s="7"/>
      <c r="AW663" s="7"/>
      <c r="AX663" s="7"/>
      <c r="AY663" s="8"/>
      <c r="AZ663" s="3"/>
      <c r="BA663" s="3"/>
      <c r="BB663" s="3"/>
      <c r="BC663" s="3"/>
    </row>
    <row r="664" spans="1:55" x14ac:dyDescent="0.25">
      <c r="A664" s="2"/>
      <c r="D664" s="3"/>
      <c r="E664" s="4"/>
      <c r="F664" s="5"/>
      <c r="G664" s="5"/>
      <c r="J664" s="3"/>
      <c r="K664" s="3"/>
      <c r="L664" s="6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5"/>
      <c r="Y664" s="3"/>
      <c r="Z664" s="3"/>
      <c r="AA664" s="3"/>
      <c r="AB664" s="5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7"/>
      <c r="AV664" s="7"/>
      <c r="AW664" s="7"/>
      <c r="AX664" s="7"/>
      <c r="AY664" s="8"/>
      <c r="AZ664" s="3"/>
      <c r="BA664" s="3"/>
      <c r="BB664" s="3"/>
      <c r="BC664" s="3"/>
    </row>
    <row r="665" spans="1:55" x14ac:dyDescent="0.25">
      <c r="A665" s="2"/>
      <c r="D665" s="3"/>
      <c r="E665" s="4"/>
      <c r="F665" s="5"/>
      <c r="G665" s="5"/>
      <c r="J665" s="3"/>
      <c r="K665" s="3"/>
      <c r="L665" s="6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5"/>
      <c r="Y665" s="3"/>
      <c r="Z665" s="3"/>
      <c r="AA665" s="3"/>
      <c r="AB665" s="5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7"/>
      <c r="AV665" s="7"/>
      <c r="AW665" s="7"/>
      <c r="AX665" s="7"/>
      <c r="AY665" s="8"/>
      <c r="AZ665" s="3"/>
      <c r="BA665" s="3"/>
      <c r="BB665" s="3"/>
      <c r="BC665" s="3"/>
    </row>
    <row r="666" spans="1:55" x14ac:dyDescent="0.25">
      <c r="A666" s="2"/>
      <c r="D666" s="3"/>
      <c r="E666" s="4"/>
      <c r="F666" s="5"/>
      <c r="G666" s="5"/>
      <c r="J666" s="3"/>
      <c r="K666" s="3"/>
      <c r="L666" s="6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5"/>
      <c r="Y666" s="3"/>
      <c r="Z666" s="3"/>
      <c r="AA666" s="3"/>
      <c r="AB666" s="5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7"/>
      <c r="AV666" s="7"/>
      <c r="AW666" s="7"/>
      <c r="AX666" s="7"/>
      <c r="AY666" s="8"/>
      <c r="AZ666" s="3"/>
      <c r="BA666" s="3"/>
      <c r="BB666" s="3"/>
      <c r="BC666" s="3"/>
    </row>
    <row r="667" spans="1:55" x14ac:dyDescent="0.25">
      <c r="A667" s="2"/>
      <c r="D667" s="3"/>
      <c r="E667" s="4"/>
      <c r="F667" s="5"/>
      <c r="G667" s="5"/>
      <c r="J667" s="3"/>
      <c r="K667" s="3"/>
      <c r="L667" s="6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5"/>
      <c r="Y667" s="3"/>
      <c r="Z667" s="3"/>
      <c r="AA667" s="3"/>
      <c r="AB667" s="5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7"/>
      <c r="AV667" s="7"/>
      <c r="AW667" s="7"/>
      <c r="AX667" s="7"/>
      <c r="AY667" s="8"/>
      <c r="AZ667" s="3"/>
      <c r="BA667" s="3"/>
      <c r="BB667" s="3"/>
      <c r="BC667" s="3"/>
    </row>
    <row r="668" spans="1:55" x14ac:dyDescent="0.25">
      <c r="A668" s="2"/>
      <c r="D668" s="3"/>
      <c r="E668" s="4"/>
      <c r="F668" s="5"/>
      <c r="G668" s="5"/>
      <c r="J668" s="3"/>
      <c r="K668" s="3"/>
      <c r="L668" s="6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5"/>
      <c r="Y668" s="3"/>
      <c r="Z668" s="3"/>
      <c r="AA668" s="3"/>
      <c r="AB668" s="5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7"/>
      <c r="AV668" s="7"/>
      <c r="AW668" s="7"/>
      <c r="AX668" s="7"/>
      <c r="AY668" s="8"/>
      <c r="AZ668" s="3"/>
      <c r="BA668" s="3"/>
      <c r="BB668" s="3"/>
      <c r="BC668" s="3"/>
    </row>
    <row r="669" spans="1:55" x14ac:dyDescent="0.25">
      <c r="A669" s="2"/>
      <c r="D669" s="3"/>
      <c r="E669" s="4"/>
      <c r="F669" s="5"/>
      <c r="G669" s="5"/>
      <c r="J669" s="3"/>
      <c r="K669" s="3"/>
      <c r="L669" s="6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5"/>
      <c r="Y669" s="3"/>
      <c r="Z669" s="3"/>
      <c r="AA669" s="3"/>
      <c r="AB669" s="5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7"/>
      <c r="AV669" s="7"/>
      <c r="AW669" s="7"/>
      <c r="AX669" s="7"/>
      <c r="AY669" s="8"/>
      <c r="AZ669" s="3"/>
      <c r="BA669" s="3"/>
      <c r="BB669" s="3"/>
      <c r="BC669" s="3"/>
    </row>
    <row r="670" spans="1:55" x14ac:dyDescent="0.25">
      <c r="A670" s="2"/>
      <c r="D670" s="3"/>
      <c r="E670" s="4"/>
      <c r="F670" s="5"/>
      <c r="G670" s="5"/>
      <c r="J670" s="3"/>
      <c r="K670" s="3"/>
      <c r="L670" s="6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5"/>
      <c r="Y670" s="3"/>
      <c r="Z670" s="3"/>
      <c r="AA670" s="3"/>
      <c r="AB670" s="5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7"/>
      <c r="AV670" s="7"/>
      <c r="AW670" s="7"/>
      <c r="AX670" s="7"/>
      <c r="AY670" s="8"/>
      <c r="AZ670" s="3"/>
      <c r="BA670" s="3"/>
      <c r="BB670" s="3"/>
      <c r="BC670" s="3"/>
    </row>
    <row r="671" spans="1:55" x14ac:dyDescent="0.25">
      <c r="A671" s="2"/>
      <c r="D671" s="3"/>
      <c r="E671" s="4"/>
      <c r="F671" s="5"/>
      <c r="G671" s="5"/>
      <c r="J671" s="3"/>
      <c r="K671" s="3"/>
      <c r="L671" s="6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5"/>
      <c r="Y671" s="3"/>
      <c r="Z671" s="3"/>
      <c r="AA671" s="3"/>
      <c r="AB671" s="5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7"/>
      <c r="AV671" s="7"/>
      <c r="AW671" s="7"/>
      <c r="AX671" s="7"/>
      <c r="AY671" s="8"/>
      <c r="AZ671" s="3"/>
      <c r="BA671" s="3"/>
      <c r="BB671" s="3"/>
      <c r="BC671" s="3"/>
    </row>
    <row r="672" spans="1:55" x14ac:dyDescent="0.25">
      <c r="A672" s="2"/>
      <c r="D672" s="3"/>
      <c r="E672" s="4"/>
      <c r="F672" s="5"/>
      <c r="G672" s="5"/>
      <c r="J672" s="3"/>
      <c r="K672" s="3"/>
      <c r="L672" s="6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5"/>
      <c r="Y672" s="3"/>
      <c r="Z672" s="3"/>
      <c r="AA672" s="3"/>
      <c r="AB672" s="5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7"/>
      <c r="AV672" s="7"/>
      <c r="AW672" s="7"/>
      <c r="AX672" s="7"/>
      <c r="AY672" s="8"/>
      <c r="AZ672" s="3"/>
      <c r="BA672" s="3"/>
      <c r="BB672" s="3"/>
      <c r="BC672" s="3"/>
    </row>
    <row r="673" spans="1:55" x14ac:dyDescent="0.25">
      <c r="A673" s="2"/>
      <c r="D673" s="3"/>
      <c r="E673" s="4"/>
      <c r="F673" s="5"/>
      <c r="G673" s="5"/>
      <c r="J673" s="3"/>
      <c r="K673" s="3"/>
      <c r="L673" s="6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5"/>
      <c r="Y673" s="3"/>
      <c r="Z673" s="3"/>
      <c r="AA673" s="3"/>
      <c r="AB673" s="5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7"/>
      <c r="AV673" s="7"/>
      <c r="AW673" s="7"/>
      <c r="AX673" s="7"/>
      <c r="AY673" s="8"/>
      <c r="AZ673" s="3"/>
      <c r="BA673" s="3"/>
      <c r="BB673" s="3"/>
      <c r="BC673" s="3"/>
    </row>
    <row r="674" spans="1:55" x14ac:dyDescent="0.25">
      <c r="A674" s="2"/>
      <c r="D674" s="3"/>
      <c r="E674" s="4"/>
      <c r="F674" s="5"/>
      <c r="G674" s="5"/>
      <c r="J674" s="3"/>
      <c r="K674" s="3"/>
      <c r="L674" s="6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5"/>
      <c r="Y674" s="3"/>
      <c r="Z674" s="3"/>
      <c r="AA674" s="3"/>
      <c r="AB674" s="5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7"/>
      <c r="AV674" s="7"/>
      <c r="AW674" s="7"/>
      <c r="AX674" s="7"/>
      <c r="AY674" s="8"/>
      <c r="AZ674" s="3"/>
      <c r="BA674" s="3"/>
      <c r="BB674" s="3"/>
      <c r="BC674" s="3"/>
    </row>
    <row r="675" spans="1:55" x14ac:dyDescent="0.25">
      <c r="A675" s="2"/>
      <c r="D675" s="3"/>
      <c r="E675" s="4"/>
      <c r="F675" s="5"/>
      <c r="G675" s="5"/>
      <c r="J675" s="3"/>
      <c r="K675" s="3"/>
      <c r="L675" s="6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5"/>
      <c r="Y675" s="3"/>
      <c r="Z675" s="3"/>
      <c r="AA675" s="3"/>
      <c r="AB675" s="5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7"/>
      <c r="AV675" s="7"/>
      <c r="AW675" s="7"/>
      <c r="AX675" s="7"/>
      <c r="AY675" s="8"/>
      <c r="AZ675" s="3"/>
      <c r="BA675" s="3"/>
      <c r="BB675" s="3"/>
      <c r="BC675" s="3"/>
    </row>
    <row r="676" spans="1:55" x14ac:dyDescent="0.25">
      <c r="A676" s="2"/>
      <c r="D676" s="3"/>
      <c r="E676" s="4"/>
      <c r="F676" s="5"/>
      <c r="G676" s="5"/>
      <c r="J676" s="3"/>
      <c r="K676" s="3"/>
      <c r="L676" s="6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5"/>
      <c r="Y676" s="3"/>
      <c r="Z676" s="3"/>
      <c r="AA676" s="3"/>
      <c r="AB676" s="5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7"/>
      <c r="AV676" s="7"/>
      <c r="AW676" s="7"/>
      <c r="AX676" s="7"/>
      <c r="AY676" s="8"/>
      <c r="AZ676" s="3"/>
      <c r="BA676" s="3"/>
      <c r="BB676" s="3"/>
      <c r="BC676" s="3"/>
    </row>
    <row r="677" spans="1:55" x14ac:dyDescent="0.25">
      <c r="A677" s="2"/>
      <c r="D677" s="3"/>
      <c r="E677" s="4"/>
      <c r="F677" s="5"/>
      <c r="G677" s="5"/>
      <c r="J677" s="3"/>
      <c r="K677" s="3"/>
      <c r="L677" s="6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5"/>
      <c r="Y677" s="3"/>
      <c r="Z677" s="3"/>
      <c r="AA677" s="3"/>
      <c r="AB677" s="5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7"/>
      <c r="AV677" s="7"/>
      <c r="AW677" s="7"/>
      <c r="AX677" s="7"/>
      <c r="AY677" s="8"/>
      <c r="AZ677" s="3"/>
      <c r="BA677" s="3"/>
      <c r="BB677" s="3"/>
      <c r="BC677" s="3"/>
    </row>
    <row r="678" spans="1:55" x14ac:dyDescent="0.25">
      <c r="A678" s="2"/>
      <c r="D678" s="3"/>
      <c r="E678" s="4"/>
      <c r="F678" s="5"/>
      <c r="G678" s="5"/>
      <c r="J678" s="3"/>
      <c r="K678" s="3"/>
      <c r="L678" s="6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5"/>
      <c r="Y678" s="3"/>
      <c r="Z678" s="3"/>
      <c r="AA678" s="3"/>
      <c r="AB678" s="5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7"/>
      <c r="AV678" s="7"/>
      <c r="AW678" s="7"/>
      <c r="AX678" s="7"/>
      <c r="AY678" s="8"/>
      <c r="AZ678" s="3"/>
      <c r="BA678" s="3"/>
      <c r="BB678" s="3"/>
      <c r="BC678" s="3"/>
    </row>
    <row r="679" spans="1:55" x14ac:dyDescent="0.25">
      <c r="A679" s="2"/>
      <c r="D679" s="3"/>
      <c r="E679" s="4"/>
      <c r="F679" s="5"/>
      <c r="G679" s="5"/>
      <c r="J679" s="3"/>
      <c r="K679" s="3"/>
      <c r="L679" s="6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5"/>
      <c r="Y679" s="3"/>
      <c r="Z679" s="3"/>
      <c r="AA679" s="3"/>
      <c r="AB679" s="5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7"/>
      <c r="AV679" s="7"/>
      <c r="AW679" s="7"/>
      <c r="AX679" s="7"/>
      <c r="AY679" s="8"/>
      <c r="AZ679" s="3"/>
      <c r="BA679" s="3"/>
      <c r="BB679" s="3"/>
      <c r="BC679" s="3"/>
    </row>
    <row r="680" spans="1:55" x14ac:dyDescent="0.25">
      <c r="A680" s="2"/>
      <c r="D680" s="3"/>
      <c r="E680" s="4"/>
      <c r="F680" s="5"/>
      <c r="G680" s="5"/>
      <c r="J680" s="3"/>
      <c r="K680" s="3"/>
      <c r="L680" s="6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5"/>
      <c r="Y680" s="3"/>
      <c r="Z680" s="3"/>
      <c r="AA680" s="3"/>
      <c r="AB680" s="5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7"/>
      <c r="AV680" s="7"/>
      <c r="AW680" s="7"/>
      <c r="AX680" s="7"/>
      <c r="AY680" s="8"/>
      <c r="AZ680" s="3"/>
      <c r="BA680" s="3"/>
      <c r="BB680" s="3"/>
      <c r="BC680" s="3"/>
    </row>
    <row r="681" spans="1:55" x14ac:dyDescent="0.25">
      <c r="A681" s="2"/>
      <c r="D681" s="3"/>
      <c r="E681" s="4"/>
      <c r="F681" s="5"/>
      <c r="G681" s="5"/>
      <c r="J681" s="3"/>
      <c r="K681" s="3"/>
      <c r="L681" s="6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5"/>
      <c r="Y681" s="3"/>
      <c r="Z681" s="3"/>
      <c r="AA681" s="3"/>
      <c r="AB681" s="5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7"/>
      <c r="AV681" s="7"/>
      <c r="AW681" s="7"/>
      <c r="AX681" s="7"/>
      <c r="AY681" s="8"/>
      <c r="AZ681" s="3"/>
      <c r="BA681" s="3"/>
      <c r="BB681" s="3"/>
      <c r="BC681" s="3"/>
    </row>
    <row r="682" spans="1:55" x14ac:dyDescent="0.25">
      <c r="A682" s="2"/>
      <c r="D682" s="3"/>
      <c r="E682" s="4"/>
      <c r="F682" s="5"/>
      <c r="G682" s="5"/>
      <c r="J682" s="3"/>
      <c r="K682" s="3"/>
      <c r="L682" s="6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5"/>
      <c r="Y682" s="3"/>
      <c r="Z682" s="3"/>
      <c r="AA682" s="3"/>
      <c r="AB682" s="5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7"/>
      <c r="AV682" s="7"/>
      <c r="AW682" s="7"/>
      <c r="AX682" s="7"/>
      <c r="AY682" s="8"/>
      <c r="AZ682" s="3"/>
      <c r="BA682" s="3"/>
      <c r="BB682" s="3"/>
      <c r="BC682" s="3"/>
    </row>
    <row r="683" spans="1:55" x14ac:dyDescent="0.25">
      <c r="A683" s="2"/>
      <c r="D683" s="3"/>
      <c r="E683" s="4"/>
      <c r="F683" s="5"/>
      <c r="G683" s="5"/>
      <c r="J683" s="3"/>
      <c r="K683" s="3"/>
      <c r="L683" s="6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5"/>
      <c r="Y683" s="3"/>
      <c r="Z683" s="3"/>
      <c r="AA683" s="3"/>
      <c r="AB683" s="5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7"/>
      <c r="AV683" s="7"/>
      <c r="AW683" s="7"/>
      <c r="AX683" s="7"/>
      <c r="AY683" s="8"/>
      <c r="AZ683" s="3"/>
      <c r="BA683" s="3"/>
      <c r="BB683" s="3"/>
      <c r="BC683" s="3"/>
    </row>
    <row r="684" spans="1:55" x14ac:dyDescent="0.25">
      <c r="A684" s="2"/>
      <c r="D684" s="3"/>
      <c r="E684" s="4"/>
      <c r="F684" s="5"/>
      <c r="G684" s="5"/>
      <c r="J684" s="3"/>
      <c r="K684" s="3"/>
      <c r="L684" s="6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5"/>
      <c r="Y684" s="3"/>
      <c r="Z684" s="3"/>
      <c r="AA684" s="3"/>
      <c r="AB684" s="5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7"/>
      <c r="AV684" s="7"/>
      <c r="AW684" s="7"/>
      <c r="AX684" s="7"/>
      <c r="AY684" s="8"/>
      <c r="AZ684" s="3"/>
      <c r="BA684" s="3"/>
      <c r="BB684" s="3"/>
      <c r="BC684" s="3"/>
    </row>
    <row r="685" spans="1:55" x14ac:dyDescent="0.25">
      <c r="A685" s="2"/>
      <c r="D685" s="3"/>
      <c r="E685" s="4"/>
      <c r="F685" s="5"/>
      <c r="G685" s="5"/>
      <c r="J685" s="3"/>
      <c r="K685" s="3"/>
      <c r="L685" s="6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5"/>
      <c r="Y685" s="3"/>
      <c r="Z685" s="3"/>
      <c r="AA685" s="3"/>
      <c r="AB685" s="5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7"/>
      <c r="AV685" s="7"/>
      <c r="AW685" s="7"/>
      <c r="AX685" s="7"/>
      <c r="AY685" s="8"/>
      <c r="AZ685" s="3"/>
      <c r="BA685" s="3"/>
      <c r="BB685" s="3"/>
      <c r="BC685" s="3"/>
    </row>
    <row r="686" spans="1:55" x14ac:dyDescent="0.25">
      <c r="A686" s="2"/>
      <c r="D686" s="3"/>
      <c r="E686" s="4"/>
      <c r="F686" s="5"/>
      <c r="G686" s="5"/>
      <c r="J686" s="3"/>
      <c r="K686" s="3"/>
      <c r="L686" s="6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5"/>
      <c r="Y686" s="3"/>
      <c r="Z686" s="3"/>
      <c r="AA686" s="3"/>
      <c r="AB686" s="5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7"/>
      <c r="AV686" s="7"/>
      <c r="AW686" s="7"/>
      <c r="AX686" s="7"/>
      <c r="AY686" s="8"/>
      <c r="AZ686" s="3"/>
      <c r="BA686" s="3"/>
      <c r="BB686" s="3"/>
      <c r="BC686" s="3"/>
    </row>
    <row r="687" spans="1:55" x14ac:dyDescent="0.25">
      <c r="A687" s="2"/>
      <c r="D687" s="3"/>
      <c r="E687" s="4"/>
      <c r="F687" s="5"/>
      <c r="G687" s="5"/>
      <c r="J687" s="3"/>
      <c r="K687" s="3"/>
      <c r="L687" s="6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5"/>
      <c r="Y687" s="3"/>
      <c r="Z687" s="3"/>
      <c r="AA687" s="3"/>
      <c r="AB687" s="5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7"/>
      <c r="AV687" s="7"/>
      <c r="AW687" s="7"/>
      <c r="AX687" s="7"/>
      <c r="AY687" s="8"/>
      <c r="AZ687" s="3"/>
      <c r="BA687" s="3"/>
      <c r="BB687" s="3"/>
      <c r="BC687" s="3"/>
    </row>
    <row r="688" spans="1:55" x14ac:dyDescent="0.25">
      <c r="A688" s="2"/>
      <c r="D688" s="3"/>
      <c r="E688" s="4"/>
      <c r="F688" s="5"/>
      <c r="G688" s="5"/>
      <c r="J688" s="3"/>
      <c r="K688" s="3"/>
      <c r="L688" s="6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5"/>
      <c r="Y688" s="3"/>
      <c r="Z688" s="3"/>
      <c r="AA688" s="3"/>
      <c r="AB688" s="5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7"/>
      <c r="AV688" s="7"/>
      <c r="AW688" s="7"/>
      <c r="AX688" s="7"/>
      <c r="AY688" s="8"/>
      <c r="AZ688" s="3"/>
      <c r="BA688" s="3"/>
      <c r="BB688" s="3"/>
      <c r="BC688" s="3"/>
    </row>
    <row r="689" spans="1:55" x14ac:dyDescent="0.25">
      <c r="A689" s="2"/>
      <c r="D689" s="3"/>
      <c r="E689" s="4"/>
      <c r="F689" s="5"/>
      <c r="G689" s="5"/>
      <c r="J689" s="3"/>
      <c r="K689" s="3"/>
      <c r="L689" s="6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5"/>
      <c r="Y689" s="3"/>
      <c r="Z689" s="3"/>
      <c r="AA689" s="3"/>
      <c r="AB689" s="5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7"/>
      <c r="AV689" s="7"/>
      <c r="AW689" s="7"/>
      <c r="AX689" s="7"/>
      <c r="AY689" s="8"/>
      <c r="AZ689" s="3"/>
      <c r="BA689" s="3"/>
      <c r="BB689" s="3"/>
      <c r="BC689" s="3"/>
    </row>
    <row r="690" spans="1:55" x14ac:dyDescent="0.25">
      <c r="A690" s="2"/>
      <c r="D690" s="3"/>
      <c r="E690" s="4"/>
      <c r="F690" s="5"/>
      <c r="G690" s="5"/>
      <c r="J690" s="3"/>
      <c r="K690" s="3"/>
      <c r="L690" s="6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5"/>
      <c r="Y690" s="3"/>
      <c r="Z690" s="3"/>
      <c r="AA690" s="3"/>
      <c r="AB690" s="5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7"/>
      <c r="AV690" s="7"/>
      <c r="AW690" s="7"/>
      <c r="AX690" s="7"/>
      <c r="AY690" s="8"/>
      <c r="AZ690" s="3"/>
      <c r="BA690" s="3"/>
      <c r="BB690" s="3"/>
      <c r="BC690" s="3"/>
    </row>
    <row r="691" spans="1:55" x14ac:dyDescent="0.25">
      <c r="A691" s="2"/>
      <c r="D691" s="3"/>
      <c r="E691" s="4"/>
      <c r="F691" s="5"/>
      <c r="G691" s="5"/>
      <c r="J691" s="3"/>
      <c r="K691" s="3"/>
      <c r="L691" s="6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5"/>
      <c r="Y691" s="3"/>
      <c r="Z691" s="3"/>
      <c r="AA691" s="3"/>
      <c r="AB691" s="5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7"/>
      <c r="AV691" s="7"/>
      <c r="AW691" s="7"/>
      <c r="AX691" s="7"/>
      <c r="AY691" s="8"/>
      <c r="AZ691" s="3"/>
      <c r="BA691" s="3"/>
      <c r="BB691" s="3"/>
      <c r="BC691" s="3"/>
    </row>
    <row r="692" spans="1:55" x14ac:dyDescent="0.25">
      <c r="A692" s="2"/>
      <c r="D692" s="3"/>
      <c r="E692" s="4"/>
      <c r="F692" s="5"/>
      <c r="G692" s="5"/>
      <c r="J692" s="3"/>
      <c r="K692" s="3"/>
      <c r="L692" s="6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5"/>
      <c r="Y692" s="3"/>
      <c r="Z692" s="3"/>
      <c r="AA692" s="3"/>
      <c r="AB692" s="5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7"/>
      <c r="AV692" s="7"/>
      <c r="AW692" s="7"/>
      <c r="AX692" s="7"/>
      <c r="AY692" s="8"/>
      <c r="AZ692" s="3"/>
      <c r="BA692" s="3"/>
      <c r="BB692" s="3"/>
      <c r="BC692" s="3"/>
    </row>
    <row r="693" spans="1:55" x14ac:dyDescent="0.25">
      <c r="A693" s="2"/>
      <c r="D693" s="3"/>
      <c r="E693" s="4"/>
      <c r="F693" s="5"/>
      <c r="G693" s="5"/>
      <c r="J693" s="3"/>
      <c r="K693" s="3"/>
      <c r="L693" s="6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5"/>
      <c r="Y693" s="3"/>
      <c r="Z693" s="3"/>
      <c r="AA693" s="3"/>
      <c r="AB693" s="5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7"/>
      <c r="AV693" s="7"/>
      <c r="AW693" s="7"/>
      <c r="AX693" s="7"/>
      <c r="AY693" s="8"/>
      <c r="AZ693" s="3"/>
      <c r="BA693" s="3"/>
      <c r="BB693" s="3"/>
      <c r="BC693" s="3"/>
    </row>
    <row r="694" spans="1:55" x14ac:dyDescent="0.25">
      <c r="A694" s="2"/>
      <c r="D694" s="3"/>
      <c r="E694" s="4"/>
      <c r="F694" s="5"/>
      <c r="G694" s="5"/>
      <c r="J694" s="3"/>
      <c r="K694" s="3"/>
      <c r="L694" s="6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5"/>
      <c r="Y694" s="3"/>
      <c r="Z694" s="3"/>
      <c r="AA694" s="3"/>
      <c r="AB694" s="5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7"/>
      <c r="AV694" s="7"/>
      <c r="AW694" s="7"/>
      <c r="AX694" s="7"/>
      <c r="AY694" s="8"/>
      <c r="AZ694" s="3"/>
      <c r="BA694" s="3"/>
      <c r="BB694" s="3"/>
      <c r="BC694" s="3"/>
    </row>
    <row r="695" spans="1:55" x14ac:dyDescent="0.25">
      <c r="A695" s="2"/>
      <c r="D695" s="3"/>
      <c r="E695" s="4"/>
      <c r="F695" s="5"/>
      <c r="G695" s="5"/>
      <c r="J695" s="3"/>
      <c r="K695" s="3"/>
      <c r="L695" s="6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5"/>
      <c r="Y695" s="3"/>
      <c r="Z695" s="3"/>
      <c r="AA695" s="3"/>
      <c r="AB695" s="5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7"/>
      <c r="AV695" s="7"/>
      <c r="AW695" s="7"/>
      <c r="AX695" s="7"/>
      <c r="AY695" s="8"/>
      <c r="AZ695" s="3"/>
      <c r="BA695" s="3"/>
      <c r="BB695" s="3"/>
      <c r="BC695" s="3"/>
    </row>
    <row r="696" spans="1:55" x14ac:dyDescent="0.25">
      <c r="A696" s="2"/>
      <c r="D696" s="3"/>
      <c r="E696" s="4"/>
      <c r="F696" s="5"/>
      <c r="G696" s="5"/>
      <c r="J696" s="3"/>
      <c r="K696" s="3"/>
      <c r="L696" s="6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5"/>
      <c r="Y696" s="3"/>
      <c r="Z696" s="3"/>
      <c r="AA696" s="3"/>
      <c r="AB696" s="5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7"/>
      <c r="AV696" s="7"/>
      <c r="AW696" s="7"/>
      <c r="AX696" s="7"/>
      <c r="AY696" s="8"/>
      <c r="AZ696" s="3"/>
      <c r="BA696" s="3"/>
      <c r="BB696" s="3"/>
      <c r="BC696" s="3"/>
    </row>
    <row r="697" spans="1:55" x14ac:dyDescent="0.25">
      <c r="A697" s="2"/>
      <c r="D697" s="3"/>
      <c r="E697" s="4"/>
      <c r="F697" s="5"/>
      <c r="G697" s="5"/>
      <c r="J697" s="3"/>
      <c r="K697" s="3"/>
      <c r="L697" s="6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5"/>
      <c r="Y697" s="3"/>
      <c r="Z697" s="3"/>
      <c r="AA697" s="3"/>
      <c r="AB697" s="5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7"/>
      <c r="AV697" s="7"/>
      <c r="AW697" s="7"/>
      <c r="AX697" s="7"/>
      <c r="AY697" s="8"/>
      <c r="AZ697" s="3"/>
      <c r="BA697" s="3"/>
      <c r="BB697" s="3"/>
      <c r="BC697" s="3"/>
    </row>
    <row r="698" spans="1:55" x14ac:dyDescent="0.25">
      <c r="A698" s="2"/>
      <c r="D698" s="3"/>
      <c r="E698" s="4"/>
      <c r="F698" s="5"/>
      <c r="G698" s="5"/>
      <c r="J698" s="3"/>
      <c r="K698" s="3"/>
      <c r="L698" s="6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5"/>
      <c r="Y698" s="3"/>
      <c r="Z698" s="3"/>
      <c r="AA698" s="3"/>
      <c r="AB698" s="5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7"/>
      <c r="AV698" s="7"/>
      <c r="AW698" s="7"/>
      <c r="AX698" s="7"/>
      <c r="AY698" s="8"/>
      <c r="AZ698" s="3"/>
      <c r="BA698" s="3"/>
      <c r="BB698" s="3"/>
      <c r="BC698" s="3"/>
    </row>
    <row r="699" spans="1:55" x14ac:dyDescent="0.25">
      <c r="A699" s="2"/>
      <c r="D699" s="3"/>
      <c r="E699" s="4"/>
      <c r="F699" s="5"/>
      <c r="G699" s="5"/>
      <c r="J699" s="3"/>
      <c r="K699" s="3"/>
      <c r="L699" s="6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5"/>
      <c r="Y699" s="3"/>
      <c r="Z699" s="3"/>
      <c r="AA699" s="3"/>
      <c r="AB699" s="5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7"/>
      <c r="AV699" s="7"/>
      <c r="AW699" s="7"/>
      <c r="AX699" s="7"/>
      <c r="AY699" s="8"/>
      <c r="AZ699" s="3"/>
      <c r="BA699" s="3"/>
      <c r="BB699" s="3"/>
      <c r="BC699" s="3"/>
    </row>
    <row r="700" spans="1:55" x14ac:dyDescent="0.25">
      <c r="A700" s="2"/>
      <c r="D700" s="3"/>
      <c r="E700" s="4"/>
      <c r="F700" s="5"/>
      <c r="G700" s="5"/>
      <c r="J700" s="3"/>
      <c r="K700" s="3"/>
      <c r="L700" s="6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5"/>
      <c r="Y700" s="3"/>
      <c r="Z700" s="3"/>
      <c r="AA700" s="3"/>
      <c r="AB700" s="5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7"/>
      <c r="AV700" s="7"/>
      <c r="AW700" s="7"/>
      <c r="AX700" s="7"/>
      <c r="AY700" s="8"/>
      <c r="AZ700" s="3"/>
      <c r="BA700" s="3"/>
      <c r="BB700" s="3"/>
      <c r="BC700" s="3"/>
    </row>
    <row r="701" spans="1:55" x14ac:dyDescent="0.25">
      <c r="A701" s="2"/>
      <c r="D701" s="3"/>
      <c r="E701" s="4"/>
      <c r="F701" s="5"/>
      <c r="G701" s="5"/>
      <c r="J701" s="3"/>
      <c r="K701" s="3"/>
      <c r="L701" s="6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5"/>
      <c r="Y701" s="3"/>
      <c r="Z701" s="3"/>
      <c r="AA701" s="3"/>
      <c r="AB701" s="5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7"/>
      <c r="AV701" s="7"/>
      <c r="AW701" s="7"/>
      <c r="AX701" s="7"/>
      <c r="AY701" s="8"/>
      <c r="AZ701" s="3"/>
      <c r="BA701" s="3"/>
      <c r="BB701" s="3"/>
      <c r="BC701" s="3"/>
    </row>
    <row r="702" spans="1:55" x14ac:dyDescent="0.25">
      <c r="A702" s="2"/>
      <c r="D702" s="3"/>
      <c r="E702" s="4"/>
      <c r="F702" s="5"/>
      <c r="G702" s="5"/>
      <c r="J702" s="3"/>
      <c r="K702" s="3"/>
      <c r="L702" s="6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5"/>
      <c r="Y702" s="3"/>
      <c r="Z702" s="3"/>
      <c r="AA702" s="3"/>
      <c r="AB702" s="5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7"/>
      <c r="AV702" s="7"/>
      <c r="AW702" s="7"/>
      <c r="AX702" s="7"/>
      <c r="AY702" s="8"/>
      <c r="AZ702" s="3"/>
      <c r="BA702" s="3"/>
      <c r="BB702" s="3"/>
      <c r="BC702" s="3"/>
    </row>
    <row r="703" spans="1:55" x14ac:dyDescent="0.25">
      <c r="A703" s="2"/>
      <c r="D703" s="3"/>
      <c r="E703" s="4"/>
      <c r="F703" s="5"/>
      <c r="G703" s="5"/>
      <c r="J703" s="3"/>
      <c r="K703" s="3"/>
      <c r="L703" s="6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5"/>
      <c r="Y703" s="3"/>
      <c r="Z703" s="3"/>
      <c r="AA703" s="3"/>
      <c r="AB703" s="5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7"/>
      <c r="AV703" s="7"/>
      <c r="AW703" s="7"/>
      <c r="AX703" s="7"/>
      <c r="AY703" s="8"/>
      <c r="AZ703" s="3"/>
      <c r="BA703" s="3"/>
      <c r="BB703" s="3"/>
      <c r="BC703" s="3"/>
    </row>
    <row r="704" spans="1:55" x14ac:dyDescent="0.25">
      <c r="A704" s="2"/>
      <c r="D704" s="3"/>
      <c r="E704" s="4"/>
      <c r="F704" s="5"/>
      <c r="G704" s="5"/>
      <c r="J704" s="3"/>
      <c r="K704" s="3"/>
      <c r="L704" s="6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5"/>
      <c r="Y704" s="3"/>
      <c r="Z704" s="3"/>
      <c r="AA704" s="3"/>
      <c r="AB704" s="5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7"/>
      <c r="AV704" s="7"/>
      <c r="AW704" s="7"/>
      <c r="AX704" s="7"/>
      <c r="AY704" s="8"/>
      <c r="AZ704" s="3"/>
      <c r="BA704" s="3"/>
      <c r="BB704" s="3"/>
      <c r="BC704" s="3"/>
    </row>
    <row r="705" spans="1:55" x14ac:dyDescent="0.25">
      <c r="A705" s="2"/>
      <c r="D705" s="3"/>
      <c r="E705" s="4"/>
      <c r="F705" s="5"/>
      <c r="G705" s="5"/>
      <c r="J705" s="3"/>
      <c r="K705" s="3"/>
      <c r="L705" s="6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5"/>
      <c r="Y705" s="3"/>
      <c r="Z705" s="3"/>
      <c r="AA705" s="3"/>
      <c r="AB705" s="5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7"/>
      <c r="AV705" s="7"/>
      <c r="AW705" s="7"/>
      <c r="AX705" s="7"/>
      <c r="AY705" s="8"/>
      <c r="AZ705" s="3"/>
      <c r="BA705" s="3"/>
      <c r="BB705" s="3"/>
      <c r="BC705" s="3"/>
    </row>
    <row r="706" spans="1:55" x14ac:dyDescent="0.25">
      <c r="A706" s="2"/>
      <c r="D706" s="3"/>
      <c r="E706" s="4"/>
      <c r="F706" s="5"/>
      <c r="G706" s="5"/>
      <c r="J706" s="3"/>
      <c r="K706" s="3"/>
      <c r="L706" s="6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5"/>
      <c r="Y706" s="3"/>
      <c r="Z706" s="3"/>
      <c r="AA706" s="3"/>
      <c r="AB706" s="5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7"/>
      <c r="AV706" s="7"/>
      <c r="AW706" s="7"/>
      <c r="AX706" s="7"/>
      <c r="AY706" s="8"/>
      <c r="AZ706" s="3"/>
      <c r="BA706" s="3"/>
      <c r="BB706" s="3"/>
      <c r="BC706" s="3"/>
    </row>
    <row r="707" spans="1:55" x14ac:dyDescent="0.25">
      <c r="A707" s="2"/>
      <c r="D707" s="3"/>
      <c r="E707" s="4"/>
      <c r="F707" s="5"/>
      <c r="G707" s="5"/>
      <c r="J707" s="3"/>
      <c r="K707" s="3"/>
      <c r="L707" s="6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5"/>
      <c r="Y707" s="3"/>
      <c r="Z707" s="3"/>
      <c r="AA707" s="3"/>
      <c r="AB707" s="5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7"/>
      <c r="AV707" s="7"/>
      <c r="AW707" s="7"/>
      <c r="AX707" s="7"/>
      <c r="AY707" s="8"/>
      <c r="AZ707" s="3"/>
      <c r="BA707" s="3"/>
      <c r="BB707" s="3"/>
      <c r="BC707" s="3"/>
    </row>
    <row r="708" spans="1:55" x14ac:dyDescent="0.25">
      <c r="A708" s="2"/>
      <c r="D708" s="3"/>
      <c r="E708" s="4"/>
      <c r="F708" s="5"/>
      <c r="G708" s="5"/>
      <c r="J708" s="3"/>
      <c r="K708" s="3"/>
      <c r="L708" s="6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5"/>
      <c r="Y708" s="3"/>
      <c r="Z708" s="3"/>
      <c r="AA708" s="3"/>
      <c r="AB708" s="5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7"/>
      <c r="AV708" s="7"/>
      <c r="AW708" s="7"/>
      <c r="AX708" s="7"/>
      <c r="AY708" s="8"/>
      <c r="AZ708" s="3"/>
      <c r="BA708" s="3"/>
      <c r="BB708" s="3"/>
      <c r="BC708" s="3"/>
    </row>
    <row r="709" spans="1:55" x14ac:dyDescent="0.25">
      <c r="A709" s="2"/>
      <c r="D709" s="3"/>
      <c r="E709" s="4"/>
      <c r="F709" s="5"/>
      <c r="G709" s="5"/>
      <c r="J709" s="3"/>
      <c r="K709" s="3"/>
      <c r="L709" s="6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5"/>
      <c r="Y709" s="3"/>
      <c r="Z709" s="3"/>
      <c r="AA709" s="3"/>
      <c r="AB709" s="5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7"/>
      <c r="AV709" s="7"/>
      <c r="AW709" s="7"/>
      <c r="AX709" s="7"/>
      <c r="AY709" s="8"/>
      <c r="AZ709" s="3"/>
      <c r="BA709" s="3"/>
      <c r="BB709" s="3"/>
      <c r="BC709" s="3"/>
    </row>
    <row r="710" spans="1:55" x14ac:dyDescent="0.25">
      <c r="A710" s="2"/>
      <c r="D710" s="3"/>
      <c r="E710" s="4"/>
      <c r="F710" s="5"/>
      <c r="G710" s="5"/>
      <c r="J710" s="3"/>
      <c r="K710" s="3"/>
      <c r="L710" s="6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5"/>
      <c r="Y710" s="3"/>
      <c r="Z710" s="3"/>
      <c r="AA710" s="3"/>
      <c r="AB710" s="5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7"/>
      <c r="AV710" s="7"/>
      <c r="AW710" s="7"/>
      <c r="AX710" s="7"/>
      <c r="AY710" s="8"/>
      <c r="AZ710" s="3"/>
      <c r="BA710" s="3"/>
      <c r="BB710" s="3"/>
      <c r="BC710" s="3"/>
    </row>
    <row r="711" spans="1:55" x14ac:dyDescent="0.25">
      <c r="A711" s="2"/>
      <c r="D711" s="3"/>
      <c r="E711" s="4"/>
      <c r="F711" s="5"/>
      <c r="G711" s="5"/>
      <c r="J711" s="3"/>
      <c r="K711" s="3"/>
      <c r="L711" s="6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5"/>
      <c r="Y711" s="3"/>
      <c r="Z711" s="3"/>
      <c r="AA711" s="3"/>
      <c r="AB711" s="5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7"/>
      <c r="AV711" s="7"/>
      <c r="AW711" s="7"/>
      <c r="AX711" s="7"/>
      <c r="AY711" s="8"/>
      <c r="AZ711" s="3"/>
      <c r="BA711" s="3"/>
      <c r="BB711" s="3"/>
      <c r="BC711" s="3"/>
    </row>
    <row r="712" spans="1:55" x14ac:dyDescent="0.25">
      <c r="A712" s="2"/>
      <c r="D712" s="3"/>
      <c r="E712" s="4"/>
      <c r="F712" s="5"/>
      <c r="G712" s="5"/>
      <c r="J712" s="3"/>
      <c r="K712" s="3"/>
      <c r="L712" s="6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5"/>
      <c r="Y712" s="3"/>
      <c r="Z712" s="3"/>
      <c r="AA712" s="3"/>
      <c r="AB712" s="5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7"/>
      <c r="AV712" s="7"/>
      <c r="AW712" s="7"/>
      <c r="AX712" s="7"/>
      <c r="AY712" s="8"/>
      <c r="AZ712" s="3"/>
      <c r="BA712" s="3"/>
      <c r="BB712" s="3"/>
      <c r="BC712" s="3"/>
    </row>
    <row r="713" spans="1:55" x14ac:dyDescent="0.25">
      <c r="A713" s="2"/>
      <c r="D713" s="3"/>
      <c r="E713" s="4"/>
      <c r="F713" s="5"/>
      <c r="G713" s="5"/>
      <c r="J713" s="3"/>
      <c r="K713" s="3"/>
      <c r="L713" s="6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5"/>
      <c r="Y713" s="3"/>
      <c r="Z713" s="3"/>
      <c r="AA713" s="3"/>
      <c r="AB713" s="5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7"/>
      <c r="AV713" s="7"/>
      <c r="AW713" s="7"/>
      <c r="AX713" s="7"/>
      <c r="AY713" s="8"/>
      <c r="AZ713" s="3"/>
      <c r="BA713" s="3"/>
      <c r="BB713" s="3"/>
      <c r="BC713" s="3"/>
    </row>
    <row r="714" spans="1:55" x14ac:dyDescent="0.25">
      <c r="A714" s="2"/>
      <c r="D714" s="3"/>
      <c r="E714" s="4"/>
      <c r="F714" s="5"/>
      <c r="G714" s="5"/>
      <c r="J714" s="3"/>
      <c r="K714" s="3"/>
      <c r="L714" s="6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5"/>
      <c r="Y714" s="3"/>
      <c r="Z714" s="3"/>
      <c r="AA714" s="3"/>
      <c r="AB714" s="5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7"/>
      <c r="AV714" s="7"/>
      <c r="AW714" s="7"/>
      <c r="AX714" s="7"/>
      <c r="AY714" s="8"/>
      <c r="AZ714" s="3"/>
      <c r="BA714" s="3"/>
      <c r="BB714" s="3"/>
      <c r="BC714" s="3"/>
    </row>
    <row r="715" spans="1:55" x14ac:dyDescent="0.25">
      <c r="A715" s="2"/>
      <c r="D715" s="3"/>
      <c r="E715" s="4"/>
      <c r="F715" s="5"/>
      <c r="G715" s="5"/>
      <c r="J715" s="3"/>
      <c r="K715" s="3"/>
      <c r="L715" s="6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5"/>
      <c r="Y715" s="3"/>
      <c r="Z715" s="3"/>
      <c r="AA715" s="3"/>
      <c r="AB715" s="5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7"/>
      <c r="AV715" s="7"/>
      <c r="AW715" s="7"/>
      <c r="AX715" s="7"/>
      <c r="AY715" s="8"/>
      <c r="AZ715" s="3"/>
      <c r="BA715" s="3"/>
      <c r="BB715" s="3"/>
      <c r="BC715" s="3"/>
    </row>
    <row r="716" spans="1:55" x14ac:dyDescent="0.25">
      <c r="A716" s="2"/>
      <c r="D716" s="3"/>
      <c r="E716" s="4"/>
      <c r="F716" s="5"/>
      <c r="G716" s="5"/>
      <c r="J716" s="3"/>
      <c r="K716" s="3"/>
      <c r="L716" s="6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5"/>
      <c r="Y716" s="3"/>
      <c r="Z716" s="3"/>
      <c r="AA716" s="3"/>
      <c r="AB716" s="5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7"/>
      <c r="AV716" s="7"/>
      <c r="AW716" s="7"/>
      <c r="AX716" s="7"/>
      <c r="AY716" s="8"/>
      <c r="AZ716" s="3"/>
      <c r="BA716" s="3"/>
      <c r="BB716" s="3"/>
      <c r="BC716" s="3"/>
    </row>
    <row r="717" spans="1:55" x14ac:dyDescent="0.25">
      <c r="A717" s="2"/>
      <c r="D717" s="3"/>
      <c r="E717" s="4"/>
      <c r="F717" s="5"/>
      <c r="G717" s="5"/>
      <c r="J717" s="3"/>
      <c r="K717" s="3"/>
      <c r="L717" s="6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5"/>
      <c r="Y717" s="3"/>
      <c r="Z717" s="3"/>
      <c r="AA717" s="3"/>
      <c r="AB717" s="5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7"/>
      <c r="AV717" s="7"/>
      <c r="AW717" s="7"/>
      <c r="AX717" s="7"/>
      <c r="AY717" s="8"/>
      <c r="AZ717" s="3"/>
      <c r="BA717" s="3"/>
      <c r="BB717" s="3"/>
      <c r="BC717" s="3"/>
    </row>
    <row r="718" spans="1:55" x14ac:dyDescent="0.25">
      <c r="A718" s="2"/>
      <c r="D718" s="3"/>
      <c r="E718" s="4"/>
      <c r="F718" s="5"/>
      <c r="G718" s="5"/>
      <c r="J718" s="3"/>
      <c r="K718" s="3"/>
      <c r="L718" s="6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5"/>
      <c r="Y718" s="3"/>
      <c r="Z718" s="3"/>
      <c r="AA718" s="3"/>
      <c r="AB718" s="5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7"/>
      <c r="AV718" s="7"/>
      <c r="AW718" s="7"/>
      <c r="AX718" s="7"/>
      <c r="AY718" s="8"/>
      <c r="AZ718" s="3"/>
      <c r="BA718" s="3"/>
      <c r="BB718" s="3"/>
      <c r="BC718" s="3"/>
    </row>
    <row r="719" spans="1:55" x14ac:dyDescent="0.25">
      <c r="A719" s="2"/>
      <c r="D719" s="3"/>
      <c r="E719" s="4"/>
      <c r="F719" s="5"/>
      <c r="G719" s="5"/>
      <c r="J719" s="3"/>
      <c r="K719" s="3"/>
      <c r="L719" s="6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5"/>
      <c r="Y719" s="3"/>
      <c r="Z719" s="3"/>
      <c r="AA719" s="3"/>
      <c r="AB719" s="5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7"/>
      <c r="AV719" s="7"/>
      <c r="AW719" s="7"/>
      <c r="AX719" s="7"/>
      <c r="AY719" s="8"/>
      <c r="AZ719" s="3"/>
      <c r="BA719" s="3"/>
      <c r="BB719" s="3"/>
      <c r="BC719" s="3"/>
    </row>
    <row r="720" spans="1:55" x14ac:dyDescent="0.25">
      <c r="A720" s="2"/>
      <c r="D720" s="3"/>
      <c r="E720" s="4"/>
      <c r="F720" s="5"/>
      <c r="G720" s="5"/>
      <c r="J720" s="3"/>
      <c r="K720" s="3"/>
      <c r="L720" s="6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5"/>
      <c r="Y720" s="3"/>
      <c r="Z720" s="3"/>
      <c r="AA720" s="3"/>
      <c r="AB720" s="5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7"/>
      <c r="AV720" s="7"/>
      <c r="AW720" s="7"/>
      <c r="AX720" s="7"/>
      <c r="AY720" s="8"/>
      <c r="AZ720" s="3"/>
      <c r="BA720" s="3"/>
      <c r="BB720" s="3"/>
      <c r="BC720" s="3"/>
    </row>
    <row r="721" spans="1:55" x14ac:dyDescent="0.25">
      <c r="A721" s="2"/>
      <c r="D721" s="3"/>
      <c r="E721" s="4"/>
      <c r="F721" s="5"/>
      <c r="G721" s="5"/>
      <c r="J721" s="3"/>
      <c r="K721" s="3"/>
      <c r="L721" s="6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5"/>
      <c r="Y721" s="3"/>
      <c r="Z721" s="3"/>
      <c r="AA721" s="3"/>
      <c r="AB721" s="5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7"/>
      <c r="AV721" s="7"/>
      <c r="AW721" s="7"/>
      <c r="AX721" s="7"/>
      <c r="AY721" s="8"/>
      <c r="AZ721" s="3"/>
      <c r="BA721" s="3"/>
      <c r="BB721" s="3"/>
      <c r="BC721" s="3"/>
    </row>
    <row r="722" spans="1:55" x14ac:dyDescent="0.25">
      <c r="A722" s="2"/>
      <c r="D722" s="3"/>
      <c r="E722" s="4"/>
      <c r="F722" s="5"/>
      <c r="G722" s="5"/>
      <c r="J722" s="3"/>
      <c r="K722" s="3"/>
      <c r="L722" s="6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5"/>
      <c r="Y722" s="3"/>
      <c r="Z722" s="3"/>
      <c r="AA722" s="3"/>
      <c r="AB722" s="5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7"/>
      <c r="AV722" s="7"/>
      <c r="AW722" s="7"/>
      <c r="AX722" s="7"/>
      <c r="AY722" s="8"/>
      <c r="AZ722" s="3"/>
      <c r="BA722" s="3"/>
      <c r="BB722" s="3"/>
      <c r="BC722" s="3"/>
    </row>
    <row r="723" spans="1:55" x14ac:dyDescent="0.25">
      <c r="A723" s="2"/>
      <c r="D723" s="3"/>
      <c r="E723" s="4"/>
      <c r="F723" s="5"/>
      <c r="G723" s="5"/>
      <c r="J723" s="3"/>
      <c r="K723" s="3"/>
      <c r="L723" s="6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5"/>
      <c r="Y723" s="3"/>
      <c r="Z723" s="3"/>
      <c r="AA723" s="3"/>
      <c r="AB723" s="5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7"/>
      <c r="AV723" s="7"/>
      <c r="AW723" s="7"/>
      <c r="AX723" s="7"/>
      <c r="AY723" s="8"/>
      <c r="AZ723" s="3"/>
      <c r="BA723" s="3"/>
      <c r="BB723" s="3"/>
      <c r="BC723" s="3"/>
    </row>
    <row r="724" spans="1:55" x14ac:dyDescent="0.25">
      <c r="A724" s="2"/>
      <c r="D724" s="3"/>
      <c r="E724" s="4"/>
      <c r="F724" s="5"/>
      <c r="G724" s="5"/>
      <c r="J724" s="3"/>
      <c r="K724" s="3"/>
      <c r="L724" s="6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5"/>
      <c r="Y724" s="3"/>
      <c r="Z724" s="3"/>
      <c r="AA724" s="3"/>
      <c r="AB724" s="5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7"/>
      <c r="AV724" s="7"/>
      <c r="AW724" s="7"/>
      <c r="AX724" s="7"/>
      <c r="AY724" s="8"/>
      <c r="AZ724" s="3"/>
      <c r="BA724" s="3"/>
      <c r="BB724" s="3"/>
      <c r="BC724" s="3"/>
    </row>
    <row r="725" spans="1:55" x14ac:dyDescent="0.25">
      <c r="A725" s="2"/>
      <c r="D725" s="3"/>
      <c r="E725" s="4"/>
      <c r="F725" s="5"/>
      <c r="G725" s="5"/>
      <c r="J725" s="3"/>
      <c r="K725" s="3"/>
      <c r="L725" s="6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5"/>
      <c r="Y725" s="3"/>
      <c r="Z725" s="3"/>
      <c r="AA725" s="3"/>
      <c r="AB725" s="5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7"/>
      <c r="AV725" s="7"/>
      <c r="AW725" s="7"/>
      <c r="AX725" s="7"/>
      <c r="AY725" s="8"/>
      <c r="AZ725" s="3"/>
      <c r="BA725" s="3"/>
      <c r="BB725" s="3"/>
      <c r="BC725" s="3"/>
    </row>
    <row r="726" spans="1:55" x14ac:dyDescent="0.25">
      <c r="A726" s="2"/>
      <c r="D726" s="3"/>
      <c r="E726" s="4"/>
      <c r="F726" s="5"/>
      <c r="G726" s="5"/>
      <c r="J726" s="3"/>
      <c r="K726" s="3"/>
      <c r="L726" s="6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5"/>
      <c r="Y726" s="3"/>
      <c r="Z726" s="3"/>
      <c r="AA726" s="3"/>
      <c r="AB726" s="5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7"/>
      <c r="AV726" s="7"/>
      <c r="AW726" s="7"/>
      <c r="AX726" s="7"/>
      <c r="AY726" s="8"/>
      <c r="AZ726" s="3"/>
      <c r="BA726" s="3"/>
      <c r="BB726" s="3"/>
      <c r="BC726" s="3"/>
    </row>
    <row r="727" spans="1:55" x14ac:dyDescent="0.25">
      <c r="A727" s="2"/>
      <c r="D727" s="3"/>
      <c r="E727" s="4"/>
      <c r="F727" s="5"/>
      <c r="G727" s="5"/>
      <c r="J727" s="3"/>
      <c r="K727" s="3"/>
      <c r="L727" s="6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5"/>
      <c r="Y727" s="3"/>
      <c r="Z727" s="3"/>
      <c r="AA727" s="3"/>
      <c r="AB727" s="5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7"/>
      <c r="AV727" s="7"/>
      <c r="AW727" s="7"/>
      <c r="AX727" s="7"/>
      <c r="AY727" s="8"/>
      <c r="AZ727" s="3"/>
      <c r="BA727" s="3"/>
      <c r="BB727" s="3"/>
      <c r="BC727" s="3"/>
    </row>
    <row r="728" spans="1:55" x14ac:dyDescent="0.25">
      <c r="A728" s="2"/>
      <c r="D728" s="3"/>
      <c r="E728" s="4"/>
      <c r="F728" s="5"/>
      <c r="G728" s="5"/>
      <c r="J728" s="3"/>
      <c r="K728" s="3"/>
      <c r="L728" s="6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5"/>
      <c r="Y728" s="3"/>
      <c r="Z728" s="3"/>
      <c r="AA728" s="3"/>
      <c r="AB728" s="5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7"/>
      <c r="AV728" s="7"/>
      <c r="AW728" s="7"/>
      <c r="AX728" s="7"/>
      <c r="AY728" s="8"/>
      <c r="AZ728" s="3"/>
      <c r="BA728" s="3"/>
      <c r="BB728" s="3"/>
      <c r="BC728" s="3"/>
    </row>
    <row r="729" spans="1:55" x14ac:dyDescent="0.25">
      <c r="A729" s="2"/>
      <c r="D729" s="3"/>
      <c r="E729" s="4"/>
      <c r="F729" s="5"/>
      <c r="G729" s="5"/>
      <c r="J729" s="3"/>
      <c r="K729" s="3"/>
      <c r="L729" s="6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5"/>
      <c r="Y729" s="3"/>
      <c r="Z729" s="3"/>
      <c r="AA729" s="3"/>
      <c r="AB729" s="5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7"/>
      <c r="AV729" s="7"/>
      <c r="AW729" s="7"/>
      <c r="AX729" s="7"/>
      <c r="AY729" s="8"/>
      <c r="AZ729" s="3"/>
      <c r="BA729" s="3"/>
      <c r="BB729" s="3"/>
      <c r="BC729" s="3"/>
    </row>
    <row r="730" spans="1:55" x14ac:dyDescent="0.25">
      <c r="A730" s="2"/>
      <c r="D730" s="3"/>
      <c r="E730" s="4"/>
      <c r="F730" s="5"/>
      <c r="G730" s="5"/>
      <c r="J730" s="3"/>
      <c r="K730" s="3"/>
      <c r="L730" s="6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5"/>
      <c r="Y730" s="3"/>
      <c r="Z730" s="3"/>
      <c r="AA730" s="3"/>
      <c r="AB730" s="5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7"/>
      <c r="AV730" s="7"/>
      <c r="AW730" s="7"/>
      <c r="AX730" s="7"/>
      <c r="AY730" s="8"/>
      <c r="AZ730" s="3"/>
      <c r="BA730" s="3"/>
      <c r="BB730" s="3"/>
      <c r="BC730" s="3"/>
    </row>
    <row r="731" spans="1:55" x14ac:dyDescent="0.25">
      <c r="A731" s="2"/>
      <c r="D731" s="3"/>
      <c r="E731" s="4"/>
      <c r="F731" s="5"/>
      <c r="G731" s="5"/>
      <c r="J731" s="3"/>
      <c r="K731" s="3"/>
      <c r="L731" s="6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5"/>
      <c r="Y731" s="3"/>
      <c r="Z731" s="3"/>
      <c r="AA731" s="3"/>
      <c r="AB731" s="5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7"/>
      <c r="AV731" s="7"/>
      <c r="AW731" s="7"/>
      <c r="AX731" s="7"/>
      <c r="AY731" s="8"/>
      <c r="AZ731" s="3"/>
      <c r="BA731" s="3"/>
      <c r="BB731" s="3"/>
      <c r="BC731" s="3"/>
    </row>
    <row r="732" spans="1:55" x14ac:dyDescent="0.25">
      <c r="A732" s="2"/>
      <c r="D732" s="3"/>
      <c r="E732" s="4"/>
      <c r="F732" s="5"/>
      <c r="G732" s="5"/>
      <c r="J732" s="3"/>
      <c r="K732" s="3"/>
      <c r="L732" s="6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5"/>
      <c r="Y732" s="3"/>
      <c r="Z732" s="3"/>
      <c r="AA732" s="3"/>
      <c r="AB732" s="5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7"/>
      <c r="AV732" s="7"/>
      <c r="AW732" s="7"/>
      <c r="AX732" s="7"/>
      <c r="AY732" s="8"/>
      <c r="AZ732" s="3"/>
      <c r="BA732" s="3"/>
      <c r="BB732" s="3"/>
      <c r="BC732" s="3"/>
    </row>
    <row r="733" spans="1:55" x14ac:dyDescent="0.25">
      <c r="A733" s="2"/>
      <c r="D733" s="3"/>
      <c r="E733" s="4"/>
      <c r="F733" s="5"/>
      <c r="G733" s="5"/>
      <c r="J733" s="3"/>
      <c r="K733" s="3"/>
      <c r="L733" s="6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5"/>
      <c r="Y733" s="3"/>
      <c r="Z733" s="3"/>
      <c r="AA733" s="3"/>
      <c r="AB733" s="5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7"/>
      <c r="AV733" s="7"/>
      <c r="AW733" s="7"/>
      <c r="AX733" s="7"/>
      <c r="AY733" s="8"/>
      <c r="AZ733" s="3"/>
      <c r="BA733" s="3"/>
      <c r="BB733" s="3"/>
      <c r="BC733" s="3"/>
    </row>
    <row r="734" spans="1:55" x14ac:dyDescent="0.25">
      <c r="A734" s="2"/>
      <c r="D734" s="3"/>
      <c r="E734" s="4"/>
      <c r="F734" s="5"/>
      <c r="G734" s="5"/>
      <c r="J734" s="3"/>
      <c r="K734" s="3"/>
      <c r="L734" s="6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5"/>
      <c r="Y734" s="3"/>
      <c r="Z734" s="3"/>
      <c r="AA734" s="3"/>
      <c r="AB734" s="5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7"/>
      <c r="AV734" s="7"/>
      <c r="AW734" s="7"/>
      <c r="AX734" s="7"/>
      <c r="AY734" s="8"/>
      <c r="AZ734" s="3"/>
      <c r="BA734" s="3"/>
      <c r="BB734" s="3"/>
      <c r="BC734" s="3"/>
    </row>
    <row r="735" spans="1:55" x14ac:dyDescent="0.25">
      <c r="A735" s="2"/>
      <c r="D735" s="3"/>
      <c r="E735" s="4"/>
      <c r="F735" s="5"/>
      <c r="G735" s="5"/>
      <c r="J735" s="3"/>
      <c r="K735" s="3"/>
      <c r="L735" s="6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5"/>
      <c r="Y735" s="3"/>
      <c r="Z735" s="3"/>
      <c r="AA735" s="3"/>
      <c r="AB735" s="5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7"/>
      <c r="AV735" s="7"/>
      <c r="AW735" s="7"/>
      <c r="AX735" s="7"/>
      <c r="AY735" s="8"/>
      <c r="AZ735" s="3"/>
      <c r="BA735" s="3"/>
      <c r="BB735" s="3"/>
      <c r="BC735" s="3"/>
    </row>
    <row r="736" spans="1:55" x14ac:dyDescent="0.25">
      <c r="A736" s="2"/>
      <c r="D736" s="3"/>
      <c r="E736" s="4"/>
      <c r="F736" s="5"/>
      <c r="G736" s="5"/>
      <c r="J736" s="3"/>
      <c r="K736" s="3"/>
      <c r="L736" s="6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5"/>
      <c r="Y736" s="3"/>
      <c r="Z736" s="3"/>
      <c r="AA736" s="3"/>
      <c r="AB736" s="5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7"/>
      <c r="AV736" s="7"/>
      <c r="AW736" s="7"/>
      <c r="AX736" s="7"/>
      <c r="AY736" s="8"/>
      <c r="AZ736" s="3"/>
      <c r="BA736" s="3"/>
      <c r="BB736" s="3"/>
      <c r="BC736" s="3"/>
    </row>
    <row r="737" spans="1:55" x14ac:dyDescent="0.25">
      <c r="A737" s="2"/>
      <c r="D737" s="3"/>
      <c r="E737" s="4"/>
      <c r="F737" s="5"/>
      <c r="G737" s="5"/>
      <c r="J737" s="3"/>
      <c r="K737" s="3"/>
      <c r="L737" s="6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5"/>
      <c r="Y737" s="3"/>
      <c r="Z737" s="3"/>
      <c r="AA737" s="3"/>
      <c r="AB737" s="5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7"/>
      <c r="AV737" s="7"/>
      <c r="AW737" s="7"/>
      <c r="AX737" s="7"/>
      <c r="AY737" s="8"/>
      <c r="AZ737" s="3"/>
      <c r="BA737" s="3"/>
      <c r="BB737" s="3"/>
      <c r="BC737" s="3"/>
    </row>
    <row r="738" spans="1:55" x14ac:dyDescent="0.25">
      <c r="A738" s="2"/>
      <c r="D738" s="3"/>
      <c r="E738" s="4"/>
      <c r="F738" s="5"/>
      <c r="G738" s="5"/>
      <c r="J738" s="3"/>
      <c r="K738" s="3"/>
      <c r="L738" s="6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5"/>
      <c r="Y738" s="3"/>
      <c r="Z738" s="3"/>
      <c r="AA738" s="3"/>
      <c r="AB738" s="5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7"/>
      <c r="AV738" s="7"/>
      <c r="AW738" s="7"/>
      <c r="AX738" s="7"/>
      <c r="AY738" s="8"/>
      <c r="AZ738" s="3"/>
      <c r="BA738" s="3"/>
      <c r="BB738" s="3"/>
      <c r="BC738" s="3"/>
    </row>
    <row r="739" spans="1:55" x14ac:dyDescent="0.25">
      <c r="A739" s="2"/>
      <c r="D739" s="3"/>
      <c r="E739" s="4"/>
      <c r="F739" s="5"/>
      <c r="G739" s="5"/>
      <c r="J739" s="3"/>
      <c r="K739" s="3"/>
      <c r="L739" s="6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5"/>
      <c r="Y739" s="3"/>
      <c r="Z739" s="3"/>
      <c r="AA739" s="3"/>
      <c r="AB739" s="5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7"/>
      <c r="AV739" s="7"/>
      <c r="AW739" s="7"/>
      <c r="AX739" s="7"/>
      <c r="AY739" s="8"/>
      <c r="AZ739" s="3"/>
      <c r="BA739" s="3"/>
      <c r="BB739" s="3"/>
      <c r="BC739" s="3"/>
    </row>
    <row r="740" spans="1:55" x14ac:dyDescent="0.25">
      <c r="A740" s="2"/>
      <c r="D740" s="3"/>
      <c r="E740" s="4"/>
      <c r="F740" s="5"/>
      <c r="G740" s="5"/>
      <c r="J740" s="3"/>
      <c r="K740" s="3"/>
      <c r="L740" s="6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5"/>
      <c r="Y740" s="3"/>
      <c r="Z740" s="3"/>
      <c r="AA740" s="3"/>
      <c r="AB740" s="5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7"/>
      <c r="AV740" s="7"/>
      <c r="AW740" s="7"/>
      <c r="AX740" s="7"/>
      <c r="AY740" s="8"/>
      <c r="AZ740" s="3"/>
      <c r="BA740" s="3"/>
      <c r="BB740" s="3"/>
      <c r="BC740" s="3"/>
    </row>
    <row r="741" spans="1:55" x14ac:dyDescent="0.25">
      <c r="A741" s="2"/>
      <c r="D741" s="3"/>
      <c r="E741" s="4"/>
      <c r="F741" s="5"/>
      <c r="G741" s="5"/>
      <c r="J741" s="3"/>
      <c r="K741" s="3"/>
      <c r="L741" s="6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5"/>
      <c r="Y741" s="3"/>
      <c r="Z741" s="3"/>
      <c r="AA741" s="3"/>
      <c r="AB741" s="5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7"/>
      <c r="AV741" s="7"/>
      <c r="AW741" s="7"/>
      <c r="AX741" s="7"/>
      <c r="AY741" s="8"/>
      <c r="AZ741" s="3"/>
      <c r="BA741" s="3"/>
      <c r="BB741" s="3"/>
      <c r="BC741" s="3"/>
    </row>
    <row r="742" spans="1:55" x14ac:dyDescent="0.25">
      <c r="A742" s="2"/>
      <c r="D742" s="3"/>
      <c r="E742" s="4"/>
      <c r="F742" s="5"/>
      <c r="G742" s="5"/>
      <c r="J742" s="3"/>
      <c r="K742" s="3"/>
      <c r="L742" s="6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5"/>
      <c r="Y742" s="3"/>
      <c r="Z742" s="3"/>
      <c r="AA742" s="3"/>
      <c r="AB742" s="5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7"/>
      <c r="AV742" s="7"/>
      <c r="AW742" s="7"/>
      <c r="AX742" s="7"/>
      <c r="AY742" s="8"/>
      <c r="AZ742" s="3"/>
      <c r="BA742" s="3"/>
      <c r="BB742" s="3"/>
      <c r="BC742" s="3"/>
    </row>
    <row r="743" spans="1:55" x14ac:dyDescent="0.25">
      <c r="A743" s="2"/>
      <c r="D743" s="3"/>
      <c r="E743" s="4"/>
      <c r="F743" s="5"/>
      <c r="G743" s="5"/>
      <c r="J743" s="3"/>
      <c r="K743" s="3"/>
      <c r="L743" s="6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5"/>
      <c r="Y743" s="3"/>
      <c r="Z743" s="3"/>
      <c r="AA743" s="3"/>
      <c r="AB743" s="5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7"/>
      <c r="AV743" s="7"/>
      <c r="AW743" s="7"/>
      <c r="AX743" s="7"/>
      <c r="AY743" s="8"/>
      <c r="AZ743" s="3"/>
      <c r="BA743" s="3"/>
      <c r="BB743" s="3"/>
      <c r="BC743" s="3"/>
    </row>
    <row r="744" spans="1:55" x14ac:dyDescent="0.25">
      <c r="A744" s="2"/>
      <c r="D744" s="3"/>
      <c r="E744" s="4"/>
      <c r="F744" s="5"/>
      <c r="G744" s="5"/>
      <c r="J744" s="3"/>
      <c r="K744" s="3"/>
      <c r="L744" s="6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5"/>
      <c r="Y744" s="3"/>
      <c r="Z744" s="3"/>
      <c r="AA744" s="3"/>
      <c r="AB744" s="5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7"/>
      <c r="AV744" s="7"/>
      <c r="AW744" s="7"/>
      <c r="AX744" s="7"/>
      <c r="AY744" s="8"/>
      <c r="AZ744" s="3"/>
      <c r="BA744" s="3"/>
      <c r="BB744" s="3"/>
      <c r="BC744" s="3"/>
    </row>
    <row r="745" spans="1:55" x14ac:dyDescent="0.25">
      <c r="A745" s="2"/>
      <c r="D745" s="3"/>
      <c r="E745" s="4"/>
      <c r="F745" s="5"/>
      <c r="G745" s="5"/>
      <c r="J745" s="3"/>
      <c r="K745" s="3"/>
      <c r="L745" s="6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5"/>
      <c r="Y745" s="3"/>
      <c r="Z745" s="3"/>
      <c r="AA745" s="3"/>
      <c r="AB745" s="5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7"/>
      <c r="AV745" s="7"/>
      <c r="AW745" s="7"/>
      <c r="AX745" s="7"/>
      <c r="AY745" s="8"/>
      <c r="AZ745" s="3"/>
      <c r="BA745" s="3"/>
      <c r="BB745" s="3"/>
      <c r="BC745" s="3"/>
    </row>
    <row r="746" spans="1:55" x14ac:dyDescent="0.25">
      <c r="A746" s="2"/>
      <c r="D746" s="3"/>
      <c r="E746" s="4"/>
      <c r="F746" s="5"/>
      <c r="G746" s="5"/>
      <c r="J746" s="3"/>
      <c r="K746" s="3"/>
      <c r="L746" s="6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5"/>
      <c r="Y746" s="3"/>
      <c r="Z746" s="3"/>
      <c r="AA746" s="3"/>
      <c r="AB746" s="5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7"/>
      <c r="AV746" s="7"/>
      <c r="AW746" s="7"/>
      <c r="AX746" s="7"/>
      <c r="AY746" s="8"/>
      <c r="AZ746" s="3"/>
      <c r="BA746" s="3"/>
      <c r="BB746" s="3"/>
      <c r="BC746" s="3"/>
    </row>
    <row r="747" spans="1:55" x14ac:dyDescent="0.25">
      <c r="A747" s="2"/>
      <c r="D747" s="3"/>
      <c r="E747" s="4"/>
      <c r="F747" s="5"/>
      <c r="G747" s="5"/>
      <c r="J747" s="3"/>
      <c r="K747" s="3"/>
      <c r="L747" s="6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5"/>
      <c r="Y747" s="3"/>
      <c r="Z747" s="3"/>
      <c r="AA747" s="3"/>
      <c r="AB747" s="5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7"/>
      <c r="AV747" s="7"/>
      <c r="AW747" s="7"/>
      <c r="AX747" s="7"/>
      <c r="AY747" s="8"/>
      <c r="AZ747" s="3"/>
      <c r="BA747" s="3"/>
      <c r="BB747" s="3"/>
      <c r="BC747" s="3"/>
    </row>
    <row r="748" spans="1:55" x14ac:dyDescent="0.25">
      <c r="A748" s="2"/>
      <c r="D748" s="3"/>
      <c r="E748" s="4"/>
      <c r="F748" s="5"/>
      <c r="G748" s="5"/>
      <c r="J748" s="3"/>
      <c r="K748" s="3"/>
      <c r="L748" s="6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5"/>
      <c r="Y748" s="3"/>
      <c r="Z748" s="3"/>
      <c r="AA748" s="3"/>
      <c r="AB748" s="5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7"/>
      <c r="AV748" s="7"/>
      <c r="AW748" s="7"/>
      <c r="AX748" s="7"/>
      <c r="AY748" s="8"/>
      <c r="AZ748" s="3"/>
      <c r="BA748" s="3"/>
      <c r="BB748" s="3"/>
      <c r="BC748" s="3"/>
    </row>
    <row r="749" spans="1:55" x14ac:dyDescent="0.25">
      <c r="A749" s="2"/>
      <c r="D749" s="3"/>
      <c r="E749" s="4"/>
      <c r="F749" s="5"/>
      <c r="G749" s="5"/>
      <c r="J749" s="3"/>
      <c r="K749" s="3"/>
      <c r="L749" s="6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5"/>
      <c r="Y749" s="3"/>
      <c r="Z749" s="3"/>
      <c r="AA749" s="3"/>
      <c r="AB749" s="5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7"/>
      <c r="AV749" s="7"/>
      <c r="AW749" s="7"/>
      <c r="AX749" s="7"/>
      <c r="AY749" s="8"/>
      <c r="AZ749" s="3"/>
      <c r="BA749" s="3"/>
      <c r="BB749" s="3"/>
      <c r="BC749" s="3"/>
    </row>
    <row r="750" spans="1:55" x14ac:dyDescent="0.25">
      <c r="A750" s="2"/>
      <c r="D750" s="3"/>
      <c r="E750" s="4"/>
      <c r="F750" s="5"/>
      <c r="G750" s="5"/>
      <c r="J750" s="3"/>
      <c r="K750" s="3"/>
      <c r="L750" s="6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5"/>
      <c r="Y750" s="3"/>
      <c r="Z750" s="3"/>
      <c r="AA750" s="3"/>
      <c r="AB750" s="5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7"/>
      <c r="AV750" s="7"/>
      <c r="AW750" s="7"/>
      <c r="AX750" s="7"/>
      <c r="AY750" s="8"/>
      <c r="AZ750" s="3"/>
      <c r="BA750" s="3"/>
      <c r="BB750" s="3"/>
      <c r="BC750" s="3"/>
    </row>
    <row r="751" spans="1:55" x14ac:dyDescent="0.25">
      <c r="A751" s="2"/>
      <c r="D751" s="3"/>
      <c r="E751" s="4"/>
      <c r="F751" s="5"/>
      <c r="G751" s="5"/>
      <c r="J751" s="3"/>
      <c r="K751" s="3"/>
      <c r="L751" s="6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5"/>
      <c r="Y751" s="3"/>
      <c r="Z751" s="3"/>
      <c r="AA751" s="3"/>
      <c r="AB751" s="5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7"/>
      <c r="AV751" s="7"/>
      <c r="AW751" s="7"/>
      <c r="AX751" s="7"/>
      <c r="AY751" s="8"/>
      <c r="AZ751" s="3"/>
      <c r="BA751" s="3"/>
      <c r="BB751" s="3"/>
      <c r="BC751" s="3"/>
    </row>
    <row r="752" spans="1:55" x14ac:dyDescent="0.25">
      <c r="A752" s="2"/>
      <c r="D752" s="3"/>
      <c r="E752" s="4"/>
      <c r="F752" s="5"/>
      <c r="G752" s="5"/>
      <c r="J752" s="3"/>
      <c r="K752" s="3"/>
      <c r="L752" s="6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5"/>
      <c r="Y752" s="3"/>
      <c r="Z752" s="3"/>
      <c r="AA752" s="3"/>
      <c r="AB752" s="5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7"/>
      <c r="AV752" s="7"/>
      <c r="AW752" s="7"/>
      <c r="AX752" s="7"/>
      <c r="AY752" s="8"/>
      <c r="AZ752" s="3"/>
      <c r="BA752" s="3"/>
      <c r="BB752" s="3"/>
      <c r="BC752" s="3"/>
    </row>
    <row r="753" spans="1:55" x14ac:dyDescent="0.25">
      <c r="A753" s="2"/>
      <c r="D753" s="3"/>
      <c r="E753" s="4"/>
      <c r="F753" s="5"/>
      <c r="G753" s="5"/>
      <c r="J753" s="3"/>
      <c r="K753" s="3"/>
      <c r="L753" s="6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5"/>
      <c r="Y753" s="3"/>
      <c r="Z753" s="3"/>
      <c r="AA753" s="3"/>
      <c r="AB753" s="5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7"/>
      <c r="AV753" s="7"/>
      <c r="AW753" s="7"/>
      <c r="AX753" s="7"/>
      <c r="AY753" s="8"/>
      <c r="AZ753" s="3"/>
      <c r="BA753" s="3"/>
      <c r="BB753" s="3"/>
      <c r="BC753" s="3"/>
    </row>
    <row r="754" spans="1:55" x14ac:dyDescent="0.25">
      <c r="A754" s="2"/>
      <c r="D754" s="3"/>
      <c r="E754" s="4"/>
      <c r="F754" s="5"/>
      <c r="G754" s="5"/>
      <c r="J754" s="3"/>
      <c r="K754" s="3"/>
      <c r="L754" s="6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5"/>
      <c r="Y754" s="3"/>
      <c r="Z754" s="3"/>
      <c r="AA754" s="3"/>
      <c r="AB754" s="5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7"/>
      <c r="AV754" s="7"/>
      <c r="AW754" s="7"/>
      <c r="AX754" s="7"/>
      <c r="AY754" s="8"/>
      <c r="AZ754" s="3"/>
      <c r="BA754" s="3"/>
      <c r="BB754" s="3"/>
      <c r="BC754" s="3"/>
    </row>
    <row r="755" spans="1:55" x14ac:dyDescent="0.25">
      <c r="A755" s="2"/>
      <c r="D755" s="3"/>
      <c r="E755" s="4"/>
      <c r="F755" s="5"/>
      <c r="G755" s="5"/>
      <c r="J755" s="3"/>
      <c r="K755" s="3"/>
      <c r="L755" s="6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5"/>
      <c r="Y755" s="3"/>
      <c r="Z755" s="3"/>
      <c r="AA755" s="3"/>
      <c r="AB755" s="5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7"/>
      <c r="AV755" s="7"/>
      <c r="AW755" s="7"/>
      <c r="AX755" s="7"/>
      <c r="AY755" s="8"/>
      <c r="AZ755" s="3"/>
      <c r="BA755" s="3"/>
      <c r="BB755" s="3"/>
      <c r="BC755" s="3"/>
    </row>
    <row r="756" spans="1:55" x14ac:dyDescent="0.25">
      <c r="A756" s="2"/>
      <c r="D756" s="3"/>
      <c r="E756" s="4"/>
      <c r="F756" s="5"/>
      <c r="G756" s="5"/>
      <c r="J756" s="3"/>
      <c r="K756" s="3"/>
      <c r="L756" s="6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5"/>
      <c r="Y756" s="3"/>
      <c r="Z756" s="3"/>
      <c r="AA756" s="3"/>
      <c r="AB756" s="5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7"/>
      <c r="AV756" s="7"/>
      <c r="AW756" s="7"/>
      <c r="AX756" s="7"/>
      <c r="AY756" s="8"/>
      <c r="AZ756" s="3"/>
      <c r="BA756" s="3"/>
      <c r="BB756" s="3"/>
      <c r="BC756" s="3"/>
    </row>
    <row r="757" spans="1:55" x14ac:dyDescent="0.25">
      <c r="A757" s="2"/>
      <c r="D757" s="3"/>
      <c r="E757" s="4"/>
      <c r="F757" s="5"/>
      <c r="G757" s="5"/>
      <c r="J757" s="3"/>
      <c r="K757" s="3"/>
      <c r="L757" s="6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5"/>
      <c r="Y757" s="3"/>
      <c r="Z757" s="3"/>
      <c r="AA757" s="3"/>
      <c r="AB757" s="5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7"/>
      <c r="AV757" s="7"/>
      <c r="AW757" s="7"/>
      <c r="AX757" s="7"/>
      <c r="AY757" s="8"/>
      <c r="AZ757" s="3"/>
      <c r="BA757" s="3"/>
      <c r="BB757" s="3"/>
      <c r="BC757" s="3"/>
    </row>
    <row r="758" spans="1:55" x14ac:dyDescent="0.25">
      <c r="A758" s="2"/>
      <c r="D758" s="3"/>
      <c r="E758" s="4"/>
      <c r="F758" s="5"/>
      <c r="G758" s="5"/>
      <c r="J758" s="3"/>
      <c r="K758" s="3"/>
      <c r="L758" s="6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5"/>
      <c r="Y758" s="3"/>
      <c r="Z758" s="3"/>
      <c r="AA758" s="3"/>
      <c r="AB758" s="5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7"/>
      <c r="AV758" s="7"/>
      <c r="AW758" s="7"/>
      <c r="AX758" s="7"/>
      <c r="AY758" s="8"/>
      <c r="AZ758" s="3"/>
      <c r="BA758" s="3"/>
      <c r="BB758" s="3"/>
      <c r="BC758" s="3"/>
    </row>
    <row r="759" spans="1:55" x14ac:dyDescent="0.25">
      <c r="A759" s="2"/>
      <c r="D759" s="3"/>
      <c r="E759" s="4"/>
      <c r="F759" s="5"/>
      <c r="G759" s="5"/>
      <c r="J759" s="3"/>
      <c r="K759" s="3"/>
      <c r="L759" s="6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5"/>
      <c r="Y759" s="3"/>
      <c r="Z759" s="3"/>
      <c r="AA759" s="3"/>
      <c r="AB759" s="5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7"/>
      <c r="AV759" s="7"/>
      <c r="AW759" s="7"/>
      <c r="AX759" s="7"/>
      <c r="AY759" s="8"/>
      <c r="AZ759" s="3"/>
      <c r="BA759" s="3"/>
      <c r="BB759" s="3"/>
      <c r="BC759" s="3"/>
    </row>
    <row r="760" spans="1:55" x14ac:dyDescent="0.25">
      <c r="A760" s="2"/>
      <c r="D760" s="3"/>
      <c r="E760" s="4"/>
      <c r="F760" s="5"/>
      <c r="G760" s="5"/>
      <c r="J760" s="3"/>
      <c r="K760" s="3"/>
      <c r="L760" s="6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5"/>
      <c r="Y760" s="3"/>
      <c r="Z760" s="3"/>
      <c r="AA760" s="3"/>
      <c r="AB760" s="5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7"/>
      <c r="AV760" s="7"/>
      <c r="AW760" s="7"/>
      <c r="AX760" s="7"/>
      <c r="AY760" s="8"/>
      <c r="AZ760" s="3"/>
      <c r="BA760" s="3"/>
      <c r="BB760" s="3"/>
      <c r="BC760" s="3"/>
    </row>
    <row r="761" spans="1:55" x14ac:dyDescent="0.25">
      <c r="A761" s="2"/>
      <c r="D761" s="3"/>
      <c r="E761" s="4"/>
      <c r="F761" s="5"/>
      <c r="G761" s="5"/>
      <c r="J761" s="3"/>
      <c r="K761" s="3"/>
      <c r="L761" s="6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5"/>
      <c r="Y761" s="3"/>
      <c r="Z761" s="3"/>
      <c r="AA761" s="3"/>
      <c r="AB761" s="5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7"/>
      <c r="AV761" s="7"/>
      <c r="AW761" s="7"/>
      <c r="AX761" s="7"/>
      <c r="AY761" s="8"/>
      <c r="AZ761" s="3"/>
      <c r="BA761" s="3"/>
      <c r="BB761" s="3"/>
      <c r="BC761" s="3"/>
    </row>
    <row r="762" spans="1:55" x14ac:dyDescent="0.25">
      <c r="A762" s="2"/>
      <c r="D762" s="3"/>
      <c r="E762" s="4"/>
      <c r="F762" s="5"/>
      <c r="G762" s="5"/>
      <c r="J762" s="3"/>
      <c r="K762" s="3"/>
      <c r="L762" s="6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5"/>
      <c r="Y762" s="3"/>
      <c r="Z762" s="3"/>
      <c r="AA762" s="3"/>
      <c r="AB762" s="5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7"/>
      <c r="AV762" s="7"/>
      <c r="AW762" s="7"/>
      <c r="AX762" s="7"/>
      <c r="AY762" s="8"/>
      <c r="AZ762" s="3"/>
      <c r="BA762" s="3"/>
      <c r="BB762" s="3"/>
      <c r="BC762" s="3"/>
    </row>
    <row r="763" spans="1:55" x14ac:dyDescent="0.25">
      <c r="A763" s="2"/>
      <c r="D763" s="3"/>
      <c r="E763" s="4"/>
      <c r="F763" s="5"/>
      <c r="G763" s="5"/>
      <c r="J763" s="3"/>
      <c r="K763" s="3"/>
      <c r="L763" s="6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5"/>
      <c r="Y763" s="3"/>
      <c r="Z763" s="3"/>
      <c r="AA763" s="3"/>
      <c r="AB763" s="5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7"/>
      <c r="AV763" s="7"/>
      <c r="AW763" s="7"/>
      <c r="AX763" s="7"/>
      <c r="AY763" s="8"/>
      <c r="AZ763" s="3"/>
      <c r="BA763" s="3"/>
      <c r="BB763" s="3"/>
      <c r="BC763" s="3"/>
    </row>
    <row r="764" spans="1:55" x14ac:dyDescent="0.25">
      <c r="A764" s="2"/>
      <c r="D764" s="3"/>
      <c r="E764" s="4"/>
      <c r="F764" s="5"/>
      <c r="G764" s="5"/>
      <c r="J764" s="3"/>
      <c r="K764" s="3"/>
      <c r="L764" s="6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5"/>
      <c r="Y764" s="3"/>
      <c r="Z764" s="3"/>
      <c r="AA764" s="3"/>
      <c r="AB764" s="5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7"/>
      <c r="AV764" s="7"/>
      <c r="AW764" s="7"/>
      <c r="AX764" s="7"/>
      <c r="AY764" s="8"/>
      <c r="AZ764" s="3"/>
      <c r="BA764" s="3"/>
      <c r="BB764" s="3"/>
      <c r="BC764" s="3"/>
    </row>
    <row r="765" spans="1:55" x14ac:dyDescent="0.25">
      <c r="A765" s="2"/>
      <c r="D765" s="3"/>
      <c r="E765" s="4"/>
      <c r="F765" s="5"/>
      <c r="G765" s="5"/>
      <c r="J765" s="3"/>
      <c r="K765" s="3"/>
      <c r="L765" s="6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5"/>
      <c r="Y765" s="3"/>
      <c r="Z765" s="3"/>
      <c r="AA765" s="3"/>
      <c r="AB765" s="5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7"/>
      <c r="AV765" s="7"/>
      <c r="AW765" s="7"/>
      <c r="AX765" s="7"/>
      <c r="AY765" s="8"/>
      <c r="AZ765" s="3"/>
      <c r="BA765" s="3"/>
      <c r="BB765" s="3"/>
      <c r="BC765" s="3"/>
    </row>
    <row r="766" spans="1:55" x14ac:dyDescent="0.25">
      <c r="A766" s="2"/>
      <c r="D766" s="3"/>
      <c r="E766" s="4"/>
      <c r="F766" s="5"/>
      <c r="G766" s="5"/>
      <c r="J766" s="3"/>
      <c r="K766" s="3"/>
      <c r="L766" s="6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5"/>
      <c r="Y766" s="3"/>
      <c r="Z766" s="3"/>
      <c r="AA766" s="3"/>
      <c r="AB766" s="5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7"/>
      <c r="AV766" s="7"/>
      <c r="AW766" s="7"/>
      <c r="AX766" s="7"/>
      <c r="AY766" s="8"/>
      <c r="AZ766" s="3"/>
      <c r="BA766" s="3"/>
      <c r="BB766" s="3"/>
      <c r="BC766" s="3"/>
    </row>
    <row r="767" spans="1:55" x14ac:dyDescent="0.25">
      <c r="A767" s="2"/>
      <c r="D767" s="3"/>
      <c r="E767" s="4"/>
      <c r="F767" s="5"/>
      <c r="G767" s="5"/>
      <c r="J767" s="3"/>
      <c r="K767" s="3"/>
      <c r="L767" s="6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5"/>
      <c r="Y767" s="3"/>
      <c r="Z767" s="3"/>
      <c r="AA767" s="3"/>
      <c r="AB767" s="5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7"/>
      <c r="AV767" s="7"/>
      <c r="AW767" s="7"/>
      <c r="AX767" s="7"/>
      <c r="AY767" s="8"/>
      <c r="AZ767" s="3"/>
      <c r="BA767" s="3"/>
      <c r="BB767" s="3"/>
      <c r="BC767" s="3"/>
    </row>
    <row r="768" spans="1:55" x14ac:dyDescent="0.25">
      <c r="A768" s="2"/>
      <c r="D768" s="3"/>
      <c r="E768" s="4"/>
      <c r="F768" s="5"/>
      <c r="G768" s="5"/>
      <c r="J768" s="3"/>
      <c r="K768" s="3"/>
      <c r="L768" s="6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5"/>
      <c r="Y768" s="3"/>
      <c r="Z768" s="3"/>
      <c r="AA768" s="3"/>
      <c r="AB768" s="5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7"/>
      <c r="AV768" s="7"/>
      <c r="AW768" s="7"/>
      <c r="AX768" s="7"/>
      <c r="AY768" s="8"/>
      <c r="AZ768" s="3"/>
      <c r="BA768" s="3"/>
      <c r="BB768" s="3"/>
      <c r="BC768" s="3"/>
    </row>
    <row r="769" spans="1:55" x14ac:dyDescent="0.25">
      <c r="A769" s="2"/>
      <c r="D769" s="3"/>
      <c r="E769" s="4"/>
      <c r="F769" s="5"/>
      <c r="G769" s="5"/>
      <c r="J769" s="3"/>
      <c r="K769" s="3"/>
      <c r="L769" s="6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5"/>
      <c r="Y769" s="3"/>
      <c r="Z769" s="3"/>
      <c r="AA769" s="3"/>
      <c r="AB769" s="5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7"/>
      <c r="AV769" s="7"/>
      <c r="AW769" s="7"/>
      <c r="AX769" s="7"/>
      <c r="AY769" s="8"/>
      <c r="AZ769" s="3"/>
      <c r="BA769" s="3"/>
      <c r="BB769" s="3"/>
      <c r="BC769" s="3"/>
    </row>
    <row r="770" spans="1:55" x14ac:dyDescent="0.25">
      <c r="A770" s="2"/>
      <c r="D770" s="3"/>
      <c r="E770" s="4"/>
      <c r="F770" s="5"/>
      <c r="G770" s="5"/>
      <c r="J770" s="3"/>
      <c r="K770" s="3"/>
      <c r="L770" s="6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5"/>
      <c r="Y770" s="3"/>
      <c r="Z770" s="3"/>
      <c r="AA770" s="3"/>
      <c r="AB770" s="5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7"/>
      <c r="AV770" s="7"/>
      <c r="AW770" s="7"/>
      <c r="AX770" s="7"/>
      <c r="AY770" s="8"/>
      <c r="AZ770" s="3"/>
      <c r="BA770" s="3"/>
      <c r="BB770" s="3"/>
      <c r="BC770" s="3"/>
    </row>
    <row r="771" spans="1:55" x14ac:dyDescent="0.25">
      <c r="A771" s="2"/>
      <c r="D771" s="3"/>
      <c r="E771" s="4"/>
      <c r="F771" s="5"/>
      <c r="G771" s="5"/>
      <c r="J771" s="3"/>
      <c r="K771" s="3"/>
      <c r="L771" s="6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5"/>
      <c r="Y771" s="3"/>
      <c r="Z771" s="3"/>
      <c r="AA771" s="3"/>
      <c r="AB771" s="5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7"/>
      <c r="AV771" s="7"/>
      <c r="AW771" s="7"/>
      <c r="AX771" s="7"/>
      <c r="AY771" s="8"/>
      <c r="AZ771" s="3"/>
      <c r="BA771" s="3"/>
      <c r="BB771" s="3"/>
      <c r="BC771" s="3"/>
    </row>
    <row r="772" spans="1:55" x14ac:dyDescent="0.25">
      <c r="A772" s="2"/>
      <c r="D772" s="3"/>
      <c r="E772" s="4"/>
      <c r="F772" s="5"/>
      <c r="G772" s="5"/>
      <c r="J772" s="3"/>
      <c r="K772" s="3"/>
      <c r="L772" s="6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5"/>
      <c r="Y772" s="3"/>
      <c r="Z772" s="3"/>
      <c r="AA772" s="3"/>
      <c r="AB772" s="5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7"/>
      <c r="AV772" s="7"/>
      <c r="AW772" s="7"/>
      <c r="AX772" s="7"/>
      <c r="AY772" s="8"/>
      <c r="AZ772" s="3"/>
      <c r="BA772" s="3"/>
      <c r="BB772" s="3"/>
      <c r="BC772" s="3"/>
    </row>
    <row r="773" spans="1:55" x14ac:dyDescent="0.25">
      <c r="A773" s="2"/>
      <c r="D773" s="3"/>
      <c r="E773" s="4"/>
      <c r="F773" s="5"/>
      <c r="G773" s="5"/>
      <c r="J773" s="3"/>
      <c r="K773" s="3"/>
      <c r="L773" s="6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5"/>
      <c r="Y773" s="3"/>
      <c r="Z773" s="3"/>
      <c r="AA773" s="3"/>
      <c r="AB773" s="5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7"/>
      <c r="AV773" s="7"/>
      <c r="AW773" s="7"/>
      <c r="AX773" s="7"/>
      <c r="AY773" s="8"/>
      <c r="AZ773" s="3"/>
      <c r="BA773" s="3"/>
      <c r="BB773" s="3"/>
      <c r="BC773" s="3"/>
    </row>
    <row r="774" spans="1:55" x14ac:dyDescent="0.25">
      <c r="A774" s="2"/>
      <c r="D774" s="3"/>
      <c r="E774" s="4"/>
      <c r="F774" s="5"/>
      <c r="G774" s="5"/>
      <c r="J774" s="3"/>
      <c r="K774" s="3"/>
      <c r="L774" s="6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5"/>
      <c r="Y774" s="3"/>
      <c r="Z774" s="3"/>
      <c r="AA774" s="3"/>
      <c r="AB774" s="5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7"/>
      <c r="AV774" s="7"/>
      <c r="AW774" s="7"/>
      <c r="AX774" s="7"/>
      <c r="AY774" s="8"/>
      <c r="AZ774" s="3"/>
      <c r="BA774" s="3"/>
      <c r="BB774" s="3"/>
      <c r="BC774" s="3"/>
    </row>
    <row r="775" spans="1:55" x14ac:dyDescent="0.25">
      <c r="A775" s="2"/>
      <c r="D775" s="3"/>
      <c r="E775" s="4"/>
      <c r="F775" s="5"/>
      <c r="G775" s="5"/>
      <c r="J775" s="3"/>
      <c r="K775" s="3"/>
      <c r="L775" s="6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5"/>
      <c r="Y775" s="3"/>
      <c r="Z775" s="3"/>
      <c r="AA775" s="3"/>
      <c r="AB775" s="5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7"/>
      <c r="AV775" s="7"/>
      <c r="AW775" s="7"/>
      <c r="AX775" s="7"/>
      <c r="AY775" s="8"/>
      <c r="AZ775" s="3"/>
      <c r="BA775" s="3"/>
      <c r="BB775" s="3"/>
      <c r="BC775" s="3"/>
    </row>
    <row r="776" spans="1:55" x14ac:dyDescent="0.25">
      <c r="A776" s="2"/>
      <c r="D776" s="3"/>
      <c r="E776" s="4"/>
      <c r="F776" s="5"/>
      <c r="G776" s="5"/>
      <c r="J776" s="3"/>
      <c r="K776" s="3"/>
      <c r="L776" s="6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5"/>
      <c r="Y776" s="3"/>
      <c r="Z776" s="3"/>
      <c r="AA776" s="3"/>
      <c r="AB776" s="5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7"/>
      <c r="AV776" s="7"/>
      <c r="AW776" s="7"/>
      <c r="AX776" s="7"/>
      <c r="AY776" s="8"/>
      <c r="AZ776" s="3"/>
      <c r="BA776" s="3"/>
      <c r="BB776" s="3"/>
      <c r="BC776" s="3"/>
    </row>
    <row r="777" spans="1:55" x14ac:dyDescent="0.25">
      <c r="A777" s="2"/>
      <c r="D777" s="3"/>
      <c r="E777" s="4"/>
      <c r="F777" s="5"/>
      <c r="G777" s="5"/>
      <c r="J777" s="3"/>
      <c r="K777" s="3"/>
      <c r="L777" s="6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5"/>
      <c r="Y777" s="3"/>
      <c r="Z777" s="3"/>
      <c r="AA777" s="3"/>
      <c r="AB777" s="5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7"/>
      <c r="AV777" s="7"/>
      <c r="AW777" s="7"/>
      <c r="AX777" s="7"/>
      <c r="AY777" s="8"/>
      <c r="AZ777" s="3"/>
      <c r="BA777" s="3"/>
      <c r="BB777" s="3"/>
      <c r="BC777" s="3"/>
    </row>
    <row r="778" spans="1:55" x14ac:dyDescent="0.25">
      <c r="A778" s="2"/>
      <c r="D778" s="3"/>
      <c r="E778" s="4"/>
      <c r="F778" s="5"/>
      <c r="G778" s="5"/>
      <c r="J778" s="3"/>
      <c r="K778" s="3"/>
      <c r="L778" s="6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5"/>
      <c r="Y778" s="3"/>
      <c r="Z778" s="3"/>
      <c r="AA778" s="3"/>
      <c r="AB778" s="5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7"/>
      <c r="AV778" s="7"/>
      <c r="AW778" s="7"/>
      <c r="AX778" s="7"/>
      <c r="AY778" s="8"/>
      <c r="AZ778" s="3"/>
      <c r="BA778" s="3"/>
      <c r="BB778" s="3"/>
      <c r="BC778" s="3"/>
    </row>
    <row r="779" spans="1:55" x14ac:dyDescent="0.25">
      <c r="A779" s="2"/>
      <c r="D779" s="3"/>
      <c r="E779" s="4"/>
      <c r="F779" s="5"/>
      <c r="G779" s="5"/>
      <c r="J779" s="3"/>
      <c r="K779" s="3"/>
      <c r="L779" s="6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5"/>
      <c r="Y779" s="3"/>
      <c r="Z779" s="3"/>
      <c r="AA779" s="3"/>
      <c r="AB779" s="5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7"/>
      <c r="AV779" s="7"/>
      <c r="AW779" s="7"/>
      <c r="AX779" s="7"/>
      <c r="AY779" s="8"/>
      <c r="AZ779" s="3"/>
      <c r="BA779" s="3"/>
      <c r="BB779" s="3"/>
      <c r="BC779" s="3"/>
    </row>
    <row r="780" spans="1:55" x14ac:dyDescent="0.25">
      <c r="A780" s="2"/>
      <c r="D780" s="3"/>
      <c r="E780" s="4"/>
      <c r="F780" s="5"/>
      <c r="G780" s="5"/>
      <c r="J780" s="3"/>
      <c r="K780" s="3"/>
      <c r="L780" s="6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5"/>
      <c r="Y780" s="3"/>
      <c r="Z780" s="3"/>
      <c r="AA780" s="3"/>
      <c r="AB780" s="5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7"/>
      <c r="AV780" s="7"/>
      <c r="AW780" s="7"/>
      <c r="AX780" s="7"/>
      <c r="AY780" s="8"/>
      <c r="AZ780" s="3"/>
      <c r="BA780" s="3"/>
      <c r="BB780" s="3"/>
      <c r="BC780" s="3"/>
    </row>
    <row r="781" spans="1:55" x14ac:dyDescent="0.25">
      <c r="A781" s="2"/>
      <c r="D781" s="3"/>
      <c r="E781" s="4"/>
      <c r="F781" s="5"/>
      <c r="G781" s="5"/>
      <c r="J781" s="3"/>
      <c r="K781" s="3"/>
      <c r="L781" s="6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5"/>
      <c r="Y781" s="3"/>
      <c r="Z781" s="3"/>
      <c r="AA781" s="3"/>
      <c r="AB781" s="5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7"/>
      <c r="AV781" s="7"/>
      <c r="AW781" s="7"/>
      <c r="AX781" s="7"/>
      <c r="AY781" s="8"/>
      <c r="AZ781" s="3"/>
      <c r="BA781" s="3"/>
      <c r="BB781" s="3"/>
      <c r="BC781" s="3"/>
    </row>
    <row r="782" spans="1:55" x14ac:dyDescent="0.25">
      <c r="A782" s="2"/>
      <c r="D782" s="3"/>
      <c r="E782" s="4"/>
      <c r="F782" s="5"/>
      <c r="G782" s="5"/>
      <c r="J782" s="3"/>
      <c r="K782" s="3"/>
      <c r="L782" s="6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5"/>
      <c r="Y782" s="3"/>
      <c r="Z782" s="3"/>
      <c r="AA782" s="3"/>
      <c r="AB782" s="5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7"/>
      <c r="AV782" s="7"/>
      <c r="AW782" s="7"/>
      <c r="AX782" s="7"/>
      <c r="AY782" s="8"/>
      <c r="AZ782" s="3"/>
      <c r="BA782" s="3"/>
      <c r="BB782" s="3"/>
      <c r="BC782" s="3"/>
    </row>
    <row r="783" spans="1:55" x14ac:dyDescent="0.25">
      <c r="A783" s="2"/>
      <c r="D783" s="3"/>
      <c r="E783" s="4"/>
      <c r="F783" s="5"/>
      <c r="G783" s="5"/>
      <c r="J783" s="3"/>
      <c r="K783" s="3"/>
      <c r="L783" s="6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5"/>
      <c r="Y783" s="3"/>
      <c r="Z783" s="3"/>
      <c r="AA783" s="3"/>
      <c r="AB783" s="5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7"/>
      <c r="AV783" s="7"/>
      <c r="AW783" s="7"/>
      <c r="AX783" s="7"/>
      <c r="AY783" s="8"/>
      <c r="AZ783" s="3"/>
      <c r="BA783" s="3"/>
      <c r="BB783" s="3"/>
      <c r="BC783" s="3"/>
    </row>
    <row r="784" spans="1:55" x14ac:dyDescent="0.25">
      <c r="A784" s="2"/>
      <c r="D784" s="3"/>
      <c r="E784" s="4"/>
      <c r="F784" s="5"/>
      <c r="G784" s="5"/>
      <c r="J784" s="3"/>
      <c r="K784" s="3"/>
      <c r="L784" s="6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5"/>
      <c r="Y784" s="3"/>
      <c r="Z784" s="3"/>
      <c r="AA784" s="3"/>
      <c r="AB784" s="5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7"/>
      <c r="AV784" s="7"/>
      <c r="AW784" s="7"/>
      <c r="AX784" s="7"/>
      <c r="AY784" s="8"/>
      <c r="AZ784" s="3"/>
      <c r="BA784" s="3"/>
      <c r="BB784" s="3"/>
      <c r="BC784" s="3"/>
    </row>
    <row r="785" spans="1:55" x14ac:dyDescent="0.25">
      <c r="A785" s="2"/>
      <c r="D785" s="3"/>
      <c r="E785" s="4"/>
      <c r="F785" s="5"/>
      <c r="G785" s="5"/>
      <c r="J785" s="3"/>
      <c r="K785" s="3"/>
      <c r="L785" s="6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5"/>
      <c r="Y785" s="3"/>
      <c r="Z785" s="3"/>
      <c r="AA785" s="3"/>
      <c r="AB785" s="5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7"/>
      <c r="AV785" s="7"/>
      <c r="AW785" s="7"/>
      <c r="AX785" s="7"/>
      <c r="AY785" s="8"/>
      <c r="AZ785" s="3"/>
      <c r="BA785" s="3"/>
      <c r="BB785" s="3"/>
      <c r="BC785" s="3"/>
    </row>
    <row r="786" spans="1:55" x14ac:dyDescent="0.25">
      <c r="A786" s="2"/>
      <c r="D786" s="3"/>
      <c r="E786" s="4"/>
      <c r="F786" s="5"/>
      <c r="G786" s="5"/>
      <c r="J786" s="3"/>
      <c r="K786" s="3"/>
      <c r="L786" s="6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5"/>
      <c r="Y786" s="3"/>
      <c r="Z786" s="3"/>
      <c r="AA786" s="3"/>
      <c r="AB786" s="5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7"/>
      <c r="AV786" s="7"/>
      <c r="AW786" s="7"/>
      <c r="AX786" s="7"/>
      <c r="AY786" s="8"/>
      <c r="AZ786" s="3"/>
      <c r="BA786" s="3"/>
      <c r="BB786" s="3"/>
      <c r="BC786" s="3"/>
    </row>
    <row r="787" spans="1:55" x14ac:dyDescent="0.25">
      <c r="A787" s="2"/>
      <c r="D787" s="3"/>
      <c r="E787" s="4"/>
      <c r="F787" s="5"/>
      <c r="G787" s="5"/>
      <c r="J787" s="3"/>
      <c r="K787" s="3"/>
      <c r="L787" s="6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5"/>
      <c r="Y787" s="3"/>
      <c r="Z787" s="3"/>
      <c r="AA787" s="3"/>
      <c r="AB787" s="5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7"/>
      <c r="AV787" s="7"/>
      <c r="AW787" s="7"/>
      <c r="AX787" s="7"/>
      <c r="AY787" s="8"/>
      <c r="AZ787" s="3"/>
      <c r="BA787" s="3"/>
      <c r="BB787" s="3"/>
      <c r="BC787" s="3"/>
    </row>
    <row r="788" spans="1:55" x14ac:dyDescent="0.25">
      <c r="A788" s="2"/>
      <c r="D788" s="3"/>
      <c r="E788" s="4"/>
      <c r="F788" s="5"/>
      <c r="G788" s="5"/>
      <c r="J788" s="3"/>
      <c r="K788" s="3"/>
      <c r="L788" s="6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5"/>
      <c r="Y788" s="3"/>
      <c r="Z788" s="3"/>
      <c r="AA788" s="3"/>
      <c r="AB788" s="5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7"/>
      <c r="AV788" s="7"/>
      <c r="AW788" s="7"/>
      <c r="AX788" s="7"/>
      <c r="AY788" s="8"/>
      <c r="AZ788" s="3"/>
      <c r="BA788" s="3"/>
      <c r="BB788" s="3"/>
      <c r="BC788" s="3"/>
    </row>
    <row r="789" spans="1:55" x14ac:dyDescent="0.25">
      <c r="A789" s="2"/>
      <c r="D789" s="3"/>
      <c r="E789" s="4"/>
      <c r="F789" s="5"/>
      <c r="G789" s="5"/>
      <c r="J789" s="3"/>
      <c r="K789" s="3"/>
      <c r="L789" s="6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5"/>
      <c r="Y789" s="3"/>
      <c r="Z789" s="3"/>
      <c r="AA789" s="3"/>
      <c r="AB789" s="5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7"/>
      <c r="AV789" s="7"/>
      <c r="AW789" s="7"/>
      <c r="AX789" s="7"/>
      <c r="AY789" s="8"/>
      <c r="AZ789" s="3"/>
      <c r="BA789" s="3"/>
      <c r="BB789" s="3"/>
      <c r="BC789" s="3"/>
    </row>
    <row r="790" spans="1:55" x14ac:dyDescent="0.25">
      <c r="A790" s="2"/>
      <c r="D790" s="3"/>
      <c r="E790" s="4"/>
      <c r="F790" s="5"/>
      <c r="G790" s="5"/>
      <c r="J790" s="3"/>
      <c r="K790" s="3"/>
      <c r="L790" s="6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5"/>
      <c r="Y790" s="3"/>
      <c r="Z790" s="3"/>
      <c r="AA790" s="3"/>
      <c r="AB790" s="5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7"/>
      <c r="AV790" s="7"/>
      <c r="AW790" s="7"/>
      <c r="AX790" s="7"/>
      <c r="AY790" s="8"/>
      <c r="AZ790" s="3"/>
      <c r="BA790" s="3"/>
      <c r="BB790" s="3"/>
      <c r="BC790" s="3"/>
    </row>
    <row r="791" spans="1:55" x14ac:dyDescent="0.25">
      <c r="A791" s="2"/>
      <c r="D791" s="3"/>
      <c r="E791" s="4"/>
      <c r="F791" s="5"/>
      <c r="G791" s="5"/>
      <c r="J791" s="3"/>
      <c r="K791" s="3"/>
      <c r="L791" s="6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5"/>
      <c r="Y791" s="3"/>
      <c r="Z791" s="3"/>
      <c r="AA791" s="3"/>
      <c r="AB791" s="5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7"/>
      <c r="AV791" s="7"/>
      <c r="AW791" s="7"/>
      <c r="AX791" s="7"/>
      <c r="AY791" s="8"/>
      <c r="AZ791" s="3"/>
      <c r="BA791" s="3"/>
      <c r="BB791" s="3"/>
      <c r="BC791" s="3"/>
    </row>
    <row r="792" spans="1:55" x14ac:dyDescent="0.25">
      <c r="A792" s="2"/>
      <c r="D792" s="3"/>
      <c r="E792" s="4"/>
      <c r="F792" s="5"/>
      <c r="G792" s="5"/>
      <c r="J792" s="3"/>
      <c r="K792" s="3"/>
      <c r="L792" s="6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5"/>
      <c r="Y792" s="3"/>
      <c r="Z792" s="3"/>
      <c r="AA792" s="3"/>
      <c r="AB792" s="5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7"/>
      <c r="AV792" s="7"/>
      <c r="AW792" s="7"/>
      <c r="AX792" s="7"/>
      <c r="AY792" s="8"/>
      <c r="AZ792" s="3"/>
      <c r="BA792" s="3"/>
      <c r="BB792" s="3"/>
      <c r="BC792" s="3"/>
    </row>
    <row r="793" spans="1:55" x14ac:dyDescent="0.25">
      <c r="A793" s="2"/>
      <c r="D793" s="3"/>
      <c r="E793" s="4"/>
      <c r="F793" s="5"/>
      <c r="G793" s="5"/>
      <c r="J793" s="3"/>
      <c r="K793" s="3"/>
      <c r="L793" s="6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5"/>
      <c r="Y793" s="3"/>
      <c r="Z793" s="3"/>
      <c r="AA793" s="3"/>
      <c r="AB793" s="5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7"/>
      <c r="AV793" s="7"/>
      <c r="AW793" s="7"/>
      <c r="AX793" s="7"/>
      <c r="AY793" s="8"/>
      <c r="AZ793" s="3"/>
      <c r="BA793" s="3"/>
      <c r="BB793" s="3"/>
      <c r="BC793" s="3"/>
    </row>
    <row r="794" spans="1:55" x14ac:dyDescent="0.25">
      <c r="A794" s="2"/>
      <c r="D794" s="3"/>
      <c r="E794" s="4"/>
      <c r="F794" s="5"/>
      <c r="G794" s="5"/>
      <c r="J794" s="3"/>
      <c r="K794" s="3"/>
      <c r="L794" s="6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5"/>
      <c r="Y794" s="3"/>
      <c r="Z794" s="3"/>
      <c r="AA794" s="3"/>
      <c r="AB794" s="5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7"/>
      <c r="AV794" s="7"/>
      <c r="AW794" s="7"/>
      <c r="AX794" s="7"/>
      <c r="AY794" s="8"/>
      <c r="AZ794" s="3"/>
      <c r="BA794" s="3"/>
      <c r="BB794" s="3"/>
      <c r="BC794" s="3"/>
    </row>
    <row r="795" spans="1:55" x14ac:dyDescent="0.25">
      <c r="A795" s="2"/>
      <c r="D795" s="3"/>
      <c r="E795" s="4"/>
      <c r="F795" s="5"/>
      <c r="G795" s="5"/>
      <c r="J795" s="3"/>
      <c r="K795" s="3"/>
      <c r="L795" s="6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5"/>
      <c r="Y795" s="3"/>
      <c r="Z795" s="3"/>
      <c r="AA795" s="3"/>
      <c r="AB795" s="5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7"/>
      <c r="AV795" s="7"/>
      <c r="AW795" s="7"/>
      <c r="AX795" s="7"/>
      <c r="AY795" s="8"/>
      <c r="AZ795" s="3"/>
      <c r="BA795" s="3"/>
      <c r="BB795" s="3"/>
      <c r="BC795" s="3"/>
    </row>
    <row r="796" spans="1:55" x14ac:dyDescent="0.25">
      <c r="A796" s="2"/>
      <c r="D796" s="3"/>
      <c r="E796" s="4"/>
      <c r="F796" s="5"/>
      <c r="G796" s="5"/>
      <c r="J796" s="3"/>
      <c r="K796" s="3"/>
      <c r="L796" s="6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5"/>
      <c r="Y796" s="3"/>
      <c r="Z796" s="3"/>
      <c r="AA796" s="3"/>
      <c r="AB796" s="5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7"/>
      <c r="AV796" s="7"/>
      <c r="AW796" s="7"/>
      <c r="AX796" s="7"/>
      <c r="AY796" s="8"/>
      <c r="AZ796" s="3"/>
      <c r="BA796" s="3"/>
      <c r="BB796" s="3"/>
      <c r="BC796" s="3"/>
    </row>
    <row r="797" spans="1:55" x14ac:dyDescent="0.25">
      <c r="A797" s="2"/>
      <c r="D797" s="3"/>
      <c r="E797" s="4"/>
      <c r="F797" s="5"/>
      <c r="G797" s="5"/>
      <c r="J797" s="3"/>
      <c r="K797" s="3"/>
      <c r="L797" s="6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5"/>
      <c r="Y797" s="3"/>
      <c r="Z797" s="3"/>
      <c r="AA797" s="3"/>
      <c r="AB797" s="5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7"/>
      <c r="AV797" s="7"/>
      <c r="AW797" s="7"/>
      <c r="AX797" s="7"/>
      <c r="AY797" s="8"/>
      <c r="AZ797" s="3"/>
      <c r="BA797" s="3"/>
      <c r="BB797" s="3"/>
      <c r="BC797" s="3"/>
    </row>
    <row r="798" spans="1:55" x14ac:dyDescent="0.25">
      <c r="A798" s="2"/>
      <c r="D798" s="3"/>
      <c r="E798" s="4"/>
      <c r="F798" s="5"/>
      <c r="G798" s="5"/>
      <c r="J798" s="3"/>
      <c r="K798" s="3"/>
      <c r="L798" s="6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5"/>
      <c r="Y798" s="3"/>
      <c r="Z798" s="3"/>
      <c r="AA798" s="3"/>
      <c r="AB798" s="5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7"/>
      <c r="AV798" s="7"/>
      <c r="AW798" s="7"/>
      <c r="AX798" s="7"/>
      <c r="AY798" s="8"/>
      <c r="AZ798" s="3"/>
      <c r="BA798" s="3"/>
      <c r="BB798" s="3"/>
      <c r="BC798" s="3"/>
    </row>
    <row r="799" spans="1:55" x14ac:dyDescent="0.25">
      <c r="A799" s="2"/>
      <c r="D799" s="3"/>
      <c r="E799" s="4"/>
      <c r="F799" s="5"/>
      <c r="G799" s="5"/>
      <c r="J799" s="3"/>
      <c r="K799" s="3"/>
      <c r="L799" s="6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5"/>
      <c r="Y799" s="3"/>
      <c r="Z799" s="3"/>
      <c r="AA799" s="3"/>
      <c r="AB799" s="5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7"/>
      <c r="AV799" s="7"/>
      <c r="AW799" s="7"/>
      <c r="AX799" s="7"/>
      <c r="AY799" s="8"/>
      <c r="AZ799" s="3"/>
      <c r="BA799" s="3"/>
      <c r="BB799" s="3"/>
      <c r="BC799" s="3"/>
    </row>
    <row r="800" spans="1:55" x14ac:dyDescent="0.25">
      <c r="A800" s="2"/>
      <c r="D800" s="3"/>
      <c r="E800" s="4"/>
      <c r="F800" s="5"/>
      <c r="G800" s="5"/>
      <c r="J800" s="3"/>
      <c r="K800" s="3"/>
      <c r="L800" s="6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5"/>
      <c r="Y800" s="3"/>
      <c r="Z800" s="3"/>
      <c r="AA800" s="3"/>
      <c r="AB800" s="5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7"/>
      <c r="AV800" s="7"/>
      <c r="AW800" s="7"/>
      <c r="AX800" s="7"/>
      <c r="AY800" s="8"/>
      <c r="AZ800" s="3"/>
      <c r="BA800" s="3"/>
      <c r="BB800" s="3"/>
      <c r="BC800" s="3"/>
    </row>
    <row r="801" spans="1:55" x14ac:dyDescent="0.25">
      <c r="A801" s="2"/>
      <c r="D801" s="3"/>
      <c r="E801" s="4"/>
      <c r="F801" s="5"/>
      <c r="G801" s="5"/>
      <c r="J801" s="3"/>
      <c r="K801" s="3"/>
      <c r="L801" s="6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5"/>
      <c r="Y801" s="3"/>
      <c r="Z801" s="3"/>
      <c r="AA801" s="3"/>
      <c r="AB801" s="5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7"/>
      <c r="AV801" s="7"/>
      <c r="AW801" s="7"/>
      <c r="AX801" s="7"/>
      <c r="AY801" s="8"/>
      <c r="AZ801" s="3"/>
      <c r="BA801" s="3"/>
      <c r="BB801" s="3"/>
      <c r="BC801" s="3"/>
    </row>
    <row r="802" spans="1:55" x14ac:dyDescent="0.25">
      <c r="A802" s="2"/>
      <c r="D802" s="3"/>
      <c r="E802" s="4"/>
      <c r="F802" s="5"/>
      <c r="G802" s="5"/>
      <c r="J802" s="3"/>
      <c r="K802" s="3"/>
      <c r="L802" s="6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5"/>
      <c r="Y802" s="3"/>
      <c r="Z802" s="3"/>
      <c r="AA802" s="3"/>
      <c r="AB802" s="5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7"/>
      <c r="AV802" s="7"/>
      <c r="AW802" s="7"/>
      <c r="AX802" s="7"/>
      <c r="AY802" s="8"/>
      <c r="AZ802" s="3"/>
      <c r="BA802" s="3"/>
      <c r="BB802" s="3"/>
      <c r="BC802" s="3"/>
    </row>
    <row r="803" spans="1:55" x14ac:dyDescent="0.25">
      <c r="A803" s="2"/>
      <c r="D803" s="3"/>
      <c r="E803" s="4"/>
      <c r="F803" s="5"/>
      <c r="G803" s="5"/>
      <c r="J803" s="3"/>
      <c r="K803" s="3"/>
      <c r="L803" s="6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5"/>
      <c r="Y803" s="3"/>
      <c r="Z803" s="3"/>
      <c r="AA803" s="3"/>
      <c r="AB803" s="5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7"/>
      <c r="AV803" s="7"/>
      <c r="AW803" s="7"/>
      <c r="AX803" s="7"/>
      <c r="AY803" s="8"/>
      <c r="AZ803" s="3"/>
      <c r="BA803" s="3"/>
      <c r="BB803" s="3"/>
      <c r="BC803" s="3"/>
    </row>
    <row r="804" spans="1:55" x14ac:dyDescent="0.25">
      <c r="A804" s="2"/>
      <c r="D804" s="3"/>
      <c r="E804" s="4"/>
      <c r="F804" s="5"/>
      <c r="G804" s="5"/>
      <c r="J804" s="3"/>
      <c r="K804" s="3"/>
      <c r="L804" s="6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5"/>
      <c r="Y804" s="3"/>
      <c r="Z804" s="3"/>
      <c r="AA804" s="3"/>
      <c r="AB804" s="5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7"/>
      <c r="AV804" s="7"/>
      <c r="AW804" s="7"/>
      <c r="AX804" s="7"/>
      <c r="AY804" s="8"/>
      <c r="AZ804" s="3"/>
      <c r="BA804" s="3"/>
      <c r="BB804" s="3"/>
      <c r="BC804" s="3"/>
    </row>
    <row r="805" spans="1:55" x14ac:dyDescent="0.25">
      <c r="A805" s="2"/>
      <c r="D805" s="3"/>
      <c r="E805" s="4"/>
      <c r="F805" s="5"/>
      <c r="G805" s="5"/>
      <c r="J805" s="3"/>
      <c r="K805" s="3"/>
      <c r="L805" s="6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5"/>
      <c r="Y805" s="3"/>
      <c r="Z805" s="3"/>
      <c r="AA805" s="3"/>
      <c r="AB805" s="5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7"/>
      <c r="AV805" s="7"/>
      <c r="AW805" s="7"/>
      <c r="AX805" s="7"/>
      <c r="AY805" s="8"/>
      <c r="AZ805" s="3"/>
      <c r="BA805" s="3"/>
      <c r="BB805" s="3"/>
      <c r="BC805" s="3"/>
    </row>
    <row r="806" spans="1:55" x14ac:dyDescent="0.25">
      <c r="A806" s="2"/>
      <c r="D806" s="3"/>
      <c r="E806" s="4"/>
      <c r="F806" s="5"/>
      <c r="G806" s="5"/>
      <c r="J806" s="3"/>
      <c r="K806" s="3"/>
      <c r="L806" s="6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5"/>
      <c r="Y806" s="3"/>
      <c r="Z806" s="3"/>
      <c r="AA806" s="3"/>
      <c r="AB806" s="5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7"/>
      <c r="AV806" s="7"/>
      <c r="AW806" s="7"/>
      <c r="AX806" s="7"/>
      <c r="AY806" s="8"/>
      <c r="AZ806" s="3"/>
      <c r="BA806" s="3"/>
      <c r="BB806" s="3"/>
      <c r="BC806" s="3"/>
    </row>
    <row r="807" spans="1:55" x14ac:dyDescent="0.25">
      <c r="A807" s="2"/>
      <c r="D807" s="3"/>
      <c r="E807" s="4"/>
      <c r="F807" s="5"/>
      <c r="G807" s="5"/>
      <c r="J807" s="3"/>
      <c r="K807" s="3"/>
      <c r="L807" s="6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5"/>
      <c r="Y807" s="3"/>
      <c r="Z807" s="3"/>
      <c r="AA807" s="3"/>
      <c r="AB807" s="5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7"/>
      <c r="AV807" s="7"/>
      <c r="AW807" s="7"/>
      <c r="AX807" s="7"/>
      <c r="AY807" s="8"/>
      <c r="AZ807" s="3"/>
      <c r="BA807" s="3"/>
      <c r="BB807" s="3"/>
      <c r="BC807" s="3"/>
    </row>
    <row r="808" spans="1:55" x14ac:dyDescent="0.25">
      <c r="A808" s="2"/>
      <c r="D808" s="3"/>
      <c r="E808" s="4"/>
      <c r="F808" s="5"/>
      <c r="G808" s="5"/>
      <c r="J808" s="3"/>
      <c r="K808" s="3"/>
      <c r="L808" s="6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5"/>
      <c r="Y808" s="3"/>
      <c r="Z808" s="3"/>
      <c r="AA808" s="3"/>
      <c r="AB808" s="5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7"/>
      <c r="AV808" s="7"/>
      <c r="AW808" s="7"/>
      <c r="AX808" s="7"/>
      <c r="AY808" s="8"/>
      <c r="AZ808" s="3"/>
      <c r="BA808" s="3"/>
      <c r="BB808" s="3"/>
      <c r="BC808" s="3"/>
    </row>
    <row r="809" spans="1:55" x14ac:dyDescent="0.25">
      <c r="A809" s="2"/>
      <c r="D809" s="3"/>
      <c r="E809" s="4"/>
      <c r="F809" s="5"/>
      <c r="G809" s="5"/>
      <c r="J809" s="3"/>
      <c r="K809" s="3"/>
      <c r="L809" s="6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5"/>
      <c r="Y809" s="3"/>
      <c r="Z809" s="3"/>
      <c r="AA809" s="3"/>
      <c r="AB809" s="5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7"/>
      <c r="AV809" s="7"/>
      <c r="AW809" s="7"/>
      <c r="AX809" s="7"/>
      <c r="AY809" s="8"/>
      <c r="AZ809" s="3"/>
      <c r="BA809" s="3"/>
      <c r="BB809" s="3"/>
      <c r="BC809" s="3"/>
    </row>
    <row r="810" spans="1:55" x14ac:dyDescent="0.25">
      <c r="A810" s="2"/>
      <c r="D810" s="3"/>
      <c r="E810" s="4"/>
      <c r="F810" s="5"/>
      <c r="G810" s="5"/>
      <c r="J810" s="3"/>
      <c r="K810" s="3"/>
      <c r="L810" s="6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5"/>
      <c r="Y810" s="3"/>
      <c r="Z810" s="3"/>
      <c r="AA810" s="3"/>
      <c r="AB810" s="5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7"/>
      <c r="AV810" s="7"/>
      <c r="AW810" s="7"/>
      <c r="AX810" s="7"/>
      <c r="AY810" s="8"/>
      <c r="AZ810" s="3"/>
      <c r="BA810" s="3"/>
      <c r="BB810" s="3"/>
      <c r="BC810" s="3"/>
    </row>
    <row r="811" spans="1:55" x14ac:dyDescent="0.25">
      <c r="A811" s="2"/>
      <c r="D811" s="3"/>
      <c r="E811" s="4"/>
      <c r="F811" s="5"/>
      <c r="G811" s="5"/>
      <c r="J811" s="3"/>
      <c r="K811" s="3"/>
      <c r="L811" s="6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5"/>
      <c r="Y811" s="3"/>
      <c r="Z811" s="3"/>
      <c r="AA811" s="3"/>
      <c r="AB811" s="5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7"/>
      <c r="AV811" s="7"/>
      <c r="AW811" s="7"/>
      <c r="AX811" s="7"/>
      <c r="AY811" s="8"/>
      <c r="AZ811" s="3"/>
      <c r="BA811" s="3"/>
      <c r="BB811" s="3"/>
      <c r="BC811" s="3"/>
    </row>
    <row r="812" spans="1:55" x14ac:dyDescent="0.25">
      <c r="A812" s="2"/>
      <c r="D812" s="3"/>
      <c r="E812" s="4"/>
      <c r="F812" s="5"/>
      <c r="G812" s="5"/>
      <c r="J812" s="3"/>
      <c r="K812" s="3"/>
      <c r="L812" s="6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5"/>
      <c r="Y812" s="3"/>
      <c r="Z812" s="3"/>
      <c r="AA812" s="3"/>
      <c r="AB812" s="5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7"/>
      <c r="AV812" s="7"/>
      <c r="AW812" s="7"/>
      <c r="AX812" s="7"/>
      <c r="AY812" s="8"/>
      <c r="AZ812" s="3"/>
      <c r="BA812" s="3"/>
      <c r="BB812" s="3"/>
      <c r="BC812" s="3"/>
    </row>
    <row r="813" spans="1:55" x14ac:dyDescent="0.25">
      <c r="A813" s="2"/>
      <c r="D813" s="3"/>
      <c r="E813" s="4"/>
      <c r="F813" s="5"/>
      <c r="G813" s="5"/>
      <c r="J813" s="3"/>
      <c r="K813" s="3"/>
      <c r="L813" s="6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5"/>
      <c r="Y813" s="3"/>
      <c r="Z813" s="3"/>
      <c r="AA813" s="3"/>
      <c r="AB813" s="5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7"/>
      <c r="AV813" s="7"/>
      <c r="AW813" s="7"/>
      <c r="AX813" s="7"/>
      <c r="AY813" s="8"/>
      <c r="AZ813" s="3"/>
      <c r="BA813" s="3"/>
      <c r="BB813" s="3"/>
      <c r="BC813" s="3"/>
    </row>
    <row r="814" spans="1:55" x14ac:dyDescent="0.25">
      <c r="A814" s="2"/>
      <c r="D814" s="3"/>
      <c r="E814" s="4"/>
      <c r="F814" s="5"/>
      <c r="G814" s="5"/>
      <c r="J814" s="3"/>
      <c r="K814" s="3"/>
      <c r="L814" s="6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5"/>
      <c r="Y814" s="3"/>
      <c r="Z814" s="3"/>
      <c r="AA814" s="3"/>
      <c r="AB814" s="5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7"/>
      <c r="AV814" s="7"/>
      <c r="AW814" s="7"/>
      <c r="AX814" s="7"/>
      <c r="AY814" s="8"/>
      <c r="AZ814" s="3"/>
      <c r="BA814" s="3"/>
      <c r="BB814" s="3"/>
      <c r="BC814" s="3"/>
    </row>
    <row r="815" spans="1:55" x14ac:dyDescent="0.25">
      <c r="A815" s="2"/>
      <c r="D815" s="3"/>
      <c r="E815" s="4"/>
      <c r="F815" s="5"/>
      <c r="G815" s="5"/>
      <c r="J815" s="3"/>
      <c r="K815" s="3"/>
      <c r="L815" s="6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5"/>
      <c r="Y815" s="3"/>
      <c r="Z815" s="3"/>
      <c r="AA815" s="3"/>
      <c r="AB815" s="5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7"/>
      <c r="AV815" s="7"/>
      <c r="AW815" s="7"/>
      <c r="AX815" s="7"/>
      <c r="AY815" s="8"/>
      <c r="AZ815" s="3"/>
      <c r="BA815" s="3"/>
      <c r="BB815" s="3"/>
      <c r="BC815" s="3"/>
    </row>
    <row r="816" spans="1:55" x14ac:dyDescent="0.25">
      <c r="A816" s="2"/>
      <c r="D816" s="3"/>
      <c r="E816" s="4"/>
      <c r="F816" s="5"/>
      <c r="G816" s="5"/>
      <c r="J816" s="3"/>
      <c r="K816" s="3"/>
      <c r="L816" s="6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5"/>
      <c r="Y816" s="3"/>
      <c r="Z816" s="3"/>
      <c r="AA816" s="3"/>
      <c r="AB816" s="5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7"/>
      <c r="AV816" s="7"/>
      <c r="AW816" s="7"/>
      <c r="AX816" s="7"/>
      <c r="AY816" s="8"/>
      <c r="AZ816" s="3"/>
      <c r="BA816" s="3"/>
      <c r="BB816" s="3"/>
      <c r="BC816" s="3"/>
    </row>
    <row r="817" spans="1:55" x14ac:dyDescent="0.25">
      <c r="A817" s="2"/>
      <c r="D817" s="3"/>
      <c r="E817" s="4"/>
      <c r="F817" s="5"/>
      <c r="G817" s="5"/>
      <c r="J817" s="3"/>
      <c r="K817" s="3"/>
      <c r="L817" s="6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5"/>
      <c r="Y817" s="3"/>
      <c r="Z817" s="3"/>
      <c r="AA817" s="3"/>
      <c r="AB817" s="5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7"/>
      <c r="AV817" s="7"/>
      <c r="AW817" s="7"/>
      <c r="AX817" s="7"/>
      <c r="AY817" s="8"/>
      <c r="AZ817" s="3"/>
      <c r="BA817" s="3"/>
      <c r="BB817" s="3"/>
      <c r="BC817" s="3"/>
    </row>
    <row r="818" spans="1:55" x14ac:dyDescent="0.25">
      <c r="A818" s="2"/>
      <c r="D818" s="3"/>
      <c r="E818" s="4"/>
      <c r="F818" s="5"/>
      <c r="G818" s="5"/>
      <c r="J818" s="3"/>
      <c r="K818" s="3"/>
      <c r="L818" s="6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5"/>
      <c r="Y818" s="3"/>
      <c r="Z818" s="3"/>
      <c r="AA818" s="3"/>
      <c r="AB818" s="5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7"/>
      <c r="AV818" s="7"/>
      <c r="AW818" s="7"/>
      <c r="AX818" s="7"/>
      <c r="AY818" s="8"/>
      <c r="AZ818" s="3"/>
      <c r="BA818" s="3"/>
      <c r="BB818" s="3"/>
      <c r="BC818" s="3"/>
    </row>
    <row r="819" spans="1:55" x14ac:dyDescent="0.25">
      <c r="A819" s="2"/>
      <c r="D819" s="3"/>
      <c r="E819" s="4"/>
      <c r="F819" s="5"/>
      <c r="G819" s="5"/>
      <c r="J819" s="3"/>
      <c r="K819" s="3"/>
      <c r="L819" s="6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5"/>
      <c r="Y819" s="3"/>
      <c r="Z819" s="3"/>
      <c r="AA819" s="3"/>
      <c r="AB819" s="5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7"/>
      <c r="AV819" s="7"/>
      <c r="AW819" s="7"/>
      <c r="AX819" s="7"/>
      <c r="AY819" s="8"/>
      <c r="AZ819" s="3"/>
      <c r="BA819" s="3"/>
      <c r="BB819" s="3"/>
      <c r="BC819" s="3"/>
    </row>
    <row r="820" spans="1:55" x14ac:dyDescent="0.25">
      <c r="A820" s="2"/>
      <c r="D820" s="3"/>
      <c r="E820" s="4"/>
      <c r="F820" s="5"/>
      <c r="G820" s="5"/>
      <c r="J820" s="3"/>
      <c r="K820" s="3"/>
      <c r="L820" s="6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5"/>
      <c r="Y820" s="3"/>
      <c r="Z820" s="3"/>
      <c r="AA820" s="3"/>
      <c r="AB820" s="5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7"/>
      <c r="AV820" s="7"/>
      <c r="AW820" s="7"/>
      <c r="AX820" s="7"/>
      <c r="AY820" s="8"/>
      <c r="AZ820" s="3"/>
      <c r="BA820" s="3"/>
      <c r="BB820" s="3"/>
      <c r="BC820" s="3"/>
    </row>
    <row r="821" spans="1:55" x14ac:dyDescent="0.25">
      <c r="A821" s="2"/>
      <c r="D821" s="3"/>
      <c r="E821" s="4"/>
      <c r="F821" s="5"/>
      <c r="G821" s="5"/>
      <c r="J821" s="3"/>
      <c r="K821" s="3"/>
      <c r="L821" s="6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5"/>
      <c r="Y821" s="3"/>
      <c r="Z821" s="3"/>
      <c r="AA821" s="3"/>
      <c r="AB821" s="5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7"/>
      <c r="AV821" s="7"/>
      <c r="AW821" s="7"/>
      <c r="AX821" s="7"/>
      <c r="AY821" s="8"/>
      <c r="AZ821" s="3"/>
      <c r="BA821" s="3"/>
      <c r="BB821" s="3"/>
      <c r="BC821" s="3"/>
    </row>
    <row r="822" spans="1:55" x14ac:dyDescent="0.25">
      <c r="A822" s="2"/>
      <c r="D822" s="3"/>
      <c r="E822" s="4"/>
      <c r="F822" s="5"/>
      <c r="G822" s="5"/>
      <c r="J822" s="3"/>
      <c r="K822" s="3"/>
      <c r="L822" s="6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5"/>
      <c r="Y822" s="3"/>
      <c r="Z822" s="3"/>
      <c r="AA822" s="3"/>
      <c r="AB822" s="5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7"/>
      <c r="AV822" s="7"/>
      <c r="AW822" s="7"/>
      <c r="AX822" s="7"/>
      <c r="AY822" s="8"/>
      <c r="AZ822" s="3"/>
      <c r="BA822" s="3"/>
      <c r="BB822" s="3"/>
      <c r="BC822" s="3"/>
    </row>
    <row r="823" spans="1:55" x14ac:dyDescent="0.25">
      <c r="A823" s="2"/>
      <c r="D823" s="3"/>
      <c r="E823" s="4"/>
      <c r="F823" s="5"/>
      <c r="G823" s="5"/>
      <c r="J823" s="3"/>
      <c r="K823" s="3"/>
      <c r="L823" s="6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5"/>
      <c r="Y823" s="3"/>
      <c r="Z823" s="3"/>
      <c r="AA823" s="3"/>
      <c r="AB823" s="5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7"/>
      <c r="AV823" s="7"/>
      <c r="AW823" s="7"/>
      <c r="AX823" s="7"/>
      <c r="AY823" s="8"/>
      <c r="AZ823" s="3"/>
      <c r="BA823" s="3"/>
      <c r="BB823" s="3"/>
      <c r="BC823" s="3"/>
    </row>
    <row r="824" spans="1:55" x14ac:dyDescent="0.25">
      <c r="A824" s="2"/>
      <c r="D824" s="3"/>
      <c r="E824" s="4"/>
      <c r="F824" s="5"/>
      <c r="G824" s="5"/>
      <c r="J824" s="3"/>
      <c r="K824" s="3"/>
      <c r="L824" s="6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5"/>
      <c r="Y824" s="3"/>
      <c r="Z824" s="3"/>
      <c r="AA824" s="3"/>
      <c r="AB824" s="5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7"/>
      <c r="AV824" s="7"/>
      <c r="AW824" s="7"/>
      <c r="AX824" s="7"/>
      <c r="AY824" s="8"/>
      <c r="AZ824" s="3"/>
      <c r="BA824" s="3"/>
      <c r="BB824" s="3"/>
      <c r="BC824" s="3"/>
    </row>
    <row r="825" spans="1:55" x14ac:dyDescent="0.25">
      <c r="A825" s="2"/>
      <c r="D825" s="3"/>
      <c r="E825" s="4"/>
      <c r="F825" s="5"/>
      <c r="G825" s="5"/>
      <c r="J825" s="3"/>
      <c r="K825" s="3"/>
      <c r="L825" s="6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5"/>
      <c r="Y825" s="3"/>
      <c r="Z825" s="3"/>
      <c r="AA825" s="3"/>
      <c r="AB825" s="5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7"/>
      <c r="AV825" s="7"/>
      <c r="AW825" s="7"/>
      <c r="AX825" s="7"/>
      <c r="AY825" s="8"/>
      <c r="AZ825" s="3"/>
      <c r="BA825" s="3"/>
      <c r="BB825" s="3"/>
      <c r="BC825" s="3"/>
    </row>
    <row r="826" spans="1:55" x14ac:dyDescent="0.25">
      <c r="A826" s="2"/>
      <c r="D826" s="3"/>
      <c r="E826" s="4"/>
      <c r="F826" s="5"/>
      <c r="G826" s="5"/>
      <c r="J826" s="3"/>
      <c r="K826" s="3"/>
      <c r="L826" s="6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5"/>
      <c r="Y826" s="3"/>
      <c r="Z826" s="3"/>
      <c r="AA826" s="3"/>
      <c r="AB826" s="5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7"/>
      <c r="AV826" s="7"/>
      <c r="AW826" s="7"/>
      <c r="AX826" s="7"/>
      <c r="AY826" s="8"/>
      <c r="AZ826" s="3"/>
      <c r="BA826" s="3"/>
      <c r="BB826" s="3"/>
      <c r="BC826" s="3"/>
    </row>
    <row r="827" spans="1:55" x14ac:dyDescent="0.25">
      <c r="A827" s="2"/>
      <c r="D827" s="3"/>
      <c r="E827" s="4"/>
      <c r="F827" s="5"/>
      <c r="G827" s="5"/>
      <c r="J827" s="3"/>
      <c r="K827" s="3"/>
      <c r="L827" s="6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5"/>
      <c r="Y827" s="3"/>
      <c r="Z827" s="3"/>
      <c r="AA827" s="3"/>
      <c r="AB827" s="5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7"/>
      <c r="AV827" s="7"/>
      <c r="AW827" s="7"/>
      <c r="AX827" s="7"/>
      <c r="AY827" s="8"/>
      <c r="AZ827" s="3"/>
      <c r="BA827" s="3"/>
      <c r="BB827" s="3"/>
      <c r="BC827" s="3"/>
    </row>
    <row r="828" spans="1:55" x14ac:dyDescent="0.25">
      <c r="A828" s="2"/>
      <c r="D828" s="3"/>
      <c r="E828" s="4"/>
      <c r="F828" s="5"/>
      <c r="G828" s="5"/>
      <c r="J828" s="3"/>
      <c r="K828" s="3"/>
      <c r="L828" s="6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5"/>
      <c r="Y828" s="3"/>
      <c r="Z828" s="3"/>
      <c r="AA828" s="3"/>
      <c r="AB828" s="5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7"/>
      <c r="AV828" s="7"/>
      <c r="AW828" s="7"/>
      <c r="AX828" s="7"/>
      <c r="AY828" s="8"/>
      <c r="AZ828" s="3"/>
      <c r="BA828" s="3"/>
      <c r="BB828" s="3"/>
      <c r="BC828" s="3"/>
    </row>
    <row r="829" spans="1:55" x14ac:dyDescent="0.25">
      <c r="A829" s="2"/>
      <c r="D829" s="3"/>
      <c r="E829" s="4"/>
      <c r="F829" s="5"/>
      <c r="G829" s="5"/>
      <c r="J829" s="3"/>
      <c r="K829" s="3"/>
      <c r="L829" s="6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5"/>
      <c r="Y829" s="3"/>
      <c r="Z829" s="3"/>
      <c r="AA829" s="3"/>
      <c r="AB829" s="5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7"/>
      <c r="AV829" s="7"/>
      <c r="AW829" s="7"/>
      <c r="AX829" s="7"/>
      <c r="AY829" s="8"/>
      <c r="AZ829" s="3"/>
      <c r="BA829" s="3"/>
      <c r="BB829" s="3"/>
      <c r="BC829" s="3"/>
    </row>
    <row r="830" spans="1:55" x14ac:dyDescent="0.25">
      <c r="A830" s="2"/>
      <c r="D830" s="3"/>
      <c r="E830" s="4"/>
      <c r="F830" s="5"/>
      <c r="G830" s="5"/>
      <c r="J830" s="3"/>
      <c r="K830" s="3"/>
      <c r="L830" s="6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5"/>
      <c r="Y830" s="3"/>
      <c r="Z830" s="3"/>
      <c r="AA830" s="3"/>
      <c r="AB830" s="5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7"/>
      <c r="AV830" s="7"/>
      <c r="AW830" s="7"/>
      <c r="AX830" s="7"/>
      <c r="AY830" s="8"/>
      <c r="AZ830" s="3"/>
      <c r="BA830" s="3"/>
      <c r="BB830" s="3"/>
      <c r="BC830" s="3"/>
    </row>
    <row r="831" spans="1:55" x14ac:dyDescent="0.25">
      <c r="A831" s="2"/>
      <c r="D831" s="3"/>
      <c r="E831" s="4"/>
      <c r="F831" s="5"/>
      <c r="G831" s="5"/>
      <c r="J831" s="3"/>
      <c r="K831" s="3"/>
      <c r="L831" s="6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5"/>
      <c r="Y831" s="3"/>
      <c r="Z831" s="3"/>
      <c r="AA831" s="3"/>
      <c r="AB831" s="5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7"/>
      <c r="AV831" s="7"/>
      <c r="AW831" s="7"/>
      <c r="AX831" s="7"/>
      <c r="AY831" s="8"/>
      <c r="AZ831" s="3"/>
      <c r="BA831" s="3"/>
      <c r="BB831" s="3"/>
      <c r="BC831" s="3"/>
    </row>
    <row r="832" spans="1:55" x14ac:dyDescent="0.25">
      <c r="A832" s="2"/>
      <c r="D832" s="3"/>
      <c r="E832" s="4"/>
      <c r="F832" s="5"/>
      <c r="G832" s="5"/>
      <c r="J832" s="3"/>
      <c r="K832" s="3"/>
      <c r="L832" s="6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5"/>
      <c r="Y832" s="3"/>
      <c r="Z832" s="3"/>
      <c r="AA832" s="3"/>
      <c r="AB832" s="5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7"/>
      <c r="AV832" s="7"/>
      <c r="AW832" s="7"/>
      <c r="AX832" s="7"/>
      <c r="AY832" s="8"/>
      <c r="AZ832" s="3"/>
      <c r="BA832" s="3"/>
      <c r="BB832" s="3"/>
      <c r="BC832" s="3"/>
    </row>
    <row r="833" spans="1:55" x14ac:dyDescent="0.25">
      <c r="A833" s="2"/>
      <c r="D833" s="3"/>
      <c r="E833" s="4"/>
      <c r="F833" s="5"/>
      <c r="G833" s="5"/>
      <c r="J833" s="3"/>
      <c r="K833" s="3"/>
      <c r="L833" s="6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5"/>
      <c r="Y833" s="3"/>
      <c r="Z833" s="3"/>
      <c r="AA833" s="3"/>
      <c r="AB833" s="5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7"/>
      <c r="AV833" s="7"/>
      <c r="AW833" s="7"/>
      <c r="AX833" s="7"/>
      <c r="AY833" s="8"/>
      <c r="AZ833" s="3"/>
      <c r="BA833" s="3"/>
      <c r="BB833" s="3"/>
      <c r="BC833" s="3"/>
    </row>
    <row r="834" spans="1:55" x14ac:dyDescent="0.25">
      <c r="A834" s="2"/>
      <c r="D834" s="3"/>
      <c r="E834" s="4"/>
      <c r="F834" s="5"/>
      <c r="G834" s="5"/>
      <c r="J834" s="3"/>
      <c r="K834" s="3"/>
      <c r="L834" s="6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5"/>
      <c r="Y834" s="3"/>
      <c r="Z834" s="3"/>
      <c r="AA834" s="3"/>
      <c r="AB834" s="5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7"/>
      <c r="AV834" s="7"/>
      <c r="AW834" s="7"/>
      <c r="AX834" s="7"/>
      <c r="AY834" s="8"/>
      <c r="AZ834" s="3"/>
      <c r="BA834" s="3"/>
      <c r="BB834" s="3"/>
      <c r="BC834" s="3"/>
    </row>
    <row r="835" spans="1:55" x14ac:dyDescent="0.25">
      <c r="A835" s="2"/>
      <c r="D835" s="3"/>
      <c r="E835" s="4"/>
      <c r="F835" s="5"/>
      <c r="G835" s="5"/>
      <c r="J835" s="3"/>
      <c r="K835" s="3"/>
      <c r="L835" s="6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5"/>
      <c r="Y835" s="3"/>
      <c r="Z835" s="3"/>
      <c r="AA835" s="3"/>
      <c r="AB835" s="5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7"/>
      <c r="AV835" s="7"/>
      <c r="AW835" s="7"/>
      <c r="AX835" s="7"/>
      <c r="AY835" s="8"/>
      <c r="AZ835" s="3"/>
      <c r="BA835" s="3"/>
      <c r="BB835" s="3"/>
      <c r="BC835" s="3"/>
    </row>
    <row r="836" spans="1:55" x14ac:dyDescent="0.25">
      <c r="A836" s="2"/>
      <c r="D836" s="3"/>
      <c r="E836" s="4"/>
      <c r="F836" s="5"/>
      <c r="G836" s="5"/>
      <c r="J836" s="3"/>
      <c r="K836" s="3"/>
      <c r="L836" s="6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5"/>
      <c r="Y836" s="3"/>
      <c r="Z836" s="3"/>
      <c r="AA836" s="3"/>
      <c r="AB836" s="5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7"/>
      <c r="AV836" s="7"/>
      <c r="AW836" s="7"/>
      <c r="AX836" s="7"/>
      <c r="AY836" s="8"/>
      <c r="AZ836" s="3"/>
      <c r="BA836" s="3"/>
      <c r="BB836" s="3"/>
      <c r="BC836" s="3"/>
    </row>
    <row r="837" spans="1:55" x14ac:dyDescent="0.25">
      <c r="A837" s="2"/>
      <c r="D837" s="3"/>
      <c r="E837" s="4"/>
      <c r="F837" s="5"/>
      <c r="G837" s="5"/>
      <c r="J837" s="3"/>
      <c r="K837" s="3"/>
      <c r="L837" s="6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5"/>
      <c r="Y837" s="3"/>
      <c r="Z837" s="3"/>
      <c r="AA837" s="3"/>
      <c r="AB837" s="5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7"/>
      <c r="AV837" s="7"/>
      <c r="AW837" s="7"/>
      <c r="AX837" s="7"/>
      <c r="AY837" s="8"/>
      <c r="AZ837" s="3"/>
      <c r="BA837" s="3"/>
      <c r="BB837" s="3"/>
      <c r="BC837" s="3"/>
    </row>
    <row r="838" spans="1:55" x14ac:dyDescent="0.25">
      <c r="A838" s="2"/>
      <c r="D838" s="3"/>
      <c r="E838" s="4"/>
      <c r="F838" s="5"/>
      <c r="G838" s="5"/>
      <c r="J838" s="3"/>
      <c r="K838" s="3"/>
      <c r="L838" s="6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5"/>
      <c r="Y838" s="3"/>
      <c r="Z838" s="3"/>
      <c r="AA838" s="3"/>
      <c r="AB838" s="5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7"/>
      <c r="AV838" s="7"/>
      <c r="AW838" s="7"/>
      <c r="AX838" s="7"/>
      <c r="AY838" s="8"/>
      <c r="AZ838" s="3"/>
      <c r="BA838" s="3"/>
      <c r="BB838" s="3"/>
      <c r="BC838" s="3"/>
    </row>
    <row r="839" spans="1:55" x14ac:dyDescent="0.25">
      <c r="A839" s="2"/>
      <c r="D839" s="3"/>
      <c r="E839" s="4"/>
      <c r="F839" s="5"/>
      <c r="G839" s="5"/>
      <c r="J839" s="3"/>
      <c r="K839" s="3"/>
      <c r="L839" s="6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5"/>
      <c r="Y839" s="3"/>
      <c r="Z839" s="3"/>
      <c r="AA839" s="3"/>
      <c r="AB839" s="5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7"/>
      <c r="AV839" s="7"/>
      <c r="AW839" s="7"/>
      <c r="AX839" s="7"/>
      <c r="AY839" s="8"/>
      <c r="AZ839" s="3"/>
      <c r="BA839" s="3"/>
      <c r="BB839" s="3"/>
      <c r="BC839" s="3"/>
    </row>
    <row r="840" spans="1:55" x14ac:dyDescent="0.25">
      <c r="A840" s="2"/>
      <c r="D840" s="3"/>
      <c r="E840" s="4"/>
      <c r="F840" s="5"/>
      <c r="G840" s="5"/>
      <c r="J840" s="3"/>
      <c r="K840" s="3"/>
      <c r="L840" s="6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5"/>
      <c r="Y840" s="3"/>
      <c r="Z840" s="3"/>
      <c r="AA840" s="3"/>
      <c r="AB840" s="5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7"/>
      <c r="AV840" s="7"/>
      <c r="AW840" s="7"/>
      <c r="AX840" s="7"/>
      <c r="AY840" s="8"/>
      <c r="AZ840" s="3"/>
      <c r="BA840" s="3"/>
      <c r="BB840" s="3"/>
      <c r="BC840" s="3"/>
    </row>
    <row r="841" spans="1:55" x14ac:dyDescent="0.25">
      <c r="A841" s="2"/>
      <c r="D841" s="3"/>
      <c r="E841" s="4"/>
      <c r="F841" s="5"/>
      <c r="G841" s="5"/>
      <c r="J841" s="3"/>
      <c r="K841" s="3"/>
      <c r="L841" s="6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5"/>
      <c r="Y841" s="3"/>
      <c r="Z841" s="3"/>
      <c r="AA841" s="3"/>
      <c r="AB841" s="5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7"/>
      <c r="AV841" s="7"/>
      <c r="AW841" s="7"/>
      <c r="AX841" s="7"/>
      <c r="AY841" s="8"/>
      <c r="AZ841" s="3"/>
      <c r="BA841" s="3"/>
      <c r="BB841" s="3"/>
      <c r="BC841" s="3"/>
    </row>
    <row r="842" spans="1:55" x14ac:dyDescent="0.25">
      <c r="A842" s="2"/>
      <c r="D842" s="3"/>
      <c r="E842" s="4"/>
      <c r="F842" s="5"/>
      <c r="G842" s="5"/>
      <c r="J842" s="3"/>
      <c r="K842" s="3"/>
      <c r="L842" s="6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5"/>
      <c r="Y842" s="3"/>
      <c r="Z842" s="3"/>
      <c r="AA842" s="3"/>
      <c r="AB842" s="5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7"/>
      <c r="AV842" s="7"/>
      <c r="AW842" s="7"/>
      <c r="AX842" s="7"/>
      <c r="AY842" s="8"/>
      <c r="AZ842" s="3"/>
      <c r="BA842" s="3"/>
      <c r="BB842" s="3"/>
      <c r="BC842" s="3"/>
    </row>
    <row r="843" spans="1:55" x14ac:dyDescent="0.25">
      <c r="A843" s="2"/>
      <c r="D843" s="3"/>
      <c r="E843" s="4"/>
      <c r="F843" s="5"/>
      <c r="G843" s="5"/>
      <c r="J843" s="3"/>
      <c r="K843" s="3"/>
      <c r="L843" s="6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5"/>
      <c r="Y843" s="3"/>
      <c r="Z843" s="3"/>
      <c r="AA843" s="3"/>
      <c r="AB843" s="5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7"/>
      <c r="AV843" s="7"/>
      <c r="AW843" s="7"/>
      <c r="AX843" s="7"/>
      <c r="AY843" s="8"/>
      <c r="AZ843" s="3"/>
      <c r="BA843" s="3"/>
      <c r="BB843" s="3"/>
      <c r="BC843" s="3"/>
    </row>
    <row r="844" spans="1:55" x14ac:dyDescent="0.25">
      <c r="A844" s="2"/>
      <c r="D844" s="3"/>
      <c r="E844" s="4"/>
      <c r="F844" s="5"/>
      <c r="G844" s="5"/>
      <c r="J844" s="3"/>
      <c r="K844" s="3"/>
      <c r="L844" s="6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5"/>
      <c r="Y844" s="3"/>
      <c r="Z844" s="3"/>
      <c r="AA844" s="3"/>
      <c r="AB844" s="5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7"/>
      <c r="AV844" s="7"/>
      <c r="AW844" s="7"/>
      <c r="AX844" s="7"/>
      <c r="AY844" s="8"/>
      <c r="AZ844" s="3"/>
      <c r="BA844" s="3"/>
      <c r="BB844" s="3"/>
      <c r="BC844" s="3"/>
    </row>
    <row r="845" spans="1:55" x14ac:dyDescent="0.25">
      <c r="A845" s="2"/>
      <c r="D845" s="3"/>
      <c r="E845" s="4"/>
      <c r="F845" s="5"/>
      <c r="G845" s="5"/>
      <c r="J845" s="3"/>
      <c r="K845" s="3"/>
      <c r="L845" s="6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5"/>
      <c r="Y845" s="3"/>
      <c r="Z845" s="3"/>
      <c r="AA845" s="3"/>
      <c r="AB845" s="5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7"/>
      <c r="AV845" s="7"/>
      <c r="AW845" s="7"/>
      <c r="AX845" s="7"/>
      <c r="AY845" s="8"/>
      <c r="AZ845" s="3"/>
      <c r="BA845" s="3"/>
      <c r="BB845" s="3"/>
      <c r="BC845" s="3"/>
    </row>
    <row r="846" spans="1:55" x14ac:dyDescent="0.25">
      <c r="A846" s="2"/>
      <c r="D846" s="3"/>
      <c r="E846" s="4"/>
      <c r="F846" s="5"/>
      <c r="G846" s="5"/>
      <c r="J846" s="3"/>
      <c r="K846" s="3"/>
      <c r="L846" s="6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5"/>
      <c r="Y846" s="3"/>
      <c r="Z846" s="3"/>
      <c r="AA846" s="3"/>
      <c r="AB846" s="5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7"/>
      <c r="AV846" s="7"/>
      <c r="AW846" s="7"/>
      <c r="AX846" s="7"/>
      <c r="AY846" s="8"/>
      <c r="AZ846" s="3"/>
      <c r="BA846" s="3"/>
      <c r="BB846" s="3"/>
      <c r="BC846" s="3"/>
    </row>
    <row r="847" spans="1:55" x14ac:dyDescent="0.25">
      <c r="A847" s="2"/>
      <c r="D847" s="3"/>
      <c r="E847" s="4"/>
      <c r="F847" s="5"/>
      <c r="G847" s="5"/>
      <c r="J847" s="3"/>
      <c r="K847" s="3"/>
      <c r="L847" s="6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5"/>
      <c r="Y847" s="3"/>
      <c r="Z847" s="3"/>
      <c r="AA847" s="3"/>
      <c r="AB847" s="5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7"/>
      <c r="AV847" s="7"/>
      <c r="AW847" s="7"/>
      <c r="AX847" s="7"/>
      <c r="AY847" s="8"/>
      <c r="AZ847" s="3"/>
      <c r="BA847" s="3"/>
      <c r="BB847" s="3"/>
      <c r="BC847" s="3"/>
    </row>
    <row r="848" spans="1:55" x14ac:dyDescent="0.25">
      <c r="A848" s="2"/>
      <c r="D848" s="3"/>
      <c r="E848" s="4"/>
      <c r="F848" s="5"/>
      <c r="G848" s="5"/>
      <c r="J848" s="3"/>
      <c r="K848" s="3"/>
      <c r="L848" s="6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5"/>
      <c r="Y848" s="3"/>
      <c r="Z848" s="3"/>
      <c r="AA848" s="3"/>
      <c r="AB848" s="5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7"/>
      <c r="AV848" s="7"/>
      <c r="AW848" s="7"/>
      <c r="AX848" s="7"/>
      <c r="AY848" s="8"/>
      <c r="AZ848" s="3"/>
      <c r="BA848" s="3"/>
      <c r="BB848" s="3"/>
      <c r="BC848" s="3"/>
    </row>
    <row r="849" spans="1:55" x14ac:dyDescent="0.25">
      <c r="A849" s="2"/>
      <c r="D849" s="3"/>
      <c r="E849" s="4"/>
      <c r="F849" s="5"/>
      <c r="G849" s="5"/>
      <c r="J849" s="3"/>
      <c r="K849" s="3"/>
      <c r="L849" s="6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5"/>
      <c r="Y849" s="3"/>
      <c r="Z849" s="3"/>
      <c r="AA849" s="3"/>
      <c r="AB849" s="5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7"/>
      <c r="AV849" s="7"/>
      <c r="AW849" s="7"/>
      <c r="AX849" s="7"/>
      <c r="AY849" s="8"/>
      <c r="AZ849" s="3"/>
      <c r="BA849" s="3"/>
      <c r="BB849" s="3"/>
      <c r="BC849" s="3"/>
    </row>
    <row r="850" spans="1:55" x14ac:dyDescent="0.25">
      <c r="A850" s="2"/>
      <c r="D850" s="3"/>
      <c r="E850" s="4"/>
      <c r="F850" s="5"/>
      <c r="G850" s="5"/>
      <c r="J850" s="3"/>
      <c r="K850" s="3"/>
      <c r="L850" s="6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5"/>
      <c r="Y850" s="3"/>
      <c r="Z850" s="3"/>
      <c r="AA850" s="3"/>
      <c r="AB850" s="5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7"/>
      <c r="AV850" s="7"/>
      <c r="AW850" s="7"/>
      <c r="AX850" s="7"/>
      <c r="AY850" s="8"/>
      <c r="AZ850" s="3"/>
      <c r="BA850" s="3"/>
      <c r="BB850" s="3"/>
      <c r="BC850" s="3"/>
    </row>
    <row r="851" spans="1:55" x14ac:dyDescent="0.25">
      <c r="A851" s="2"/>
      <c r="D851" s="3"/>
      <c r="E851" s="4"/>
      <c r="F851" s="5"/>
      <c r="G851" s="5"/>
      <c r="J851" s="3"/>
      <c r="K851" s="3"/>
      <c r="L851" s="6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5"/>
      <c r="Y851" s="3"/>
      <c r="Z851" s="3"/>
      <c r="AA851" s="3"/>
      <c r="AB851" s="5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7"/>
      <c r="AV851" s="7"/>
      <c r="AW851" s="7"/>
      <c r="AX851" s="7"/>
      <c r="AY851" s="8"/>
      <c r="AZ851" s="3"/>
      <c r="BA851" s="3"/>
      <c r="BB851" s="3"/>
      <c r="BC851" s="3"/>
    </row>
    <row r="852" spans="1:55" x14ac:dyDescent="0.25">
      <c r="A852" s="2"/>
      <c r="D852" s="3"/>
      <c r="E852" s="4"/>
      <c r="F852" s="5"/>
      <c r="G852" s="5"/>
      <c r="J852" s="3"/>
      <c r="K852" s="3"/>
      <c r="L852" s="6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5"/>
      <c r="Y852" s="3"/>
      <c r="Z852" s="3"/>
      <c r="AA852" s="3"/>
      <c r="AB852" s="5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7"/>
      <c r="AV852" s="7"/>
      <c r="AW852" s="7"/>
      <c r="AX852" s="7"/>
      <c r="AY852" s="8"/>
      <c r="AZ852" s="3"/>
      <c r="BA852" s="3"/>
      <c r="BB852" s="3"/>
      <c r="BC852" s="3"/>
    </row>
    <row r="853" spans="1:55" x14ac:dyDescent="0.25">
      <c r="A853" s="2"/>
      <c r="D853" s="3"/>
      <c r="E853" s="4"/>
      <c r="F853" s="5"/>
      <c r="G853" s="5"/>
      <c r="J853" s="3"/>
      <c r="K853" s="3"/>
      <c r="L853" s="6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5"/>
      <c r="Y853" s="3"/>
      <c r="Z853" s="3"/>
      <c r="AA853" s="3"/>
      <c r="AB853" s="5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7"/>
      <c r="AV853" s="7"/>
      <c r="AW853" s="7"/>
      <c r="AX853" s="7"/>
      <c r="AY853" s="8"/>
      <c r="AZ853" s="3"/>
      <c r="BA853" s="3"/>
      <c r="BB853" s="3"/>
      <c r="BC853" s="3"/>
    </row>
    <row r="854" spans="1:55" x14ac:dyDescent="0.25">
      <c r="A854" s="2"/>
      <c r="D854" s="3"/>
      <c r="E854" s="4"/>
      <c r="F854" s="5"/>
      <c r="G854" s="5"/>
      <c r="J854" s="3"/>
      <c r="K854" s="3"/>
      <c r="L854" s="6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5"/>
      <c r="Y854" s="3"/>
      <c r="Z854" s="3"/>
      <c r="AA854" s="3"/>
      <c r="AB854" s="5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7"/>
      <c r="AV854" s="7"/>
      <c r="AW854" s="7"/>
      <c r="AX854" s="7"/>
      <c r="AY854" s="8"/>
      <c r="AZ854" s="3"/>
      <c r="BA854" s="3"/>
      <c r="BB854" s="3"/>
      <c r="BC854" s="3"/>
    </row>
    <row r="855" spans="1:55" x14ac:dyDescent="0.25">
      <c r="A855" s="2"/>
      <c r="D855" s="3"/>
      <c r="E855" s="4"/>
      <c r="F855" s="5"/>
      <c r="G855" s="5"/>
      <c r="J855" s="3"/>
      <c r="K855" s="3"/>
      <c r="L855" s="6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5"/>
      <c r="Y855" s="3"/>
      <c r="Z855" s="3"/>
      <c r="AA855" s="3"/>
      <c r="AB855" s="5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7"/>
      <c r="AV855" s="7"/>
      <c r="AW855" s="7"/>
      <c r="AX855" s="7"/>
      <c r="AY855" s="8"/>
      <c r="AZ855" s="3"/>
      <c r="BA855" s="3"/>
      <c r="BB855" s="3"/>
      <c r="BC855" s="3"/>
    </row>
    <row r="856" spans="1:55" x14ac:dyDescent="0.25">
      <c r="A856" s="2"/>
      <c r="D856" s="3"/>
      <c r="E856" s="4"/>
      <c r="F856" s="5"/>
      <c r="G856" s="5"/>
      <c r="J856" s="3"/>
      <c r="K856" s="3"/>
      <c r="L856" s="6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5"/>
      <c r="Y856" s="3"/>
      <c r="Z856" s="3"/>
      <c r="AA856" s="3"/>
      <c r="AB856" s="5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7"/>
      <c r="AV856" s="7"/>
      <c r="AW856" s="7"/>
      <c r="AX856" s="7"/>
      <c r="AY856" s="8"/>
      <c r="AZ856" s="3"/>
      <c r="BA856" s="3"/>
      <c r="BB856" s="3"/>
      <c r="BC856" s="3"/>
    </row>
    <row r="857" spans="1:55" x14ac:dyDescent="0.25">
      <c r="A857" s="2"/>
      <c r="D857" s="3"/>
      <c r="E857" s="4"/>
      <c r="F857" s="5"/>
      <c r="G857" s="5"/>
      <c r="J857" s="3"/>
      <c r="K857" s="3"/>
      <c r="L857" s="6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5"/>
      <c r="Y857" s="3"/>
      <c r="Z857" s="3"/>
      <c r="AA857" s="3"/>
      <c r="AB857" s="5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7"/>
      <c r="AV857" s="7"/>
      <c r="AW857" s="7"/>
      <c r="AX857" s="7"/>
      <c r="AY857" s="8"/>
      <c r="AZ857" s="3"/>
      <c r="BA857" s="3"/>
      <c r="BB857" s="3"/>
      <c r="BC857" s="3"/>
    </row>
    <row r="858" spans="1:55" x14ac:dyDescent="0.25">
      <c r="A858" s="2"/>
      <c r="D858" s="3"/>
      <c r="E858" s="4"/>
      <c r="F858" s="5"/>
      <c r="G858" s="5"/>
      <c r="J858" s="3"/>
      <c r="K858" s="3"/>
      <c r="L858" s="6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5"/>
      <c r="Y858" s="3"/>
      <c r="Z858" s="3"/>
      <c r="AA858" s="3"/>
      <c r="AB858" s="5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7"/>
      <c r="AV858" s="7"/>
      <c r="AW858" s="7"/>
      <c r="AX858" s="7"/>
      <c r="AY858" s="8"/>
      <c r="AZ858" s="3"/>
      <c r="BA858" s="3"/>
      <c r="BB858" s="3"/>
      <c r="BC858" s="3"/>
    </row>
    <row r="859" spans="1:55" x14ac:dyDescent="0.25">
      <c r="A859" s="2"/>
      <c r="D859" s="3"/>
      <c r="E859" s="4"/>
      <c r="F859" s="5"/>
      <c r="G859" s="5"/>
      <c r="J859" s="3"/>
      <c r="K859" s="3"/>
      <c r="L859" s="6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5"/>
      <c r="Y859" s="3"/>
      <c r="Z859" s="3"/>
      <c r="AA859" s="3"/>
      <c r="AB859" s="5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7"/>
      <c r="AV859" s="7"/>
      <c r="AW859" s="7"/>
      <c r="AX859" s="7"/>
      <c r="AY859" s="8"/>
      <c r="AZ859" s="3"/>
      <c r="BA859" s="3"/>
      <c r="BB859" s="3"/>
      <c r="BC859" s="3"/>
    </row>
    <row r="860" spans="1:55" x14ac:dyDescent="0.25">
      <c r="A860" s="2"/>
      <c r="D860" s="3"/>
      <c r="E860" s="4"/>
      <c r="F860" s="5"/>
      <c r="G860" s="5"/>
      <c r="J860" s="3"/>
      <c r="K860" s="3"/>
      <c r="L860" s="6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5"/>
      <c r="Y860" s="3"/>
      <c r="Z860" s="3"/>
      <c r="AA860" s="3"/>
      <c r="AB860" s="5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7"/>
      <c r="AV860" s="7"/>
      <c r="AW860" s="7"/>
      <c r="AX860" s="7"/>
      <c r="AY860" s="8"/>
      <c r="AZ860" s="3"/>
      <c r="BA860" s="3"/>
      <c r="BB860" s="3"/>
      <c r="BC860" s="3"/>
    </row>
    <row r="861" spans="1:55" x14ac:dyDescent="0.25">
      <c r="A861" s="2"/>
      <c r="D861" s="3"/>
      <c r="E861" s="4"/>
      <c r="F861" s="5"/>
      <c r="G861" s="5"/>
      <c r="J861" s="3"/>
      <c r="K861" s="3"/>
      <c r="L861" s="6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5"/>
      <c r="Y861" s="3"/>
      <c r="Z861" s="3"/>
      <c r="AA861" s="3"/>
      <c r="AB861" s="5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7"/>
      <c r="AV861" s="7"/>
      <c r="AW861" s="7"/>
      <c r="AX861" s="7"/>
      <c r="AY861" s="8"/>
      <c r="AZ861" s="3"/>
      <c r="BA861" s="3"/>
      <c r="BB861" s="3"/>
      <c r="BC861" s="3"/>
    </row>
    <row r="862" spans="1:55" x14ac:dyDescent="0.25">
      <c r="A862" s="2"/>
      <c r="D862" s="3"/>
      <c r="E862" s="4"/>
      <c r="F862" s="5"/>
      <c r="G862" s="5"/>
      <c r="J862" s="3"/>
      <c r="K862" s="3"/>
      <c r="L862" s="6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5"/>
      <c r="Y862" s="3"/>
      <c r="Z862" s="3"/>
      <c r="AA862" s="3"/>
      <c r="AB862" s="5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7"/>
      <c r="AV862" s="7"/>
      <c r="AW862" s="7"/>
      <c r="AX862" s="7"/>
      <c r="AY862" s="8"/>
      <c r="AZ862" s="3"/>
      <c r="BA862" s="3"/>
      <c r="BB862" s="3"/>
      <c r="BC862" s="3"/>
    </row>
    <row r="863" spans="1:55" x14ac:dyDescent="0.25">
      <c r="A863" s="2"/>
      <c r="D863" s="3"/>
      <c r="E863" s="4"/>
      <c r="F863" s="5"/>
      <c r="G863" s="5"/>
      <c r="J863" s="3"/>
      <c r="K863" s="3"/>
      <c r="L863" s="6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5"/>
      <c r="Y863" s="3"/>
      <c r="Z863" s="3"/>
      <c r="AA863" s="3"/>
      <c r="AB863" s="5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7"/>
      <c r="AV863" s="7"/>
      <c r="AW863" s="7"/>
      <c r="AX863" s="7"/>
      <c r="AY863" s="8"/>
      <c r="AZ863" s="3"/>
      <c r="BA863" s="3"/>
      <c r="BB863" s="3"/>
      <c r="BC863" s="3"/>
    </row>
    <row r="864" spans="1:55" x14ac:dyDescent="0.25">
      <c r="A864" s="2"/>
      <c r="D864" s="3"/>
      <c r="E864" s="4"/>
      <c r="F864" s="5"/>
      <c r="G864" s="5"/>
      <c r="J864" s="3"/>
      <c r="K864" s="3"/>
      <c r="L864" s="6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5"/>
      <c r="Y864" s="3"/>
      <c r="Z864" s="3"/>
      <c r="AA864" s="3"/>
      <c r="AB864" s="5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7"/>
      <c r="AV864" s="7"/>
      <c r="AW864" s="7"/>
      <c r="AX864" s="7"/>
      <c r="AY864" s="8"/>
      <c r="AZ864" s="3"/>
      <c r="BA864" s="3"/>
      <c r="BB864" s="3"/>
      <c r="BC864" s="3"/>
    </row>
    <row r="865" spans="1:55" x14ac:dyDescent="0.25">
      <c r="A865" s="2"/>
      <c r="D865" s="3"/>
      <c r="E865" s="4"/>
      <c r="F865" s="5"/>
      <c r="G865" s="5"/>
      <c r="J865" s="3"/>
      <c r="K865" s="3"/>
      <c r="L865" s="6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5"/>
      <c r="Y865" s="3"/>
      <c r="Z865" s="3"/>
      <c r="AA865" s="3"/>
      <c r="AB865" s="5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7"/>
      <c r="AV865" s="7"/>
      <c r="AW865" s="7"/>
      <c r="AX865" s="7"/>
      <c r="AY865" s="8"/>
      <c r="AZ865" s="3"/>
      <c r="BA865" s="3"/>
      <c r="BB865" s="3"/>
      <c r="BC865" s="3"/>
    </row>
    <row r="866" spans="1:55" x14ac:dyDescent="0.25">
      <c r="A866" s="2"/>
      <c r="D866" s="3"/>
      <c r="E866" s="4"/>
      <c r="F866" s="5"/>
      <c r="G866" s="5"/>
      <c r="J866" s="3"/>
      <c r="K866" s="3"/>
      <c r="L866" s="6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5"/>
      <c r="Y866" s="3"/>
      <c r="Z866" s="3"/>
      <c r="AA866" s="3"/>
      <c r="AB866" s="5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7"/>
      <c r="AV866" s="7"/>
      <c r="AW866" s="7"/>
      <c r="AX866" s="7"/>
      <c r="AY866" s="8"/>
      <c r="AZ866" s="3"/>
      <c r="BA866" s="3"/>
      <c r="BB866" s="3"/>
      <c r="BC866" s="3"/>
    </row>
    <row r="867" spans="1:55" x14ac:dyDescent="0.25">
      <c r="A867" s="2"/>
      <c r="D867" s="3"/>
      <c r="E867" s="4"/>
      <c r="F867" s="5"/>
      <c r="G867" s="5"/>
      <c r="J867" s="3"/>
      <c r="K867" s="3"/>
      <c r="L867" s="6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5"/>
      <c r="Y867" s="3"/>
      <c r="Z867" s="3"/>
      <c r="AA867" s="3"/>
      <c r="AB867" s="5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7"/>
      <c r="AV867" s="7"/>
      <c r="AW867" s="7"/>
      <c r="AX867" s="7"/>
      <c r="AY867" s="8"/>
      <c r="AZ867" s="3"/>
      <c r="BA867" s="3"/>
      <c r="BB867" s="3"/>
      <c r="BC867" s="3"/>
    </row>
    <row r="868" spans="1:55" x14ac:dyDescent="0.25">
      <c r="A868" s="2"/>
      <c r="D868" s="3"/>
      <c r="E868" s="4"/>
      <c r="F868" s="5"/>
      <c r="G868" s="5"/>
      <c r="J868" s="3"/>
      <c r="K868" s="3"/>
      <c r="L868" s="6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5"/>
      <c r="Y868" s="3"/>
      <c r="Z868" s="3"/>
      <c r="AA868" s="3"/>
      <c r="AB868" s="5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7"/>
      <c r="AV868" s="7"/>
      <c r="AW868" s="7"/>
      <c r="AX868" s="7"/>
      <c r="AY868" s="8"/>
      <c r="AZ868" s="3"/>
      <c r="BA868" s="3"/>
      <c r="BB868" s="3"/>
      <c r="BC868" s="3"/>
    </row>
    <row r="869" spans="1:55" x14ac:dyDescent="0.25">
      <c r="A869" s="2"/>
      <c r="D869" s="3"/>
      <c r="E869" s="4"/>
      <c r="F869" s="5"/>
      <c r="G869" s="5"/>
      <c r="J869" s="3"/>
      <c r="K869" s="3"/>
      <c r="L869" s="6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5"/>
      <c r="Y869" s="3"/>
      <c r="Z869" s="3"/>
      <c r="AA869" s="3"/>
      <c r="AB869" s="5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7"/>
      <c r="AV869" s="7"/>
      <c r="AW869" s="7"/>
      <c r="AX869" s="7"/>
      <c r="AY869" s="8"/>
      <c r="AZ869" s="3"/>
      <c r="BA869" s="3"/>
      <c r="BB869" s="3"/>
      <c r="BC869" s="3"/>
    </row>
    <row r="870" spans="1:55" x14ac:dyDescent="0.25">
      <c r="A870" s="2"/>
      <c r="D870" s="3"/>
      <c r="E870" s="4"/>
      <c r="F870" s="5"/>
      <c r="G870" s="5"/>
      <c r="J870" s="3"/>
      <c r="K870" s="3"/>
      <c r="L870" s="6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5"/>
      <c r="Y870" s="3"/>
      <c r="Z870" s="3"/>
      <c r="AA870" s="3"/>
      <c r="AB870" s="5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7"/>
      <c r="AV870" s="7"/>
      <c r="AW870" s="7"/>
      <c r="AX870" s="7"/>
      <c r="AY870" s="8"/>
      <c r="AZ870" s="3"/>
      <c r="BA870" s="3"/>
      <c r="BB870" s="3"/>
      <c r="BC870" s="3"/>
    </row>
    <row r="871" spans="1:55" x14ac:dyDescent="0.25">
      <c r="A871" s="2"/>
      <c r="D871" s="3"/>
      <c r="E871" s="4"/>
      <c r="F871" s="5"/>
      <c r="G871" s="5"/>
      <c r="J871" s="3"/>
      <c r="K871" s="3"/>
      <c r="L871" s="6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5"/>
      <c r="Y871" s="3"/>
      <c r="Z871" s="3"/>
      <c r="AA871" s="3"/>
      <c r="AB871" s="5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7"/>
      <c r="AV871" s="7"/>
      <c r="AW871" s="7"/>
      <c r="AX871" s="7"/>
      <c r="AY871" s="8"/>
      <c r="AZ871" s="3"/>
      <c r="BA871" s="3"/>
      <c r="BB871" s="3"/>
      <c r="BC871" s="3"/>
    </row>
    <row r="872" spans="1:55" x14ac:dyDescent="0.25">
      <c r="A872" s="2"/>
      <c r="D872" s="3"/>
      <c r="E872" s="4"/>
      <c r="F872" s="5"/>
      <c r="G872" s="5"/>
      <c r="J872" s="3"/>
      <c r="K872" s="3"/>
      <c r="L872" s="6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5"/>
      <c r="Y872" s="3"/>
      <c r="Z872" s="3"/>
      <c r="AA872" s="3"/>
      <c r="AB872" s="5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7"/>
      <c r="AV872" s="7"/>
      <c r="AW872" s="7"/>
      <c r="AX872" s="7"/>
      <c r="AY872" s="8"/>
      <c r="AZ872" s="3"/>
      <c r="BA872" s="3"/>
      <c r="BB872" s="3"/>
      <c r="BC872" s="3"/>
    </row>
    <row r="873" spans="1:55" x14ac:dyDescent="0.25">
      <c r="A873" s="2"/>
      <c r="D873" s="3"/>
      <c r="E873" s="4"/>
      <c r="F873" s="5"/>
      <c r="G873" s="5"/>
      <c r="J873" s="3"/>
      <c r="K873" s="3"/>
      <c r="L873" s="6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5"/>
      <c r="Y873" s="3"/>
      <c r="Z873" s="3"/>
      <c r="AA873" s="3"/>
      <c r="AB873" s="5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7"/>
      <c r="AV873" s="7"/>
      <c r="AW873" s="7"/>
      <c r="AX873" s="7"/>
      <c r="AY873" s="8"/>
      <c r="AZ873" s="3"/>
      <c r="BA873" s="3"/>
      <c r="BB873" s="3"/>
      <c r="BC873" s="3"/>
    </row>
    <row r="874" spans="1:55" x14ac:dyDescent="0.25">
      <c r="A874" s="2"/>
      <c r="D874" s="3"/>
      <c r="E874" s="4"/>
      <c r="F874" s="5"/>
      <c r="G874" s="5"/>
      <c r="J874" s="3"/>
      <c r="K874" s="3"/>
      <c r="L874" s="6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5"/>
      <c r="Y874" s="3"/>
      <c r="Z874" s="3"/>
      <c r="AA874" s="3"/>
      <c r="AB874" s="5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7"/>
      <c r="AV874" s="7"/>
      <c r="AW874" s="7"/>
      <c r="AX874" s="7"/>
      <c r="AY874" s="8"/>
      <c r="AZ874" s="3"/>
      <c r="BA874" s="3"/>
      <c r="BB874" s="3"/>
      <c r="BC874" s="3"/>
    </row>
    <row r="875" spans="1:55" x14ac:dyDescent="0.25">
      <c r="A875" s="2"/>
      <c r="D875" s="3"/>
      <c r="E875" s="4"/>
      <c r="F875" s="5"/>
      <c r="G875" s="5"/>
      <c r="J875" s="3"/>
      <c r="K875" s="3"/>
      <c r="L875" s="6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5"/>
      <c r="Y875" s="3"/>
      <c r="Z875" s="3"/>
      <c r="AA875" s="3"/>
      <c r="AB875" s="5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7"/>
      <c r="AV875" s="7"/>
      <c r="AW875" s="7"/>
      <c r="AX875" s="7"/>
      <c r="AY875" s="8"/>
      <c r="AZ875" s="3"/>
      <c r="BA875" s="3"/>
      <c r="BB875" s="3"/>
      <c r="BC875" s="3"/>
    </row>
    <row r="876" spans="1:55" x14ac:dyDescent="0.25">
      <c r="A876" s="2"/>
      <c r="D876" s="3"/>
      <c r="E876" s="4"/>
      <c r="F876" s="5"/>
      <c r="G876" s="5"/>
      <c r="J876" s="3"/>
      <c r="K876" s="3"/>
      <c r="L876" s="6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5"/>
      <c r="Y876" s="3"/>
      <c r="Z876" s="3"/>
      <c r="AA876" s="3"/>
      <c r="AB876" s="5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7"/>
      <c r="AV876" s="7"/>
      <c r="AW876" s="7"/>
      <c r="AX876" s="7"/>
      <c r="AY876" s="8"/>
      <c r="AZ876" s="3"/>
      <c r="BA876" s="3"/>
      <c r="BB876" s="3"/>
      <c r="BC876" s="3"/>
    </row>
    <row r="877" spans="1:55" x14ac:dyDescent="0.25">
      <c r="A877" s="2"/>
      <c r="D877" s="3"/>
      <c r="E877" s="4"/>
      <c r="F877" s="5"/>
      <c r="G877" s="5"/>
      <c r="J877" s="3"/>
      <c r="K877" s="3"/>
      <c r="L877" s="6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5"/>
      <c r="Y877" s="3"/>
      <c r="Z877" s="3"/>
      <c r="AA877" s="3"/>
      <c r="AB877" s="5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7"/>
      <c r="AV877" s="7"/>
      <c r="AW877" s="7"/>
      <c r="AX877" s="7"/>
      <c r="AY877" s="8"/>
      <c r="AZ877" s="3"/>
      <c r="BA877" s="3"/>
      <c r="BB877" s="3"/>
      <c r="BC877" s="3"/>
    </row>
    <row r="878" spans="1:55" x14ac:dyDescent="0.25">
      <c r="A878" s="2"/>
      <c r="D878" s="3"/>
      <c r="E878" s="4"/>
      <c r="F878" s="5"/>
      <c r="G878" s="5"/>
      <c r="J878" s="3"/>
      <c r="K878" s="3"/>
      <c r="L878" s="6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5"/>
      <c r="Y878" s="3"/>
      <c r="Z878" s="3"/>
      <c r="AA878" s="3"/>
      <c r="AB878" s="5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7"/>
      <c r="AV878" s="7"/>
      <c r="AW878" s="7"/>
      <c r="AX878" s="7"/>
      <c r="AY878" s="8"/>
      <c r="AZ878" s="3"/>
      <c r="BA878" s="3"/>
      <c r="BB878" s="3"/>
      <c r="BC878" s="3"/>
    </row>
    <row r="879" spans="1:55" x14ac:dyDescent="0.25">
      <c r="A879" s="2"/>
      <c r="D879" s="3"/>
      <c r="E879" s="4"/>
      <c r="F879" s="5"/>
      <c r="G879" s="5"/>
      <c r="J879" s="3"/>
      <c r="K879" s="3"/>
      <c r="L879" s="6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5"/>
      <c r="Y879" s="3"/>
      <c r="Z879" s="3"/>
      <c r="AA879" s="3"/>
      <c r="AB879" s="5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7"/>
      <c r="AV879" s="7"/>
      <c r="AW879" s="7"/>
      <c r="AX879" s="7"/>
      <c r="AY879" s="8"/>
      <c r="AZ879" s="3"/>
      <c r="BA879" s="3"/>
      <c r="BB879" s="3"/>
      <c r="BC879" s="3"/>
    </row>
    <row r="880" spans="1:55" x14ac:dyDescent="0.25">
      <c r="A880" s="2"/>
      <c r="D880" s="3"/>
      <c r="E880" s="4"/>
      <c r="F880" s="5"/>
      <c r="G880" s="5"/>
      <c r="J880" s="3"/>
      <c r="K880" s="3"/>
      <c r="L880" s="6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5"/>
      <c r="Y880" s="3"/>
      <c r="Z880" s="3"/>
      <c r="AA880" s="3"/>
      <c r="AB880" s="5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7"/>
      <c r="AV880" s="7"/>
      <c r="AW880" s="7"/>
      <c r="AX880" s="7"/>
      <c r="AY880" s="8"/>
      <c r="AZ880" s="3"/>
      <c r="BA880" s="3"/>
      <c r="BB880" s="3"/>
      <c r="BC880" s="3"/>
    </row>
    <row r="881" spans="1:55" x14ac:dyDescent="0.25">
      <c r="A881" s="2"/>
      <c r="D881" s="3"/>
      <c r="E881" s="4"/>
      <c r="F881" s="5"/>
      <c r="G881" s="5"/>
      <c r="J881" s="3"/>
      <c r="K881" s="3"/>
      <c r="L881" s="6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5"/>
      <c r="Y881" s="3"/>
      <c r="Z881" s="3"/>
      <c r="AA881" s="3"/>
      <c r="AB881" s="5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7"/>
      <c r="AV881" s="7"/>
      <c r="AW881" s="7"/>
      <c r="AX881" s="7"/>
      <c r="AY881" s="8"/>
      <c r="AZ881" s="3"/>
      <c r="BA881" s="3"/>
      <c r="BB881" s="3"/>
      <c r="BC881" s="3"/>
    </row>
    <row r="882" spans="1:55" x14ac:dyDescent="0.25">
      <c r="A882" s="2"/>
      <c r="D882" s="3"/>
      <c r="E882" s="4"/>
      <c r="F882" s="5"/>
      <c r="G882" s="5"/>
      <c r="J882" s="3"/>
      <c r="K882" s="3"/>
      <c r="L882" s="6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5"/>
      <c r="Y882" s="3"/>
      <c r="Z882" s="3"/>
      <c r="AA882" s="3"/>
      <c r="AB882" s="5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7"/>
      <c r="AV882" s="7"/>
      <c r="AW882" s="7"/>
      <c r="AX882" s="7"/>
      <c r="AY882" s="8"/>
      <c r="AZ882" s="3"/>
      <c r="BA882" s="3"/>
      <c r="BB882" s="3"/>
      <c r="BC882" s="3"/>
    </row>
    <row r="883" spans="1:55" x14ac:dyDescent="0.25">
      <c r="A883" s="2"/>
      <c r="D883" s="3"/>
      <c r="E883" s="4"/>
      <c r="F883" s="5"/>
      <c r="G883" s="5"/>
      <c r="J883" s="3"/>
      <c r="K883" s="3"/>
      <c r="L883" s="6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5"/>
      <c r="Y883" s="3"/>
      <c r="Z883" s="3"/>
      <c r="AA883" s="3"/>
      <c r="AB883" s="5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7"/>
      <c r="AV883" s="7"/>
      <c r="AW883" s="7"/>
      <c r="AX883" s="7"/>
      <c r="AY883" s="8"/>
      <c r="AZ883" s="3"/>
      <c r="BA883" s="3"/>
      <c r="BB883" s="3"/>
      <c r="BC883" s="3"/>
    </row>
    <row r="884" spans="1:55" x14ac:dyDescent="0.25">
      <c r="A884" s="2"/>
      <c r="D884" s="3"/>
      <c r="E884" s="4"/>
      <c r="F884" s="5"/>
      <c r="G884" s="5"/>
      <c r="J884" s="3"/>
      <c r="K884" s="3"/>
      <c r="L884" s="6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5"/>
      <c r="Y884" s="3"/>
      <c r="Z884" s="3"/>
      <c r="AA884" s="3"/>
      <c r="AB884" s="5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7"/>
      <c r="AV884" s="7"/>
      <c r="AW884" s="7"/>
      <c r="AX884" s="7"/>
      <c r="AY884" s="8"/>
      <c r="AZ884" s="3"/>
      <c r="BA884" s="3"/>
      <c r="BB884" s="3"/>
      <c r="BC884" s="3"/>
    </row>
    <row r="885" spans="1:55" x14ac:dyDescent="0.25">
      <c r="A885" s="2"/>
      <c r="D885" s="3"/>
      <c r="E885" s="4"/>
      <c r="F885" s="5"/>
      <c r="G885" s="5"/>
      <c r="J885" s="3"/>
      <c r="K885" s="3"/>
      <c r="L885" s="6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5"/>
      <c r="Y885" s="3"/>
      <c r="Z885" s="3"/>
      <c r="AA885" s="3"/>
      <c r="AB885" s="5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7"/>
      <c r="AV885" s="7"/>
      <c r="AW885" s="7"/>
      <c r="AX885" s="7"/>
      <c r="AY885" s="8"/>
      <c r="AZ885" s="3"/>
      <c r="BA885" s="3"/>
      <c r="BB885" s="3"/>
      <c r="BC885" s="3"/>
    </row>
    <row r="886" spans="1:55" x14ac:dyDescent="0.25">
      <c r="A886" s="2"/>
      <c r="D886" s="3"/>
      <c r="E886" s="4"/>
      <c r="F886" s="5"/>
      <c r="G886" s="5"/>
      <c r="J886" s="3"/>
      <c r="K886" s="3"/>
      <c r="L886" s="6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5"/>
      <c r="Y886" s="3"/>
      <c r="Z886" s="3"/>
      <c r="AA886" s="3"/>
      <c r="AB886" s="5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7"/>
      <c r="AV886" s="7"/>
      <c r="AW886" s="7"/>
      <c r="AX886" s="7"/>
      <c r="AY886" s="8"/>
      <c r="AZ886" s="3"/>
      <c r="BA886" s="3"/>
      <c r="BB886" s="3"/>
      <c r="BC886" s="3"/>
    </row>
    <row r="887" spans="1:55" x14ac:dyDescent="0.25">
      <c r="A887" s="2"/>
      <c r="D887" s="3"/>
      <c r="E887" s="4"/>
      <c r="F887" s="5"/>
      <c r="G887" s="5"/>
      <c r="J887" s="3"/>
      <c r="K887" s="3"/>
      <c r="L887" s="6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5"/>
      <c r="Y887" s="3"/>
      <c r="Z887" s="3"/>
      <c r="AA887" s="3"/>
      <c r="AB887" s="5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7"/>
      <c r="AV887" s="7"/>
      <c r="AW887" s="7"/>
      <c r="AX887" s="7"/>
      <c r="AY887" s="8"/>
      <c r="AZ887" s="3"/>
      <c r="BA887" s="3"/>
      <c r="BB887" s="3"/>
      <c r="BC887" s="3"/>
    </row>
    <row r="888" spans="1:55" x14ac:dyDescent="0.25">
      <c r="A888" s="2"/>
      <c r="D888" s="3"/>
      <c r="E888" s="4"/>
      <c r="F888" s="5"/>
      <c r="G888" s="5"/>
      <c r="J888" s="3"/>
      <c r="K888" s="3"/>
      <c r="L888" s="6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5"/>
      <c r="Y888" s="3"/>
      <c r="Z888" s="3"/>
      <c r="AA888" s="3"/>
      <c r="AB888" s="5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7"/>
      <c r="AV888" s="7"/>
      <c r="AW888" s="7"/>
      <c r="AX888" s="7"/>
      <c r="AY888" s="8"/>
      <c r="AZ888" s="3"/>
      <c r="BA888" s="3"/>
      <c r="BB888" s="3"/>
      <c r="BC888" s="3"/>
    </row>
    <row r="889" spans="1:55" x14ac:dyDescent="0.25">
      <c r="A889" s="2"/>
      <c r="D889" s="3"/>
      <c r="E889" s="4"/>
      <c r="F889" s="5"/>
      <c r="G889" s="5"/>
      <c r="J889" s="3"/>
      <c r="K889" s="3"/>
      <c r="L889" s="6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5"/>
      <c r="Y889" s="3"/>
      <c r="Z889" s="3"/>
      <c r="AA889" s="3"/>
      <c r="AB889" s="5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7"/>
      <c r="AV889" s="7"/>
      <c r="AW889" s="7"/>
      <c r="AX889" s="7"/>
      <c r="AY889" s="8"/>
      <c r="AZ889" s="3"/>
      <c r="BA889" s="3"/>
      <c r="BB889" s="3"/>
      <c r="BC889" s="3"/>
    </row>
    <row r="890" spans="1:55" x14ac:dyDescent="0.25">
      <c r="A890" s="2"/>
      <c r="D890" s="3"/>
      <c r="E890" s="4"/>
      <c r="F890" s="5"/>
      <c r="G890" s="5"/>
      <c r="J890" s="3"/>
      <c r="K890" s="3"/>
      <c r="L890" s="6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5"/>
      <c r="Y890" s="3"/>
      <c r="Z890" s="3"/>
      <c r="AA890" s="3"/>
      <c r="AB890" s="5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7"/>
      <c r="AV890" s="7"/>
      <c r="AW890" s="7"/>
      <c r="AX890" s="7"/>
      <c r="AY890" s="8"/>
      <c r="AZ890" s="3"/>
      <c r="BA890" s="3"/>
      <c r="BB890" s="3"/>
      <c r="BC890" s="3"/>
    </row>
    <row r="891" spans="1:55" x14ac:dyDescent="0.25">
      <c r="A891" s="2"/>
      <c r="D891" s="3"/>
      <c r="E891" s="4"/>
      <c r="F891" s="5"/>
      <c r="G891" s="5"/>
      <c r="J891" s="3"/>
      <c r="K891" s="3"/>
      <c r="L891" s="6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5"/>
      <c r="Y891" s="3"/>
      <c r="Z891" s="3"/>
      <c r="AA891" s="3"/>
      <c r="AB891" s="5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7"/>
      <c r="AV891" s="7"/>
      <c r="AW891" s="7"/>
      <c r="AX891" s="7"/>
      <c r="AY891" s="8"/>
      <c r="AZ891" s="3"/>
      <c r="BA891" s="3"/>
      <c r="BB891" s="3"/>
      <c r="BC891" s="3"/>
    </row>
    <row r="892" spans="1:55" x14ac:dyDescent="0.25">
      <c r="A892" s="2"/>
      <c r="D892" s="3"/>
      <c r="E892" s="4"/>
      <c r="F892" s="5"/>
      <c r="G892" s="5"/>
      <c r="J892" s="3"/>
      <c r="K892" s="3"/>
      <c r="L892" s="6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5"/>
      <c r="Y892" s="3"/>
      <c r="Z892" s="3"/>
      <c r="AA892" s="3"/>
      <c r="AB892" s="5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7"/>
      <c r="AV892" s="7"/>
      <c r="AW892" s="7"/>
      <c r="AX892" s="7"/>
      <c r="AY892" s="8"/>
      <c r="AZ892" s="3"/>
      <c r="BA892" s="3"/>
      <c r="BB892" s="3"/>
      <c r="BC892" s="3"/>
    </row>
    <row r="893" spans="1:55" x14ac:dyDescent="0.25">
      <c r="A893" s="2"/>
      <c r="D893" s="3"/>
      <c r="E893" s="4"/>
      <c r="F893" s="5"/>
      <c r="G893" s="5"/>
      <c r="J893" s="3"/>
      <c r="K893" s="3"/>
      <c r="L893" s="6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5"/>
      <c r="Y893" s="3"/>
      <c r="Z893" s="3"/>
      <c r="AA893" s="3"/>
      <c r="AB893" s="5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7"/>
      <c r="AV893" s="7"/>
      <c r="AW893" s="7"/>
      <c r="AX893" s="7"/>
      <c r="AY893" s="8"/>
      <c r="AZ893" s="3"/>
      <c r="BA893" s="3"/>
      <c r="BB893" s="3"/>
      <c r="BC893" s="3"/>
    </row>
    <row r="894" spans="1:55" x14ac:dyDescent="0.25">
      <c r="A894" s="2"/>
      <c r="D894" s="3"/>
      <c r="E894" s="4"/>
      <c r="F894" s="5"/>
      <c r="G894" s="5"/>
      <c r="J894" s="3"/>
      <c r="K894" s="3"/>
      <c r="L894" s="6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5"/>
      <c r="Y894" s="3"/>
      <c r="Z894" s="3"/>
      <c r="AA894" s="3"/>
      <c r="AB894" s="5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7"/>
      <c r="AV894" s="7"/>
      <c r="AW894" s="7"/>
      <c r="AX894" s="7"/>
      <c r="AY894" s="8"/>
      <c r="AZ894" s="3"/>
      <c r="BA894" s="3"/>
      <c r="BB894" s="3"/>
      <c r="BC894" s="3"/>
    </row>
    <row r="895" spans="1:55" x14ac:dyDescent="0.25">
      <c r="A895" s="2"/>
      <c r="D895" s="3"/>
      <c r="E895" s="4"/>
      <c r="F895" s="5"/>
      <c r="G895" s="5"/>
      <c r="J895" s="3"/>
      <c r="K895" s="3"/>
      <c r="L895" s="6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5"/>
      <c r="Y895" s="3"/>
      <c r="Z895" s="3"/>
      <c r="AA895" s="3"/>
      <c r="AB895" s="5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7"/>
      <c r="AV895" s="7"/>
      <c r="AW895" s="7"/>
      <c r="AX895" s="7"/>
      <c r="AY895" s="8"/>
      <c r="AZ895" s="3"/>
      <c r="BA895" s="3"/>
      <c r="BB895" s="3"/>
      <c r="BC895" s="3"/>
    </row>
    <row r="896" spans="1:55" x14ac:dyDescent="0.25">
      <c r="A896" s="2"/>
      <c r="D896" s="3"/>
      <c r="E896" s="4"/>
      <c r="F896" s="5"/>
      <c r="G896" s="5"/>
      <c r="J896" s="3"/>
      <c r="K896" s="3"/>
      <c r="L896" s="6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5"/>
      <c r="Y896" s="3"/>
      <c r="Z896" s="3"/>
      <c r="AA896" s="3"/>
      <c r="AB896" s="5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7"/>
      <c r="AV896" s="7"/>
      <c r="AW896" s="7"/>
      <c r="AX896" s="7"/>
      <c r="AY896" s="8"/>
      <c r="AZ896" s="3"/>
      <c r="BA896" s="3"/>
      <c r="BB896" s="3"/>
      <c r="BC896" s="3"/>
    </row>
    <row r="897" spans="1:55" x14ac:dyDescent="0.25">
      <c r="A897" s="2"/>
      <c r="D897" s="3"/>
      <c r="E897" s="4"/>
      <c r="F897" s="5"/>
      <c r="G897" s="5"/>
      <c r="J897" s="3"/>
      <c r="K897" s="3"/>
      <c r="L897" s="6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5"/>
      <c r="Y897" s="3"/>
      <c r="Z897" s="3"/>
      <c r="AA897" s="3"/>
      <c r="AB897" s="5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7"/>
      <c r="AV897" s="7"/>
      <c r="AW897" s="7"/>
      <c r="AX897" s="7"/>
      <c r="AY897" s="8"/>
      <c r="AZ897" s="3"/>
      <c r="BA897" s="3"/>
      <c r="BB897" s="3"/>
      <c r="BC897" s="3"/>
    </row>
    <row r="898" spans="1:55" x14ac:dyDescent="0.25">
      <c r="A898" s="2"/>
      <c r="D898" s="3"/>
      <c r="E898" s="4"/>
      <c r="F898" s="5"/>
      <c r="G898" s="5"/>
      <c r="J898" s="3"/>
      <c r="K898" s="3"/>
      <c r="L898" s="6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5"/>
      <c r="Y898" s="3"/>
      <c r="Z898" s="3"/>
      <c r="AA898" s="3"/>
      <c r="AB898" s="5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7"/>
      <c r="AV898" s="7"/>
      <c r="AW898" s="7"/>
      <c r="AX898" s="7"/>
      <c r="AY898" s="8"/>
      <c r="AZ898" s="3"/>
      <c r="BA898" s="3"/>
      <c r="BB898" s="3"/>
      <c r="BC898" s="3"/>
    </row>
    <row r="899" spans="1:55" x14ac:dyDescent="0.25">
      <c r="A899" s="2"/>
      <c r="D899" s="3"/>
      <c r="E899" s="4"/>
      <c r="F899" s="5"/>
      <c r="G899" s="5"/>
      <c r="J899" s="3"/>
      <c r="K899" s="3"/>
      <c r="L899" s="6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5"/>
      <c r="Y899" s="3"/>
      <c r="Z899" s="3"/>
      <c r="AA899" s="3"/>
      <c r="AB899" s="5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7"/>
      <c r="AV899" s="7"/>
      <c r="AW899" s="7"/>
      <c r="AX899" s="7"/>
      <c r="AY899" s="8"/>
      <c r="AZ899" s="3"/>
      <c r="BA899" s="3"/>
      <c r="BB899" s="3"/>
      <c r="BC899" s="3"/>
    </row>
    <row r="900" spans="1:55" x14ac:dyDescent="0.25">
      <c r="A900" s="2"/>
      <c r="D900" s="3"/>
      <c r="E900" s="4"/>
      <c r="F900" s="5"/>
      <c r="G900" s="5"/>
      <c r="J900" s="3"/>
      <c r="K900" s="3"/>
      <c r="L900" s="6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5"/>
      <c r="Y900" s="3"/>
      <c r="Z900" s="3"/>
      <c r="AA900" s="3"/>
      <c r="AB900" s="5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7"/>
      <c r="AV900" s="7"/>
      <c r="AW900" s="7"/>
      <c r="AX900" s="7"/>
      <c r="AY900" s="8"/>
      <c r="AZ900" s="3"/>
      <c r="BA900" s="3"/>
      <c r="BB900" s="3"/>
      <c r="BC900" s="3"/>
    </row>
    <row r="901" spans="1:55" x14ac:dyDescent="0.25">
      <c r="A901" s="2"/>
      <c r="D901" s="3"/>
      <c r="E901" s="4"/>
      <c r="F901" s="5"/>
      <c r="G901" s="5"/>
      <c r="J901" s="3"/>
      <c r="K901" s="3"/>
      <c r="L901" s="6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5"/>
      <c r="Y901" s="3"/>
      <c r="Z901" s="3"/>
      <c r="AA901" s="3"/>
      <c r="AB901" s="5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7"/>
      <c r="AV901" s="7"/>
      <c r="AW901" s="7"/>
      <c r="AX901" s="7"/>
      <c r="AY901" s="8"/>
      <c r="AZ901" s="3"/>
      <c r="BA901" s="3"/>
      <c r="BB901" s="3"/>
      <c r="BC901" s="3"/>
    </row>
    <row r="902" spans="1:55" x14ac:dyDescent="0.25">
      <c r="A902" s="2"/>
      <c r="D902" s="3"/>
      <c r="E902" s="4"/>
      <c r="F902" s="5"/>
      <c r="G902" s="5"/>
      <c r="J902" s="3"/>
      <c r="K902" s="3"/>
      <c r="L902" s="6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5"/>
      <c r="Y902" s="3"/>
      <c r="Z902" s="3"/>
      <c r="AA902" s="3"/>
      <c r="AB902" s="5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7"/>
      <c r="AV902" s="7"/>
      <c r="AW902" s="7"/>
      <c r="AX902" s="7"/>
      <c r="AY902" s="8"/>
      <c r="AZ902" s="3"/>
      <c r="BA902" s="3"/>
      <c r="BB902" s="3"/>
      <c r="BC902" s="3"/>
    </row>
    <row r="903" spans="1:55" x14ac:dyDescent="0.25">
      <c r="A903" s="2"/>
      <c r="D903" s="3"/>
      <c r="E903" s="4"/>
      <c r="F903" s="5"/>
      <c r="G903" s="5"/>
      <c r="J903" s="3"/>
      <c r="K903" s="3"/>
      <c r="L903" s="6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5"/>
      <c r="Y903" s="3"/>
      <c r="Z903" s="3"/>
      <c r="AA903" s="3"/>
      <c r="AB903" s="5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7"/>
      <c r="AV903" s="7"/>
      <c r="AW903" s="7"/>
      <c r="AX903" s="7"/>
      <c r="AY903" s="8"/>
      <c r="AZ903" s="3"/>
      <c r="BA903" s="3"/>
      <c r="BB903" s="3"/>
      <c r="BC903" s="3"/>
    </row>
    <row r="904" spans="1:55" x14ac:dyDescent="0.25">
      <c r="A904" s="2"/>
      <c r="D904" s="3"/>
      <c r="E904" s="4"/>
      <c r="F904" s="5"/>
      <c r="G904" s="5"/>
      <c r="J904" s="3"/>
      <c r="K904" s="3"/>
      <c r="L904" s="6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5"/>
      <c r="Y904" s="3"/>
      <c r="Z904" s="3"/>
      <c r="AA904" s="3"/>
      <c r="AB904" s="5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7"/>
      <c r="AV904" s="7"/>
      <c r="AW904" s="7"/>
      <c r="AX904" s="7"/>
      <c r="AY904" s="8"/>
      <c r="AZ904" s="3"/>
      <c r="BA904" s="3"/>
      <c r="BB904" s="3"/>
      <c r="BC904" s="3"/>
    </row>
    <row r="905" spans="1:55" x14ac:dyDescent="0.25">
      <c r="A905" s="2"/>
      <c r="D905" s="3"/>
      <c r="E905" s="4"/>
      <c r="F905" s="5"/>
      <c r="G905" s="5"/>
      <c r="J905" s="3"/>
      <c r="K905" s="3"/>
      <c r="L905" s="6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5"/>
      <c r="Y905" s="3"/>
      <c r="Z905" s="3"/>
      <c r="AA905" s="3"/>
      <c r="AB905" s="5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7"/>
      <c r="AV905" s="7"/>
      <c r="AW905" s="7"/>
      <c r="AX905" s="7"/>
      <c r="AY905" s="8"/>
      <c r="AZ905" s="3"/>
      <c r="BA905" s="3"/>
      <c r="BB905" s="3"/>
      <c r="BC905" s="3"/>
    </row>
    <row r="906" spans="1:55" x14ac:dyDescent="0.25">
      <c r="A906" s="2"/>
      <c r="D906" s="3"/>
      <c r="E906" s="4"/>
      <c r="F906" s="5"/>
      <c r="G906" s="5"/>
      <c r="J906" s="3"/>
      <c r="K906" s="3"/>
      <c r="L906" s="6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5"/>
      <c r="Y906" s="3"/>
      <c r="Z906" s="3"/>
      <c r="AA906" s="3"/>
      <c r="AB906" s="5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7"/>
      <c r="AV906" s="7"/>
      <c r="AW906" s="7"/>
      <c r="AX906" s="7"/>
      <c r="AY906" s="8"/>
      <c r="AZ906" s="3"/>
      <c r="BA906" s="3"/>
      <c r="BB906" s="3"/>
      <c r="BC906" s="3"/>
    </row>
    <row r="907" spans="1:55" x14ac:dyDescent="0.25">
      <c r="A907" s="2"/>
      <c r="D907" s="3"/>
      <c r="E907" s="4"/>
      <c r="F907" s="5"/>
      <c r="G907" s="5"/>
      <c r="J907" s="3"/>
      <c r="K907" s="3"/>
      <c r="L907" s="6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5"/>
      <c r="Y907" s="3"/>
      <c r="Z907" s="3"/>
      <c r="AA907" s="3"/>
      <c r="AB907" s="5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7"/>
      <c r="AV907" s="7"/>
      <c r="AW907" s="7"/>
      <c r="AX907" s="7"/>
      <c r="AY907" s="8"/>
      <c r="AZ907" s="3"/>
      <c r="BA907" s="3"/>
      <c r="BB907" s="3"/>
      <c r="BC907" s="3"/>
    </row>
    <row r="908" spans="1:55" x14ac:dyDescent="0.25">
      <c r="A908" s="2"/>
      <c r="D908" s="3"/>
      <c r="E908" s="4"/>
      <c r="F908" s="5"/>
      <c r="G908" s="5"/>
      <c r="J908" s="3"/>
      <c r="K908" s="3"/>
      <c r="L908" s="6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5"/>
      <c r="Y908" s="3"/>
      <c r="Z908" s="3"/>
      <c r="AA908" s="3"/>
      <c r="AB908" s="5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7"/>
      <c r="AV908" s="7"/>
      <c r="AW908" s="7"/>
      <c r="AX908" s="7"/>
      <c r="AY908" s="8"/>
      <c r="AZ908" s="3"/>
      <c r="BA908" s="3"/>
      <c r="BB908" s="3"/>
      <c r="BC908" s="3"/>
    </row>
    <row r="909" spans="1:55" x14ac:dyDescent="0.25">
      <c r="A909" s="2"/>
      <c r="D909" s="3"/>
      <c r="E909" s="4"/>
      <c r="F909" s="5"/>
      <c r="G909" s="5"/>
      <c r="J909" s="3"/>
      <c r="K909" s="3"/>
      <c r="L909" s="6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5"/>
      <c r="Y909" s="3"/>
      <c r="Z909" s="3"/>
      <c r="AA909" s="3"/>
      <c r="AB909" s="5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7"/>
      <c r="AV909" s="7"/>
      <c r="AW909" s="7"/>
      <c r="AX909" s="7"/>
      <c r="AY909" s="8"/>
      <c r="AZ909" s="3"/>
      <c r="BA909" s="3"/>
      <c r="BB909" s="3"/>
      <c r="BC909" s="3"/>
    </row>
    <row r="910" spans="1:55" x14ac:dyDescent="0.25">
      <c r="A910" s="2"/>
      <c r="D910" s="3"/>
      <c r="E910" s="4"/>
      <c r="F910" s="5"/>
      <c r="G910" s="5"/>
      <c r="J910" s="3"/>
      <c r="K910" s="3"/>
      <c r="L910" s="6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5"/>
      <c r="Y910" s="3"/>
      <c r="Z910" s="3"/>
      <c r="AA910" s="3"/>
      <c r="AB910" s="5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7"/>
      <c r="AV910" s="7"/>
      <c r="AW910" s="7"/>
      <c r="AX910" s="7"/>
      <c r="AY910" s="8"/>
      <c r="AZ910" s="3"/>
      <c r="BA910" s="3"/>
      <c r="BB910" s="3"/>
      <c r="BC910" s="3"/>
    </row>
    <row r="911" spans="1:55" x14ac:dyDescent="0.25">
      <c r="A911" s="2"/>
      <c r="D911" s="3"/>
      <c r="E911" s="4"/>
      <c r="F911" s="5"/>
      <c r="G911" s="5"/>
      <c r="J911" s="3"/>
      <c r="K911" s="3"/>
      <c r="L911" s="6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5"/>
      <c r="Y911" s="3"/>
      <c r="Z911" s="3"/>
      <c r="AA911" s="3"/>
      <c r="AB911" s="5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7"/>
      <c r="AV911" s="7"/>
      <c r="AW911" s="7"/>
      <c r="AX911" s="7"/>
      <c r="AY911" s="8"/>
      <c r="AZ911" s="3"/>
      <c r="BA911" s="3"/>
      <c r="BB911" s="3"/>
      <c r="BC911" s="3"/>
    </row>
    <row r="912" spans="1:55" x14ac:dyDescent="0.25">
      <c r="A912" s="2"/>
      <c r="D912" s="3"/>
      <c r="E912" s="4"/>
      <c r="F912" s="5"/>
      <c r="G912" s="5"/>
      <c r="J912" s="3"/>
      <c r="K912" s="3"/>
      <c r="L912" s="6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5"/>
      <c r="Y912" s="3"/>
      <c r="Z912" s="3"/>
      <c r="AA912" s="3"/>
      <c r="AB912" s="5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7"/>
      <c r="AV912" s="7"/>
      <c r="AW912" s="7"/>
      <c r="AX912" s="7"/>
      <c r="AY912" s="8"/>
      <c r="AZ912" s="3"/>
      <c r="BA912" s="3"/>
      <c r="BB912" s="3"/>
      <c r="BC912" s="3"/>
    </row>
    <row r="913" spans="1:55" x14ac:dyDescent="0.25">
      <c r="A913" s="2"/>
      <c r="D913" s="3"/>
      <c r="E913" s="4"/>
      <c r="F913" s="5"/>
      <c r="G913" s="5"/>
      <c r="J913" s="3"/>
      <c r="K913" s="3"/>
      <c r="L913" s="6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5"/>
      <c r="Y913" s="3"/>
      <c r="Z913" s="3"/>
      <c r="AA913" s="3"/>
      <c r="AB913" s="5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7"/>
      <c r="AV913" s="7"/>
      <c r="AW913" s="7"/>
      <c r="AX913" s="7"/>
      <c r="AY913" s="8"/>
      <c r="AZ913" s="3"/>
      <c r="BA913" s="3"/>
      <c r="BB913" s="3"/>
      <c r="BC913" s="3"/>
    </row>
    <row r="914" spans="1:55" x14ac:dyDescent="0.25">
      <c r="A914" s="2"/>
      <c r="D914" s="3"/>
      <c r="E914" s="4"/>
      <c r="F914" s="5"/>
      <c r="G914" s="5"/>
      <c r="J914" s="3"/>
      <c r="K914" s="3"/>
      <c r="L914" s="6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5"/>
      <c r="Y914" s="3"/>
      <c r="Z914" s="3"/>
      <c r="AA914" s="3"/>
      <c r="AB914" s="5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7"/>
      <c r="AV914" s="7"/>
      <c r="AW914" s="7"/>
      <c r="AX914" s="7"/>
      <c r="AY914" s="8"/>
      <c r="AZ914" s="3"/>
      <c r="BA914" s="3"/>
      <c r="BB914" s="3"/>
      <c r="BC914" s="3"/>
    </row>
    <row r="915" spans="1:55" x14ac:dyDescent="0.25">
      <c r="A915" s="2"/>
      <c r="D915" s="3"/>
      <c r="E915" s="4"/>
      <c r="F915" s="5"/>
      <c r="G915" s="5"/>
      <c r="J915" s="3"/>
      <c r="K915" s="3"/>
      <c r="L915" s="6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5"/>
      <c r="Y915" s="3"/>
      <c r="Z915" s="3"/>
      <c r="AA915" s="3"/>
      <c r="AB915" s="5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7"/>
      <c r="AV915" s="7"/>
      <c r="AW915" s="7"/>
      <c r="AX915" s="7"/>
      <c r="AY915" s="8"/>
      <c r="AZ915" s="3"/>
      <c r="BA915" s="3"/>
      <c r="BB915" s="3"/>
      <c r="BC915" s="3"/>
    </row>
    <row r="916" spans="1:55" x14ac:dyDescent="0.25">
      <c r="A916" s="2"/>
      <c r="D916" s="3"/>
      <c r="E916" s="4"/>
      <c r="F916" s="5"/>
      <c r="G916" s="5"/>
      <c r="J916" s="3"/>
      <c r="K916" s="3"/>
      <c r="L916" s="6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5"/>
      <c r="Y916" s="3"/>
      <c r="Z916" s="3"/>
      <c r="AA916" s="3"/>
      <c r="AB916" s="5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7"/>
      <c r="AV916" s="7"/>
      <c r="AW916" s="7"/>
      <c r="AX916" s="7"/>
      <c r="AY916" s="8"/>
      <c r="AZ916" s="3"/>
      <c r="BA916" s="3"/>
      <c r="BB916" s="3"/>
      <c r="BC916" s="3"/>
    </row>
    <row r="917" spans="1:55" x14ac:dyDescent="0.25">
      <c r="A917" s="2"/>
      <c r="D917" s="3"/>
      <c r="E917" s="4"/>
      <c r="F917" s="5"/>
      <c r="G917" s="5"/>
      <c r="J917" s="3"/>
      <c r="K917" s="3"/>
      <c r="L917" s="6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5"/>
      <c r="Y917" s="3"/>
      <c r="Z917" s="3"/>
      <c r="AA917" s="3"/>
      <c r="AB917" s="5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7"/>
      <c r="AV917" s="7"/>
      <c r="AW917" s="7"/>
      <c r="AX917" s="7"/>
      <c r="AY917" s="8"/>
      <c r="AZ917" s="3"/>
      <c r="BA917" s="3"/>
      <c r="BB917" s="3"/>
      <c r="BC917" s="3"/>
    </row>
    <row r="918" spans="1:55" x14ac:dyDescent="0.25">
      <c r="A918" s="2"/>
      <c r="D918" s="3"/>
      <c r="E918" s="4"/>
      <c r="F918" s="5"/>
      <c r="G918" s="5"/>
      <c r="J918" s="3"/>
      <c r="K918" s="3"/>
      <c r="L918" s="6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5"/>
      <c r="Y918" s="3"/>
      <c r="Z918" s="3"/>
      <c r="AA918" s="3"/>
      <c r="AB918" s="5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7"/>
      <c r="AV918" s="7"/>
      <c r="AW918" s="7"/>
      <c r="AX918" s="7"/>
      <c r="AY918" s="8"/>
      <c r="AZ918" s="3"/>
      <c r="BA918" s="3"/>
      <c r="BB918" s="3"/>
      <c r="BC918" s="3"/>
    </row>
    <row r="919" spans="1:55" x14ac:dyDescent="0.25">
      <c r="A919" s="2"/>
      <c r="D919" s="3"/>
      <c r="E919" s="4"/>
      <c r="F919" s="5"/>
      <c r="G919" s="5"/>
      <c r="J919" s="3"/>
      <c r="K919" s="3"/>
      <c r="L919" s="6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5"/>
      <c r="Y919" s="3"/>
      <c r="Z919" s="3"/>
      <c r="AA919" s="3"/>
      <c r="AB919" s="5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7"/>
      <c r="AV919" s="7"/>
      <c r="AW919" s="7"/>
      <c r="AX919" s="7"/>
      <c r="AY919" s="8"/>
      <c r="AZ919" s="3"/>
      <c r="BA919" s="3"/>
      <c r="BB919" s="3"/>
      <c r="BC919" s="3"/>
    </row>
    <row r="920" spans="1:55" x14ac:dyDescent="0.25">
      <c r="A920" s="2"/>
      <c r="D920" s="3"/>
      <c r="E920" s="4"/>
      <c r="F920" s="5"/>
      <c r="G920" s="5"/>
      <c r="J920" s="3"/>
      <c r="K920" s="3"/>
      <c r="L920" s="6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5"/>
      <c r="Y920" s="3"/>
      <c r="Z920" s="3"/>
      <c r="AA920" s="3"/>
      <c r="AB920" s="5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7"/>
      <c r="AV920" s="7"/>
      <c r="AW920" s="7"/>
      <c r="AX920" s="7"/>
      <c r="AY920" s="8"/>
      <c r="AZ920" s="3"/>
      <c r="BA920" s="3"/>
      <c r="BB920" s="3"/>
      <c r="BC920" s="3"/>
    </row>
    <row r="921" spans="1:55" x14ac:dyDescent="0.25">
      <c r="A921" s="2"/>
      <c r="D921" s="3"/>
      <c r="E921" s="4"/>
      <c r="F921" s="5"/>
      <c r="G921" s="5"/>
      <c r="J921" s="3"/>
      <c r="K921" s="3"/>
      <c r="L921" s="6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5"/>
      <c r="Y921" s="3"/>
      <c r="Z921" s="3"/>
      <c r="AA921" s="3"/>
      <c r="AB921" s="5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7"/>
      <c r="AV921" s="7"/>
      <c r="AW921" s="7"/>
      <c r="AX921" s="7"/>
      <c r="AY921" s="8"/>
      <c r="AZ921" s="3"/>
      <c r="BA921" s="3"/>
      <c r="BB921" s="3"/>
      <c r="BC921" s="3"/>
    </row>
    <row r="922" spans="1:55" x14ac:dyDescent="0.25">
      <c r="A922" s="2"/>
      <c r="D922" s="3"/>
      <c r="E922" s="4"/>
      <c r="F922" s="5"/>
      <c r="G922" s="5"/>
      <c r="J922" s="3"/>
      <c r="K922" s="3"/>
      <c r="L922" s="6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5"/>
      <c r="Y922" s="3"/>
      <c r="Z922" s="3"/>
      <c r="AA922" s="3"/>
      <c r="AB922" s="5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7"/>
      <c r="AV922" s="7"/>
      <c r="AW922" s="7"/>
      <c r="AX922" s="7"/>
      <c r="AY922" s="8"/>
      <c r="AZ922" s="3"/>
      <c r="BA922" s="3"/>
      <c r="BB922" s="3"/>
      <c r="BC922" s="3"/>
    </row>
    <row r="923" spans="1:55" x14ac:dyDescent="0.25">
      <c r="A923" s="2"/>
      <c r="D923" s="3"/>
      <c r="E923" s="4"/>
      <c r="F923" s="5"/>
      <c r="G923" s="5"/>
      <c r="J923" s="3"/>
      <c r="K923" s="3"/>
      <c r="L923" s="6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5"/>
      <c r="Y923" s="3"/>
      <c r="Z923" s="3"/>
      <c r="AA923" s="3"/>
      <c r="AB923" s="5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7"/>
      <c r="AV923" s="7"/>
      <c r="AW923" s="7"/>
      <c r="AX923" s="7"/>
      <c r="AY923" s="8"/>
      <c r="AZ923" s="3"/>
      <c r="BA923" s="3"/>
      <c r="BB923" s="3"/>
      <c r="BC923" s="3"/>
    </row>
    <row r="924" spans="1:55" x14ac:dyDescent="0.25">
      <c r="A924" s="2"/>
      <c r="D924" s="3"/>
      <c r="E924" s="4"/>
      <c r="F924" s="5"/>
      <c r="G924" s="5"/>
      <c r="J924" s="3"/>
      <c r="K924" s="3"/>
      <c r="L924" s="6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5"/>
      <c r="Y924" s="3"/>
      <c r="Z924" s="3"/>
      <c r="AA924" s="3"/>
      <c r="AB924" s="5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7"/>
      <c r="AV924" s="7"/>
      <c r="AW924" s="7"/>
      <c r="AX924" s="7"/>
      <c r="AY924" s="8"/>
      <c r="AZ924" s="3"/>
      <c r="BA924" s="3"/>
      <c r="BB924" s="3"/>
      <c r="BC924" s="3"/>
    </row>
    <row r="925" spans="1:55" x14ac:dyDescent="0.25">
      <c r="A925" s="2"/>
      <c r="D925" s="3"/>
      <c r="E925" s="4"/>
      <c r="F925" s="5"/>
      <c r="G925" s="5"/>
      <c r="J925" s="3"/>
      <c r="K925" s="3"/>
      <c r="L925" s="6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5"/>
      <c r="Y925" s="3"/>
      <c r="Z925" s="3"/>
      <c r="AA925" s="3"/>
      <c r="AB925" s="5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7"/>
      <c r="AV925" s="7"/>
      <c r="AW925" s="7"/>
      <c r="AX925" s="7"/>
      <c r="AY925" s="8"/>
      <c r="AZ925" s="3"/>
      <c r="BA925" s="3"/>
      <c r="BB925" s="3"/>
      <c r="BC925" s="3"/>
    </row>
    <row r="926" spans="1:55" x14ac:dyDescent="0.25">
      <c r="A926" s="2"/>
      <c r="D926" s="3"/>
      <c r="E926" s="4"/>
      <c r="F926" s="5"/>
      <c r="G926" s="5"/>
      <c r="J926" s="3"/>
      <c r="K926" s="3"/>
      <c r="L926" s="6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5"/>
      <c r="Y926" s="3"/>
      <c r="Z926" s="3"/>
      <c r="AA926" s="3"/>
      <c r="AB926" s="5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7"/>
      <c r="AV926" s="7"/>
      <c r="AW926" s="7"/>
      <c r="AX926" s="7"/>
      <c r="AY926" s="8"/>
      <c r="AZ926" s="3"/>
      <c r="BA926" s="3"/>
      <c r="BB926" s="3"/>
      <c r="BC926" s="3"/>
    </row>
    <row r="927" spans="1:55" x14ac:dyDescent="0.25">
      <c r="A927" s="2"/>
      <c r="D927" s="3"/>
      <c r="E927" s="4"/>
      <c r="F927" s="5"/>
      <c r="G927" s="5"/>
      <c r="J927" s="3"/>
      <c r="K927" s="3"/>
      <c r="L927" s="6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5"/>
      <c r="Y927" s="3"/>
      <c r="Z927" s="3"/>
      <c r="AA927" s="3"/>
      <c r="AB927" s="5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7"/>
      <c r="AV927" s="7"/>
      <c r="AW927" s="7"/>
      <c r="AX927" s="7"/>
      <c r="AY927" s="8"/>
      <c r="AZ927" s="3"/>
      <c r="BA927" s="3"/>
      <c r="BB927" s="3"/>
      <c r="BC927" s="3"/>
    </row>
    <row r="928" spans="1:55" x14ac:dyDescent="0.25">
      <c r="A928" s="2"/>
      <c r="D928" s="3"/>
      <c r="E928" s="4"/>
      <c r="F928" s="5"/>
      <c r="G928" s="5"/>
      <c r="J928" s="3"/>
      <c r="K928" s="3"/>
      <c r="L928" s="6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5"/>
      <c r="Y928" s="3"/>
      <c r="Z928" s="3"/>
      <c r="AA928" s="3"/>
      <c r="AB928" s="5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7"/>
      <c r="AV928" s="7"/>
      <c r="AW928" s="7"/>
      <c r="AX928" s="7"/>
      <c r="AY928" s="8"/>
      <c r="AZ928" s="3"/>
      <c r="BA928" s="3"/>
      <c r="BB928" s="3"/>
      <c r="BC928" s="3"/>
    </row>
    <row r="929" spans="1:55" x14ac:dyDescent="0.25">
      <c r="A929" s="2"/>
      <c r="D929" s="3"/>
      <c r="E929" s="4"/>
      <c r="F929" s="5"/>
      <c r="G929" s="5"/>
      <c r="J929" s="3"/>
      <c r="K929" s="3"/>
      <c r="L929" s="6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5"/>
      <c r="Y929" s="3"/>
      <c r="Z929" s="3"/>
      <c r="AA929" s="3"/>
      <c r="AB929" s="5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7"/>
      <c r="AV929" s="7"/>
      <c r="AW929" s="7"/>
      <c r="AX929" s="7"/>
      <c r="AY929" s="8"/>
      <c r="AZ929" s="3"/>
      <c r="BA929" s="3"/>
      <c r="BB929" s="3"/>
      <c r="BC929" s="3"/>
    </row>
    <row r="930" spans="1:55" x14ac:dyDescent="0.25">
      <c r="A930" s="2"/>
      <c r="D930" s="3"/>
      <c r="E930" s="4"/>
      <c r="F930" s="5"/>
      <c r="G930" s="5"/>
      <c r="J930" s="3"/>
      <c r="K930" s="3"/>
      <c r="L930" s="6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5"/>
      <c r="Y930" s="3"/>
      <c r="Z930" s="3"/>
      <c r="AA930" s="3"/>
      <c r="AB930" s="5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7"/>
      <c r="AV930" s="7"/>
      <c r="AW930" s="7"/>
      <c r="AX930" s="7"/>
      <c r="AY930" s="8"/>
      <c r="AZ930" s="3"/>
      <c r="BA930" s="3"/>
      <c r="BB930" s="3"/>
      <c r="BC930" s="3"/>
    </row>
    <row r="931" spans="1:55" x14ac:dyDescent="0.25">
      <c r="A931" s="2"/>
      <c r="D931" s="3"/>
      <c r="E931" s="4"/>
      <c r="F931" s="5"/>
      <c r="G931" s="5"/>
      <c r="J931" s="3"/>
      <c r="K931" s="3"/>
      <c r="L931" s="6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5"/>
      <c r="Y931" s="3"/>
      <c r="Z931" s="3"/>
      <c r="AA931" s="3"/>
      <c r="AB931" s="5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7"/>
      <c r="AV931" s="7"/>
      <c r="AW931" s="7"/>
      <c r="AX931" s="7"/>
      <c r="AY931" s="8"/>
      <c r="AZ931" s="3"/>
      <c r="BA931" s="3"/>
      <c r="BB931" s="3"/>
      <c r="BC931" s="3"/>
    </row>
    <row r="932" spans="1:55" x14ac:dyDescent="0.25">
      <c r="A932" s="2"/>
      <c r="D932" s="3"/>
      <c r="E932" s="4"/>
      <c r="F932" s="5"/>
      <c r="G932" s="5"/>
      <c r="J932" s="3"/>
      <c r="K932" s="3"/>
      <c r="L932" s="6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5"/>
      <c r="Y932" s="3"/>
      <c r="Z932" s="3"/>
      <c r="AA932" s="3"/>
      <c r="AB932" s="5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7"/>
      <c r="AV932" s="7"/>
      <c r="AW932" s="7"/>
      <c r="AX932" s="7"/>
      <c r="AY932" s="8"/>
      <c r="AZ932" s="3"/>
      <c r="BA932" s="3"/>
      <c r="BB932" s="3"/>
      <c r="BC932" s="3"/>
    </row>
    <row r="933" spans="1:55" x14ac:dyDescent="0.25">
      <c r="A933" s="2"/>
      <c r="D933" s="3"/>
      <c r="E933" s="4"/>
      <c r="F933" s="5"/>
      <c r="G933" s="5"/>
      <c r="J933" s="3"/>
      <c r="K933" s="3"/>
      <c r="L933" s="6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5"/>
      <c r="Y933" s="3"/>
      <c r="Z933" s="3"/>
      <c r="AA933" s="3"/>
      <c r="AB933" s="5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7"/>
      <c r="AV933" s="7"/>
      <c r="AW933" s="7"/>
      <c r="AX933" s="7"/>
      <c r="AY933" s="8"/>
      <c r="AZ933" s="3"/>
      <c r="BA933" s="3"/>
      <c r="BB933" s="3"/>
      <c r="BC933" s="3"/>
    </row>
    <row r="934" spans="1:55" x14ac:dyDescent="0.25">
      <c r="A934" s="2"/>
      <c r="D934" s="3"/>
      <c r="E934" s="4"/>
      <c r="F934" s="5"/>
      <c r="G934" s="5"/>
      <c r="J934" s="3"/>
      <c r="K934" s="3"/>
      <c r="L934" s="6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5"/>
      <c r="Y934" s="3"/>
      <c r="Z934" s="3"/>
      <c r="AA934" s="3"/>
      <c r="AB934" s="5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7"/>
      <c r="AV934" s="7"/>
      <c r="AW934" s="7"/>
      <c r="AX934" s="7"/>
      <c r="AY934" s="8"/>
      <c r="AZ934" s="3"/>
      <c r="BA934" s="3"/>
      <c r="BB934" s="3"/>
      <c r="BC934" s="3"/>
    </row>
    <row r="935" spans="1:55" x14ac:dyDescent="0.25">
      <c r="A935" s="2"/>
      <c r="D935" s="3"/>
      <c r="E935" s="4"/>
      <c r="F935" s="5"/>
      <c r="G935" s="5"/>
      <c r="J935" s="3"/>
      <c r="K935" s="3"/>
      <c r="L935" s="6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5"/>
      <c r="Y935" s="3"/>
      <c r="Z935" s="3"/>
      <c r="AA935" s="3"/>
      <c r="AB935" s="5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7"/>
      <c r="AV935" s="7"/>
      <c r="AW935" s="7"/>
      <c r="AX935" s="7"/>
      <c r="AY935" s="8"/>
      <c r="AZ935" s="3"/>
      <c r="BA935" s="3"/>
      <c r="BB935" s="3"/>
      <c r="BC935" s="3"/>
    </row>
    <row r="936" spans="1:55" x14ac:dyDescent="0.25">
      <c r="A936" s="2"/>
      <c r="D936" s="3"/>
      <c r="E936" s="4"/>
      <c r="F936" s="5"/>
      <c r="G936" s="5"/>
      <c r="J936" s="3"/>
      <c r="K936" s="3"/>
      <c r="L936" s="6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5"/>
      <c r="Y936" s="3"/>
      <c r="Z936" s="3"/>
      <c r="AA936" s="3"/>
      <c r="AB936" s="5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7"/>
      <c r="AV936" s="7"/>
      <c r="AW936" s="7"/>
      <c r="AX936" s="7"/>
      <c r="AY936" s="8"/>
      <c r="AZ936" s="3"/>
      <c r="BA936" s="3"/>
      <c r="BB936" s="3"/>
      <c r="BC936" s="3"/>
    </row>
    <row r="937" spans="1:55" x14ac:dyDescent="0.25">
      <c r="A937" s="2"/>
      <c r="D937" s="3"/>
      <c r="E937" s="4"/>
      <c r="F937" s="5"/>
      <c r="G937" s="5"/>
      <c r="J937" s="3"/>
      <c r="K937" s="3"/>
      <c r="L937" s="6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5"/>
      <c r="Y937" s="3"/>
      <c r="Z937" s="3"/>
      <c r="AA937" s="3"/>
      <c r="AB937" s="5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7"/>
      <c r="AV937" s="7"/>
      <c r="AW937" s="7"/>
      <c r="AX937" s="7"/>
      <c r="AY937" s="8"/>
      <c r="AZ937" s="3"/>
      <c r="BA937" s="3"/>
      <c r="BB937" s="3"/>
      <c r="BC937" s="3"/>
    </row>
    <row r="938" spans="1:55" x14ac:dyDescent="0.25">
      <c r="A938" s="2"/>
      <c r="D938" s="3"/>
      <c r="E938" s="4"/>
      <c r="F938" s="5"/>
      <c r="G938" s="5"/>
      <c r="J938" s="3"/>
      <c r="K938" s="3"/>
      <c r="L938" s="6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5"/>
      <c r="Y938" s="3"/>
      <c r="Z938" s="3"/>
      <c r="AA938" s="3"/>
      <c r="AB938" s="5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7"/>
      <c r="AV938" s="7"/>
      <c r="AW938" s="7"/>
      <c r="AX938" s="7"/>
      <c r="AY938" s="8"/>
      <c r="AZ938" s="3"/>
      <c r="BA938" s="3"/>
      <c r="BB938" s="3"/>
      <c r="BC938" s="3"/>
    </row>
    <row r="939" spans="1:55" x14ac:dyDescent="0.25">
      <c r="A939" s="2"/>
      <c r="D939" s="3"/>
      <c r="E939" s="4"/>
      <c r="F939" s="5"/>
      <c r="G939" s="5"/>
      <c r="J939" s="3"/>
      <c r="K939" s="3"/>
      <c r="L939" s="6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5"/>
      <c r="Y939" s="3"/>
      <c r="Z939" s="3"/>
      <c r="AA939" s="3"/>
      <c r="AB939" s="5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7"/>
      <c r="AV939" s="7"/>
      <c r="AW939" s="7"/>
      <c r="AX939" s="7"/>
      <c r="AY939" s="8"/>
      <c r="AZ939" s="3"/>
      <c r="BA939" s="3"/>
      <c r="BB939" s="3"/>
      <c r="BC939" s="3"/>
    </row>
    <row r="940" spans="1:55" x14ac:dyDescent="0.25">
      <c r="A940" s="2"/>
      <c r="D940" s="3"/>
      <c r="E940" s="4"/>
      <c r="F940" s="5"/>
      <c r="G940" s="5"/>
      <c r="J940" s="3"/>
      <c r="K940" s="3"/>
      <c r="L940" s="6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5"/>
      <c r="Y940" s="3"/>
      <c r="Z940" s="3"/>
      <c r="AA940" s="3"/>
      <c r="AB940" s="5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7"/>
      <c r="AV940" s="7"/>
      <c r="AW940" s="7"/>
      <c r="AX940" s="7"/>
      <c r="AY940" s="8"/>
      <c r="AZ940" s="3"/>
      <c r="BA940" s="3"/>
      <c r="BB940" s="3"/>
      <c r="BC940" s="3"/>
    </row>
    <row r="941" spans="1:55" x14ac:dyDescent="0.25">
      <c r="A941" s="2"/>
      <c r="D941" s="3"/>
      <c r="E941" s="4"/>
      <c r="F941" s="5"/>
      <c r="G941" s="5"/>
      <c r="J941" s="3"/>
      <c r="K941" s="3"/>
      <c r="L941" s="6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5"/>
      <c r="Y941" s="3"/>
      <c r="Z941" s="3"/>
      <c r="AA941" s="3"/>
      <c r="AB941" s="5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7"/>
      <c r="AV941" s="7"/>
      <c r="AW941" s="7"/>
      <c r="AX941" s="7"/>
      <c r="AY941" s="8"/>
      <c r="AZ941" s="3"/>
      <c r="BA941" s="3"/>
      <c r="BB941" s="3"/>
      <c r="BC941" s="3"/>
    </row>
    <row r="942" spans="1:55" x14ac:dyDescent="0.25">
      <c r="A942" s="2"/>
      <c r="D942" s="3"/>
      <c r="E942" s="4"/>
      <c r="F942" s="5"/>
      <c r="G942" s="5"/>
      <c r="J942" s="3"/>
      <c r="K942" s="3"/>
      <c r="L942" s="6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5"/>
      <c r="Y942" s="3"/>
      <c r="Z942" s="3"/>
      <c r="AA942" s="3"/>
      <c r="AB942" s="5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7"/>
      <c r="AV942" s="7"/>
      <c r="AW942" s="7"/>
      <c r="AX942" s="7"/>
      <c r="AY942" s="8"/>
      <c r="AZ942" s="3"/>
      <c r="BA942" s="3"/>
      <c r="BB942" s="3"/>
      <c r="BC942" s="3"/>
    </row>
    <row r="943" spans="1:55" x14ac:dyDescent="0.25">
      <c r="A943" s="2"/>
      <c r="D943" s="3"/>
      <c r="E943" s="4"/>
      <c r="F943" s="5"/>
      <c r="G943" s="5"/>
      <c r="J943" s="3"/>
      <c r="K943" s="3"/>
      <c r="L943" s="6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5"/>
      <c r="Y943" s="3"/>
      <c r="Z943" s="3"/>
      <c r="AA943" s="3"/>
      <c r="AB943" s="5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7"/>
      <c r="AV943" s="7"/>
      <c r="AW943" s="7"/>
      <c r="AX943" s="7"/>
      <c r="AY943" s="8"/>
      <c r="AZ943" s="3"/>
      <c r="BA943" s="3"/>
      <c r="BB943" s="3"/>
      <c r="BC943" s="3"/>
    </row>
    <row r="944" spans="1:55" x14ac:dyDescent="0.25">
      <c r="A944" s="2"/>
      <c r="D944" s="3"/>
      <c r="E944" s="4"/>
      <c r="F944" s="5"/>
      <c r="G944" s="5"/>
      <c r="J944" s="3"/>
      <c r="K944" s="3"/>
      <c r="L944" s="6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5"/>
      <c r="Y944" s="3"/>
      <c r="Z944" s="3"/>
      <c r="AA944" s="3"/>
      <c r="AB944" s="5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7"/>
      <c r="AV944" s="7"/>
      <c r="AW944" s="7"/>
      <c r="AX944" s="7"/>
      <c r="AY944" s="8"/>
      <c r="AZ944" s="3"/>
      <c r="BA944" s="3"/>
      <c r="BB944" s="3"/>
      <c r="BC944" s="3"/>
    </row>
    <row r="945" spans="1:55" x14ac:dyDescent="0.25">
      <c r="A945" s="2"/>
      <c r="D945" s="3"/>
      <c r="E945" s="4"/>
      <c r="F945" s="5"/>
      <c r="G945" s="5"/>
      <c r="J945" s="3"/>
      <c r="K945" s="3"/>
      <c r="L945" s="6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5"/>
      <c r="Y945" s="3"/>
      <c r="Z945" s="3"/>
      <c r="AA945" s="3"/>
      <c r="AB945" s="5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7"/>
      <c r="AV945" s="7"/>
      <c r="AW945" s="7"/>
      <c r="AX945" s="7"/>
      <c r="AY945" s="8"/>
      <c r="AZ945" s="3"/>
      <c r="BA945" s="3"/>
      <c r="BB945" s="3"/>
      <c r="BC945" s="3"/>
    </row>
    <row r="946" spans="1:55" x14ac:dyDescent="0.25">
      <c r="A946" s="2"/>
      <c r="D946" s="3"/>
      <c r="E946" s="4"/>
      <c r="F946" s="5"/>
      <c r="G946" s="5"/>
      <c r="J946" s="3"/>
      <c r="K946" s="3"/>
      <c r="L946" s="6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5"/>
      <c r="Y946" s="3"/>
      <c r="Z946" s="3"/>
      <c r="AA946" s="3"/>
      <c r="AB946" s="5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7"/>
      <c r="AV946" s="7"/>
      <c r="AW946" s="7"/>
      <c r="AX946" s="7"/>
      <c r="AY946" s="8"/>
      <c r="AZ946" s="3"/>
      <c r="BA946" s="3"/>
      <c r="BB946" s="3"/>
      <c r="BC946" s="3"/>
    </row>
    <row r="947" spans="1:55" x14ac:dyDescent="0.25">
      <c r="A947" s="2"/>
      <c r="D947" s="3"/>
      <c r="E947" s="4"/>
      <c r="F947" s="5"/>
      <c r="G947" s="5"/>
      <c r="J947" s="3"/>
      <c r="K947" s="3"/>
      <c r="L947" s="6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5"/>
      <c r="Y947" s="3"/>
      <c r="Z947" s="3"/>
      <c r="AA947" s="3"/>
      <c r="AB947" s="5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7"/>
      <c r="AV947" s="7"/>
      <c r="AW947" s="7"/>
      <c r="AX947" s="7"/>
      <c r="AY947" s="8"/>
      <c r="AZ947" s="3"/>
      <c r="BA947" s="3"/>
      <c r="BB947" s="3"/>
      <c r="BC947" s="3"/>
    </row>
    <row r="948" spans="1:55" x14ac:dyDescent="0.25">
      <c r="A948" s="2"/>
      <c r="D948" s="3"/>
      <c r="E948" s="4"/>
      <c r="F948" s="5"/>
      <c r="G948" s="5"/>
      <c r="J948" s="3"/>
      <c r="K948" s="3"/>
      <c r="L948" s="6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5"/>
      <c r="Y948" s="3"/>
      <c r="Z948" s="3"/>
      <c r="AA948" s="3"/>
      <c r="AB948" s="5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7"/>
      <c r="AV948" s="7"/>
      <c r="AW948" s="7"/>
      <c r="AX948" s="7"/>
      <c r="AY948" s="8"/>
      <c r="AZ948" s="3"/>
      <c r="BA948" s="3"/>
      <c r="BB948" s="3"/>
      <c r="BC948" s="3"/>
    </row>
    <row r="949" spans="1:55" x14ac:dyDescent="0.25">
      <c r="A949" s="2"/>
      <c r="D949" s="3"/>
      <c r="E949" s="4"/>
      <c r="F949" s="5"/>
      <c r="G949" s="5"/>
      <c r="J949" s="3"/>
      <c r="K949" s="3"/>
      <c r="L949" s="6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5"/>
      <c r="Y949" s="3"/>
      <c r="Z949" s="3"/>
      <c r="AA949" s="3"/>
      <c r="AB949" s="5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7"/>
      <c r="AV949" s="7"/>
      <c r="AW949" s="7"/>
      <c r="AX949" s="7"/>
      <c r="AY949" s="8"/>
      <c r="AZ949" s="3"/>
      <c r="BA949" s="3"/>
      <c r="BB949" s="3"/>
      <c r="BC949" s="3"/>
    </row>
    <row r="950" spans="1:55" x14ac:dyDescent="0.25">
      <c r="A950" s="2"/>
      <c r="D950" s="3"/>
      <c r="E950" s="4"/>
      <c r="F950" s="5"/>
      <c r="G950" s="5"/>
      <c r="J950" s="3"/>
      <c r="K950" s="3"/>
      <c r="L950" s="6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5"/>
      <c r="Y950" s="3"/>
      <c r="Z950" s="3"/>
      <c r="AA950" s="3"/>
      <c r="AB950" s="5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7"/>
      <c r="AV950" s="7"/>
      <c r="AW950" s="7"/>
      <c r="AX950" s="7"/>
      <c r="AY950" s="8"/>
      <c r="AZ950" s="3"/>
      <c r="BA950" s="3"/>
      <c r="BB950" s="3"/>
      <c r="BC950" s="3"/>
    </row>
    <row r="951" spans="1:55" x14ac:dyDescent="0.25">
      <c r="A951" s="2"/>
      <c r="D951" s="3"/>
      <c r="E951" s="4"/>
      <c r="F951" s="5"/>
      <c r="G951" s="5"/>
      <c r="J951" s="3"/>
      <c r="K951" s="3"/>
      <c r="L951" s="6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5"/>
      <c r="Y951" s="3"/>
      <c r="Z951" s="3"/>
      <c r="AA951" s="3"/>
      <c r="AB951" s="5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7"/>
      <c r="AV951" s="7"/>
      <c r="AW951" s="7"/>
      <c r="AX951" s="7"/>
      <c r="AY951" s="8"/>
      <c r="AZ951" s="3"/>
      <c r="BA951" s="3"/>
      <c r="BB951" s="3"/>
      <c r="BC951" s="3"/>
    </row>
    <row r="952" spans="1:55" x14ac:dyDescent="0.25">
      <c r="A952" s="2"/>
      <c r="D952" s="3"/>
      <c r="E952" s="4"/>
      <c r="F952" s="5"/>
      <c r="G952" s="5"/>
      <c r="J952" s="3"/>
      <c r="K952" s="3"/>
      <c r="L952" s="6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5"/>
      <c r="Y952" s="3"/>
      <c r="Z952" s="3"/>
      <c r="AA952" s="3"/>
      <c r="AB952" s="5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7"/>
      <c r="AV952" s="7"/>
      <c r="AW952" s="7"/>
      <c r="AX952" s="7"/>
      <c r="AY952" s="8"/>
      <c r="AZ952" s="3"/>
      <c r="BA952" s="3"/>
      <c r="BB952" s="3"/>
      <c r="BC952" s="3"/>
    </row>
    <row r="953" spans="1:55" x14ac:dyDescent="0.25">
      <c r="A953" s="2"/>
      <c r="D953" s="3"/>
      <c r="E953" s="4"/>
      <c r="F953" s="5"/>
      <c r="G953" s="5"/>
      <c r="J953" s="3"/>
      <c r="K953" s="3"/>
      <c r="L953" s="6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5"/>
      <c r="Y953" s="3"/>
      <c r="Z953" s="3"/>
      <c r="AA953" s="3"/>
      <c r="AB953" s="5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7"/>
      <c r="AV953" s="7"/>
      <c r="AW953" s="7"/>
      <c r="AX953" s="7"/>
      <c r="AY953" s="8"/>
      <c r="AZ953" s="3"/>
      <c r="BA953" s="3"/>
      <c r="BB953" s="3"/>
      <c r="BC953" s="3"/>
    </row>
    <row r="954" spans="1:55" x14ac:dyDescent="0.25">
      <c r="A954" s="2"/>
      <c r="D954" s="3"/>
      <c r="E954" s="4"/>
      <c r="F954" s="5"/>
      <c r="G954" s="5"/>
      <c r="J954" s="3"/>
      <c r="K954" s="3"/>
      <c r="L954" s="6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5"/>
      <c r="Y954" s="3"/>
      <c r="Z954" s="3"/>
      <c r="AA954" s="3"/>
      <c r="AB954" s="5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7"/>
      <c r="AV954" s="7"/>
      <c r="AW954" s="7"/>
      <c r="AX954" s="7"/>
      <c r="AY954" s="8"/>
      <c r="AZ954" s="3"/>
      <c r="BA954" s="3"/>
      <c r="BB954" s="3"/>
      <c r="BC954" s="3"/>
    </row>
    <row r="955" spans="1:55" x14ac:dyDescent="0.25">
      <c r="A955" s="2"/>
      <c r="D955" s="3"/>
      <c r="E955" s="4"/>
      <c r="F955" s="5"/>
      <c r="G955" s="5"/>
      <c r="J955" s="3"/>
      <c r="K955" s="3"/>
      <c r="L955" s="6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5"/>
      <c r="Y955" s="3"/>
      <c r="Z955" s="3"/>
      <c r="AA955" s="3"/>
      <c r="AB955" s="5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7"/>
      <c r="AV955" s="7"/>
      <c r="AW955" s="7"/>
      <c r="AX955" s="7"/>
      <c r="AY955" s="8"/>
      <c r="AZ955" s="3"/>
      <c r="BA955" s="3"/>
      <c r="BB955" s="3"/>
      <c r="BC955" s="3"/>
    </row>
    <row r="956" spans="1:55" x14ac:dyDescent="0.25">
      <c r="A956" s="2"/>
      <c r="D956" s="3"/>
      <c r="E956" s="4"/>
      <c r="F956" s="5"/>
      <c r="G956" s="5"/>
      <c r="J956" s="3"/>
      <c r="K956" s="3"/>
      <c r="L956" s="6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5"/>
      <c r="Y956" s="3"/>
      <c r="Z956" s="3"/>
      <c r="AA956" s="3"/>
      <c r="AB956" s="5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7"/>
      <c r="AV956" s="7"/>
      <c r="AW956" s="7"/>
      <c r="AX956" s="7"/>
      <c r="AY956" s="8"/>
      <c r="AZ956" s="3"/>
      <c r="BA956" s="3"/>
      <c r="BB956" s="3"/>
      <c r="BC956" s="3"/>
    </row>
    <row r="957" spans="1:55" x14ac:dyDescent="0.25">
      <c r="A957" s="2"/>
      <c r="D957" s="3"/>
      <c r="E957" s="4"/>
      <c r="F957" s="5"/>
      <c r="G957" s="5"/>
      <c r="J957" s="3"/>
      <c r="K957" s="3"/>
      <c r="L957" s="6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5"/>
      <c r="Y957" s="3"/>
      <c r="Z957" s="3"/>
      <c r="AA957" s="3"/>
      <c r="AB957" s="5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7"/>
      <c r="AV957" s="7"/>
      <c r="AW957" s="7"/>
      <c r="AX957" s="7"/>
      <c r="AY957" s="8"/>
      <c r="AZ957" s="3"/>
      <c r="BA957" s="3"/>
      <c r="BB957" s="3"/>
      <c r="BC957" s="3"/>
    </row>
    <row r="958" spans="1:55" x14ac:dyDescent="0.25">
      <c r="A958" s="2"/>
      <c r="D958" s="3"/>
      <c r="E958" s="4"/>
      <c r="F958" s="5"/>
      <c r="G958" s="5"/>
      <c r="J958" s="3"/>
      <c r="K958" s="3"/>
      <c r="L958" s="6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5"/>
      <c r="Y958" s="3"/>
      <c r="Z958" s="3"/>
      <c r="AA958" s="3"/>
      <c r="AB958" s="5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7"/>
      <c r="AV958" s="7"/>
      <c r="AW958" s="7"/>
      <c r="AX958" s="7"/>
      <c r="AY958" s="8"/>
      <c r="AZ958" s="3"/>
      <c r="BA958" s="3"/>
      <c r="BB958" s="3"/>
      <c r="BC958" s="3"/>
    </row>
    <row r="959" spans="1:55" x14ac:dyDescent="0.25">
      <c r="A959" s="2"/>
      <c r="D959" s="3"/>
      <c r="E959" s="4"/>
      <c r="F959" s="5"/>
      <c r="G959" s="5"/>
      <c r="J959" s="3"/>
      <c r="K959" s="3"/>
      <c r="L959" s="6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5"/>
      <c r="Y959" s="3"/>
      <c r="Z959" s="3"/>
      <c r="AA959" s="3"/>
      <c r="AB959" s="5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7"/>
      <c r="AV959" s="7"/>
      <c r="AW959" s="7"/>
      <c r="AX959" s="7"/>
      <c r="AY959" s="8"/>
      <c r="AZ959" s="3"/>
      <c r="BA959" s="3"/>
      <c r="BB959" s="3"/>
      <c r="BC959" s="3"/>
    </row>
    <row r="960" spans="1:55" x14ac:dyDescent="0.25">
      <c r="A960" s="2"/>
      <c r="D960" s="3"/>
      <c r="E960" s="4"/>
      <c r="F960" s="5"/>
      <c r="G960" s="5"/>
      <c r="J960" s="3"/>
      <c r="K960" s="3"/>
      <c r="L960" s="6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5"/>
      <c r="Y960" s="3"/>
      <c r="Z960" s="3"/>
      <c r="AA960" s="3"/>
      <c r="AB960" s="5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7"/>
      <c r="AV960" s="7"/>
      <c r="AW960" s="7"/>
      <c r="AX960" s="7"/>
      <c r="AY960" s="8"/>
      <c r="AZ960" s="3"/>
      <c r="BA960" s="3"/>
      <c r="BB960" s="3"/>
      <c r="BC960" s="3"/>
    </row>
    <row r="961" spans="1:55" x14ac:dyDescent="0.25">
      <c r="A961" s="2"/>
      <c r="D961" s="3"/>
      <c r="E961" s="4"/>
      <c r="F961" s="5"/>
      <c r="G961" s="5"/>
      <c r="J961" s="3"/>
      <c r="K961" s="3"/>
      <c r="L961" s="6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5"/>
      <c r="Y961" s="3"/>
      <c r="Z961" s="3"/>
      <c r="AA961" s="3"/>
      <c r="AB961" s="5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7"/>
      <c r="AV961" s="7"/>
      <c r="AW961" s="7"/>
      <c r="AX961" s="7"/>
      <c r="AY961" s="8"/>
      <c r="AZ961" s="3"/>
      <c r="BA961" s="3"/>
      <c r="BB961" s="3"/>
      <c r="BC961" s="3"/>
    </row>
    <row r="962" spans="1:55" x14ac:dyDescent="0.25">
      <c r="A962" s="2"/>
      <c r="D962" s="3"/>
      <c r="E962" s="4"/>
      <c r="F962" s="5"/>
      <c r="G962" s="5"/>
      <c r="J962" s="3"/>
      <c r="K962" s="3"/>
      <c r="L962" s="6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5"/>
      <c r="Y962" s="3"/>
      <c r="Z962" s="3"/>
      <c r="AA962" s="3"/>
      <c r="AB962" s="5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7"/>
      <c r="AV962" s="7"/>
      <c r="AW962" s="7"/>
      <c r="AX962" s="7"/>
      <c r="AY962" s="8"/>
      <c r="AZ962" s="3"/>
      <c r="BA962" s="3"/>
      <c r="BB962" s="3"/>
      <c r="BC962" s="3"/>
    </row>
    <row r="963" spans="1:55" x14ac:dyDescent="0.25">
      <c r="A963" s="2"/>
      <c r="D963" s="3"/>
      <c r="E963" s="4"/>
      <c r="F963" s="5"/>
      <c r="G963" s="5"/>
      <c r="J963" s="3"/>
      <c r="K963" s="3"/>
      <c r="L963" s="6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5"/>
      <c r="Y963" s="3"/>
      <c r="Z963" s="3"/>
      <c r="AA963" s="3"/>
      <c r="AB963" s="5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7"/>
      <c r="AV963" s="7"/>
      <c r="AW963" s="7"/>
      <c r="AX963" s="7"/>
      <c r="AY963" s="8"/>
      <c r="AZ963" s="3"/>
      <c r="BA963" s="3"/>
      <c r="BB963" s="3"/>
      <c r="BC963" s="3"/>
    </row>
    <row r="964" spans="1:55" x14ac:dyDescent="0.25">
      <c r="A964" s="2"/>
      <c r="D964" s="3"/>
      <c r="E964" s="4"/>
      <c r="F964" s="5"/>
      <c r="G964" s="5"/>
      <c r="J964" s="3"/>
      <c r="K964" s="3"/>
      <c r="L964" s="6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5"/>
      <c r="Y964" s="3"/>
      <c r="Z964" s="3"/>
      <c r="AA964" s="3"/>
      <c r="AB964" s="5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7"/>
      <c r="AV964" s="7"/>
      <c r="AW964" s="7"/>
      <c r="AX964" s="7"/>
      <c r="AY964" s="8"/>
      <c r="AZ964" s="3"/>
      <c r="BA964" s="3"/>
      <c r="BB964" s="3"/>
      <c r="BC964" s="3"/>
    </row>
    <row r="965" spans="1:55" x14ac:dyDescent="0.25">
      <c r="A965" s="2"/>
      <c r="D965" s="3"/>
      <c r="E965" s="4"/>
      <c r="F965" s="5"/>
      <c r="G965" s="5"/>
      <c r="J965" s="3"/>
      <c r="K965" s="3"/>
      <c r="L965" s="6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5"/>
      <c r="Y965" s="3"/>
      <c r="Z965" s="3"/>
      <c r="AA965" s="3"/>
      <c r="AB965" s="5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7"/>
      <c r="AV965" s="7"/>
      <c r="AW965" s="7"/>
      <c r="AX965" s="7"/>
      <c r="AY965" s="8"/>
      <c r="AZ965" s="3"/>
      <c r="BA965" s="3"/>
      <c r="BB965" s="3"/>
      <c r="BC965" s="3"/>
    </row>
    <row r="966" spans="1:55" x14ac:dyDescent="0.25">
      <c r="A966" s="2"/>
      <c r="D966" s="3"/>
      <c r="E966" s="4"/>
      <c r="F966" s="5"/>
      <c r="G966" s="5"/>
      <c r="J966" s="3"/>
      <c r="K966" s="3"/>
      <c r="L966" s="6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5"/>
      <c r="Y966" s="3"/>
      <c r="Z966" s="3"/>
      <c r="AA966" s="3"/>
      <c r="AB966" s="5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7"/>
      <c r="AV966" s="7"/>
      <c r="AW966" s="7"/>
      <c r="AX966" s="7"/>
      <c r="AY966" s="8"/>
      <c r="AZ966" s="3"/>
      <c r="BA966" s="3"/>
      <c r="BB966" s="3"/>
      <c r="BC966" s="3"/>
    </row>
    <row r="967" spans="1:55" x14ac:dyDescent="0.25">
      <c r="A967" s="2"/>
      <c r="D967" s="3"/>
      <c r="E967" s="4"/>
      <c r="F967" s="5"/>
      <c r="G967" s="5"/>
      <c r="J967" s="3"/>
      <c r="K967" s="3"/>
      <c r="L967" s="6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5"/>
      <c r="Y967" s="3"/>
      <c r="Z967" s="3"/>
      <c r="AA967" s="3"/>
      <c r="AB967" s="5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7"/>
      <c r="AV967" s="7"/>
      <c r="AW967" s="7"/>
      <c r="AX967" s="7"/>
      <c r="AY967" s="8"/>
      <c r="AZ967" s="3"/>
      <c r="BA967" s="3"/>
      <c r="BB967" s="3"/>
      <c r="BC967" s="3"/>
    </row>
    <row r="968" spans="1:55" x14ac:dyDescent="0.25">
      <c r="A968" s="2"/>
      <c r="D968" s="3"/>
      <c r="E968" s="4"/>
      <c r="F968" s="5"/>
      <c r="G968" s="5"/>
      <c r="J968" s="3"/>
      <c r="K968" s="3"/>
      <c r="L968" s="6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5"/>
      <c r="Y968" s="3"/>
      <c r="Z968" s="3"/>
      <c r="AA968" s="3"/>
      <c r="AB968" s="5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7"/>
      <c r="AV968" s="7"/>
      <c r="AW968" s="7"/>
      <c r="AX968" s="7"/>
      <c r="AY968" s="8"/>
      <c r="AZ968" s="3"/>
      <c r="BA968" s="3"/>
      <c r="BB968" s="3"/>
      <c r="BC968" s="3"/>
    </row>
    <row r="969" spans="1:55" x14ac:dyDescent="0.25">
      <c r="A969" s="2"/>
      <c r="D969" s="3"/>
      <c r="E969" s="4"/>
      <c r="F969" s="5"/>
      <c r="G969" s="5"/>
      <c r="J969" s="3"/>
      <c r="K969" s="3"/>
      <c r="L969" s="6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5"/>
      <c r="Y969" s="3"/>
      <c r="Z969" s="3"/>
      <c r="AA969" s="3"/>
      <c r="AB969" s="5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7"/>
      <c r="AV969" s="7"/>
      <c r="AW969" s="7"/>
      <c r="AX969" s="7"/>
      <c r="AY969" s="8"/>
      <c r="AZ969" s="3"/>
      <c r="BA969" s="3"/>
      <c r="BB969" s="3"/>
      <c r="BC969" s="3"/>
    </row>
    <row r="970" spans="1:55" x14ac:dyDescent="0.25">
      <c r="A970" s="2"/>
      <c r="D970" s="3"/>
      <c r="E970" s="4"/>
      <c r="F970" s="5"/>
      <c r="G970" s="5"/>
      <c r="J970" s="3"/>
      <c r="K970" s="3"/>
      <c r="L970" s="6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5"/>
      <c r="Y970" s="3"/>
      <c r="Z970" s="3"/>
      <c r="AA970" s="3"/>
      <c r="AB970" s="5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7"/>
      <c r="AV970" s="7"/>
      <c r="AW970" s="7"/>
      <c r="AX970" s="7"/>
      <c r="AY970" s="8"/>
      <c r="AZ970" s="3"/>
      <c r="BA970" s="3"/>
      <c r="BB970" s="3"/>
      <c r="BC970" s="3"/>
    </row>
    <row r="971" spans="1:55" x14ac:dyDescent="0.25">
      <c r="A971" s="2"/>
      <c r="D971" s="3"/>
      <c r="E971" s="4"/>
      <c r="F971" s="5"/>
      <c r="G971" s="5"/>
      <c r="J971" s="3"/>
      <c r="K971" s="3"/>
      <c r="L971" s="6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5"/>
      <c r="Y971" s="3"/>
      <c r="Z971" s="3"/>
      <c r="AA971" s="3"/>
      <c r="AB971" s="5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7"/>
      <c r="AV971" s="7"/>
      <c r="AW971" s="7"/>
      <c r="AX971" s="7"/>
      <c r="AY971" s="8"/>
      <c r="AZ971" s="3"/>
      <c r="BA971" s="3"/>
      <c r="BB971" s="3"/>
      <c r="BC971" s="3"/>
    </row>
    <row r="972" spans="1:55" x14ac:dyDescent="0.25">
      <c r="A972" s="2"/>
      <c r="D972" s="3"/>
      <c r="E972" s="4"/>
      <c r="F972" s="5"/>
      <c r="G972" s="5"/>
      <c r="J972" s="3"/>
      <c r="K972" s="3"/>
      <c r="L972" s="6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5"/>
      <c r="Y972" s="3"/>
      <c r="Z972" s="3"/>
      <c r="AA972" s="3"/>
      <c r="AB972" s="5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7"/>
      <c r="AV972" s="7"/>
      <c r="AW972" s="7"/>
      <c r="AX972" s="7"/>
      <c r="AY972" s="8"/>
      <c r="AZ972" s="3"/>
      <c r="BA972" s="3"/>
      <c r="BB972" s="3"/>
      <c r="BC972" s="3"/>
    </row>
    <row r="973" spans="1:55" x14ac:dyDescent="0.25">
      <c r="A973" s="2"/>
      <c r="D973" s="3"/>
      <c r="E973" s="4"/>
      <c r="F973" s="5"/>
      <c r="G973" s="5"/>
      <c r="J973" s="3"/>
      <c r="K973" s="3"/>
      <c r="L973" s="6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5"/>
      <c r="Y973" s="3"/>
      <c r="Z973" s="3"/>
      <c r="AA973" s="3"/>
      <c r="AB973" s="5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7"/>
      <c r="AV973" s="7"/>
      <c r="AW973" s="7"/>
      <c r="AX973" s="7"/>
      <c r="AY973" s="8"/>
      <c r="AZ973" s="3"/>
      <c r="BA973" s="3"/>
      <c r="BB973" s="3"/>
      <c r="BC973" s="3"/>
    </row>
    <row r="974" spans="1:55" x14ac:dyDescent="0.25">
      <c r="A974" s="2"/>
      <c r="D974" s="3"/>
      <c r="E974" s="4"/>
      <c r="F974" s="5"/>
      <c r="G974" s="5"/>
      <c r="J974" s="3"/>
      <c r="K974" s="3"/>
      <c r="L974" s="6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5"/>
      <c r="Y974" s="3"/>
      <c r="Z974" s="3"/>
      <c r="AA974" s="3"/>
      <c r="AB974" s="5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7"/>
      <c r="AV974" s="7"/>
      <c r="AW974" s="7"/>
      <c r="AX974" s="7"/>
      <c r="AY974" s="8"/>
      <c r="AZ974" s="3"/>
      <c r="BA974" s="3"/>
      <c r="BB974" s="3"/>
      <c r="BC974" s="3"/>
    </row>
    <row r="975" spans="1:55" x14ac:dyDescent="0.25">
      <c r="A975" s="2"/>
      <c r="D975" s="3"/>
      <c r="E975" s="4"/>
      <c r="F975" s="5"/>
      <c r="G975" s="5"/>
      <c r="J975" s="3"/>
      <c r="K975" s="3"/>
      <c r="L975" s="6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5"/>
      <c r="Y975" s="3"/>
      <c r="Z975" s="3"/>
      <c r="AA975" s="3"/>
      <c r="AB975" s="5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7"/>
      <c r="AV975" s="7"/>
      <c r="AW975" s="7"/>
      <c r="AX975" s="7"/>
      <c r="AY975" s="8"/>
      <c r="AZ975" s="3"/>
      <c r="BA975" s="3"/>
      <c r="BB975" s="3"/>
      <c r="BC975" s="3"/>
    </row>
    <row r="976" spans="1:55" x14ac:dyDescent="0.25">
      <c r="A976" s="2"/>
      <c r="D976" s="3"/>
      <c r="E976" s="4"/>
      <c r="F976" s="5"/>
      <c r="G976" s="5"/>
      <c r="J976" s="3"/>
      <c r="K976" s="3"/>
      <c r="L976" s="6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5"/>
      <c r="Y976" s="3"/>
      <c r="Z976" s="3"/>
      <c r="AA976" s="3"/>
      <c r="AB976" s="5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7"/>
      <c r="AV976" s="7"/>
      <c r="AW976" s="7"/>
      <c r="AX976" s="7"/>
      <c r="AY976" s="8"/>
      <c r="AZ976" s="3"/>
      <c r="BA976" s="3"/>
      <c r="BB976" s="3"/>
      <c r="BC976" s="3"/>
    </row>
    <row r="977" spans="1:55" x14ac:dyDescent="0.25">
      <c r="A977" s="2"/>
      <c r="D977" s="3"/>
      <c r="E977" s="4"/>
      <c r="F977" s="5"/>
      <c r="G977" s="5"/>
      <c r="J977" s="3"/>
      <c r="K977" s="3"/>
      <c r="L977" s="6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5"/>
      <c r="Y977" s="3"/>
      <c r="Z977" s="3"/>
      <c r="AA977" s="3"/>
      <c r="AB977" s="5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7"/>
      <c r="AV977" s="7"/>
      <c r="AW977" s="7"/>
      <c r="AX977" s="7"/>
      <c r="AY977" s="8"/>
      <c r="AZ977" s="3"/>
      <c r="BA977" s="3"/>
      <c r="BB977" s="3"/>
      <c r="BC977" s="3"/>
    </row>
    <row r="978" spans="1:55" x14ac:dyDescent="0.25">
      <c r="A978" s="2"/>
      <c r="D978" s="3"/>
      <c r="E978" s="4"/>
      <c r="F978" s="5"/>
      <c r="G978" s="5"/>
      <c r="J978" s="3"/>
      <c r="K978" s="3"/>
      <c r="L978" s="6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5"/>
      <c r="Y978" s="3"/>
      <c r="Z978" s="3"/>
      <c r="AA978" s="3"/>
      <c r="AB978" s="5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7"/>
      <c r="AV978" s="7"/>
      <c r="AW978" s="7"/>
      <c r="AX978" s="7"/>
      <c r="AY978" s="8"/>
      <c r="AZ978" s="3"/>
      <c r="BA978" s="3"/>
      <c r="BB978" s="3"/>
      <c r="BC978" s="3"/>
    </row>
    <row r="979" spans="1:55" x14ac:dyDescent="0.25">
      <c r="A979" s="2"/>
      <c r="D979" s="3"/>
      <c r="E979" s="4"/>
      <c r="F979" s="5"/>
      <c r="G979" s="5"/>
      <c r="J979" s="3"/>
      <c r="K979" s="3"/>
      <c r="L979" s="6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5"/>
      <c r="Y979" s="3"/>
      <c r="Z979" s="3"/>
      <c r="AA979" s="3"/>
      <c r="AB979" s="5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7"/>
      <c r="AV979" s="7"/>
      <c r="AW979" s="7"/>
      <c r="AX979" s="7"/>
      <c r="AY979" s="8"/>
      <c r="AZ979" s="3"/>
      <c r="BA979" s="3"/>
      <c r="BB979" s="3"/>
      <c r="BC979" s="3"/>
    </row>
    <row r="980" spans="1:55" x14ac:dyDescent="0.25">
      <c r="A980" s="2"/>
      <c r="D980" s="3"/>
      <c r="E980" s="4"/>
      <c r="F980" s="5"/>
      <c r="G980" s="5"/>
      <c r="J980" s="3"/>
      <c r="K980" s="3"/>
      <c r="L980" s="6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5"/>
      <c r="Y980" s="3"/>
      <c r="Z980" s="3"/>
      <c r="AA980" s="3"/>
      <c r="AB980" s="5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7"/>
      <c r="AV980" s="7"/>
      <c r="AW980" s="7"/>
      <c r="AX980" s="7"/>
      <c r="AY980" s="8"/>
      <c r="AZ980" s="3"/>
      <c r="BA980" s="3"/>
      <c r="BB980" s="3"/>
      <c r="BC980" s="3"/>
    </row>
    <row r="981" spans="1:55" x14ac:dyDescent="0.25">
      <c r="A981" s="2"/>
      <c r="D981" s="3"/>
      <c r="E981" s="4"/>
      <c r="F981" s="5"/>
      <c r="G981" s="5"/>
      <c r="J981" s="3"/>
      <c r="K981" s="3"/>
      <c r="L981" s="6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5"/>
      <c r="Y981" s="3"/>
      <c r="Z981" s="3"/>
      <c r="AA981" s="3"/>
      <c r="AB981" s="5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7"/>
      <c r="AV981" s="7"/>
      <c r="AW981" s="7"/>
      <c r="AX981" s="7"/>
      <c r="AY981" s="8"/>
      <c r="AZ981" s="3"/>
      <c r="BA981" s="3"/>
      <c r="BB981" s="3"/>
      <c r="BC981" s="3"/>
    </row>
    <row r="982" spans="1:55" x14ac:dyDescent="0.25">
      <c r="A982" s="2"/>
      <c r="D982" s="3"/>
      <c r="E982" s="4"/>
      <c r="F982" s="5"/>
      <c r="G982" s="5"/>
      <c r="J982" s="3"/>
      <c r="K982" s="3"/>
      <c r="L982" s="6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5"/>
      <c r="Y982" s="3"/>
      <c r="Z982" s="3"/>
      <c r="AA982" s="3"/>
      <c r="AB982" s="5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7"/>
      <c r="AV982" s="7"/>
      <c r="AW982" s="7"/>
      <c r="AX982" s="7"/>
      <c r="AY982" s="8"/>
      <c r="AZ982" s="3"/>
      <c r="BA982" s="3"/>
      <c r="BB982" s="3"/>
      <c r="BC982" s="3"/>
    </row>
    <row r="983" spans="1:55" x14ac:dyDescent="0.25">
      <c r="A983" s="2"/>
      <c r="D983" s="3"/>
      <c r="E983" s="4"/>
      <c r="F983" s="5"/>
      <c r="G983" s="5"/>
      <c r="J983" s="3"/>
      <c r="K983" s="3"/>
      <c r="L983" s="6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5"/>
      <c r="Y983" s="3"/>
      <c r="Z983" s="3"/>
      <c r="AA983" s="3"/>
      <c r="AB983" s="5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7"/>
      <c r="AV983" s="7"/>
      <c r="AW983" s="7"/>
      <c r="AX983" s="7"/>
      <c r="AY983" s="8"/>
      <c r="AZ983" s="3"/>
      <c r="BA983" s="3"/>
      <c r="BB983" s="3"/>
      <c r="BC983" s="3"/>
    </row>
    <row r="984" spans="1:55" x14ac:dyDescent="0.25">
      <c r="A984" s="2"/>
      <c r="D984" s="3"/>
      <c r="E984" s="4"/>
      <c r="F984" s="5"/>
      <c r="G984" s="5"/>
      <c r="J984" s="3"/>
      <c r="K984" s="3"/>
      <c r="L984" s="6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5"/>
      <c r="Y984" s="3"/>
      <c r="Z984" s="3"/>
      <c r="AA984" s="3"/>
      <c r="AB984" s="5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7"/>
      <c r="AV984" s="7"/>
      <c r="AW984" s="7"/>
      <c r="AX984" s="7"/>
      <c r="AY984" s="8"/>
      <c r="AZ984" s="3"/>
      <c r="BA984" s="3"/>
      <c r="BB984" s="3"/>
      <c r="BC984" s="3"/>
    </row>
    <row r="985" spans="1:55" x14ac:dyDescent="0.25">
      <c r="A985" s="2"/>
      <c r="D985" s="3"/>
      <c r="E985" s="4"/>
      <c r="F985" s="5"/>
      <c r="G985" s="5"/>
      <c r="J985" s="3"/>
      <c r="K985" s="3"/>
      <c r="L985" s="6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5"/>
      <c r="Y985" s="3"/>
      <c r="Z985" s="3"/>
      <c r="AA985" s="3"/>
      <c r="AB985" s="5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7"/>
      <c r="AV985" s="7"/>
      <c r="AW985" s="7"/>
      <c r="AX985" s="7"/>
      <c r="AY985" s="8"/>
      <c r="AZ985" s="3"/>
      <c r="BA985" s="3"/>
      <c r="BB985" s="3"/>
      <c r="BC985" s="3"/>
    </row>
    <row r="986" spans="1:55" x14ac:dyDescent="0.25">
      <c r="A986" s="2"/>
      <c r="D986" s="3"/>
      <c r="E986" s="4"/>
      <c r="F986" s="5"/>
      <c r="G986" s="5"/>
      <c r="J986" s="3"/>
      <c r="K986" s="3"/>
      <c r="L986" s="6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5"/>
      <c r="Y986" s="3"/>
      <c r="Z986" s="3"/>
      <c r="AA986" s="3"/>
      <c r="AB986" s="5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7"/>
      <c r="AV986" s="7"/>
      <c r="AW986" s="7"/>
      <c r="AX986" s="7"/>
      <c r="AY986" s="8"/>
      <c r="AZ986" s="3"/>
      <c r="BA986" s="3"/>
      <c r="BB986" s="3"/>
      <c r="BC986" s="3"/>
    </row>
    <row r="987" spans="1:55" x14ac:dyDescent="0.25">
      <c r="A987" s="2"/>
      <c r="D987" s="3"/>
      <c r="E987" s="4"/>
      <c r="F987" s="5"/>
      <c r="G987" s="5"/>
      <c r="J987" s="3"/>
      <c r="K987" s="3"/>
      <c r="L987" s="6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5"/>
      <c r="Y987" s="3"/>
      <c r="Z987" s="3"/>
      <c r="AA987" s="3"/>
      <c r="AB987" s="5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7"/>
      <c r="AV987" s="7"/>
      <c r="AW987" s="7"/>
      <c r="AX987" s="7"/>
      <c r="AY987" s="8"/>
      <c r="AZ987" s="3"/>
      <c r="BA987" s="3"/>
      <c r="BB987" s="3"/>
      <c r="BC987" s="3"/>
    </row>
    <row r="988" spans="1:55" x14ac:dyDescent="0.25">
      <c r="A988" s="2"/>
      <c r="D988" s="3"/>
      <c r="E988" s="4"/>
      <c r="F988" s="5"/>
      <c r="G988" s="5"/>
      <c r="J988" s="3"/>
      <c r="K988" s="3"/>
      <c r="L988" s="6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5"/>
      <c r="Y988" s="3"/>
      <c r="Z988" s="3"/>
      <c r="AA988" s="3"/>
      <c r="AB988" s="5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7"/>
      <c r="AV988" s="7"/>
      <c r="AW988" s="7"/>
      <c r="AX988" s="7"/>
      <c r="AY988" s="8"/>
      <c r="AZ988" s="3"/>
      <c r="BA988" s="3"/>
      <c r="BB988" s="3"/>
      <c r="BC988" s="3"/>
    </row>
    <row r="989" spans="1:55" x14ac:dyDescent="0.25">
      <c r="A989" s="2"/>
      <c r="D989" s="3"/>
      <c r="E989" s="4"/>
      <c r="F989" s="5"/>
      <c r="G989" s="5"/>
      <c r="J989" s="3"/>
      <c r="K989" s="3"/>
      <c r="L989" s="6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5"/>
      <c r="Y989" s="3"/>
      <c r="Z989" s="3"/>
      <c r="AA989" s="3"/>
      <c r="AB989" s="5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7"/>
      <c r="AV989" s="7"/>
      <c r="AW989" s="7"/>
      <c r="AX989" s="7"/>
      <c r="AY989" s="8"/>
      <c r="AZ989" s="3"/>
      <c r="BA989" s="3"/>
      <c r="BB989" s="3"/>
      <c r="BC989" s="3"/>
    </row>
    <row r="990" spans="1:55" x14ac:dyDescent="0.25">
      <c r="A990" s="2"/>
      <c r="D990" s="3"/>
      <c r="E990" s="4"/>
      <c r="F990" s="5"/>
      <c r="G990" s="5"/>
      <c r="J990" s="3"/>
      <c r="K990" s="3"/>
      <c r="L990" s="6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5"/>
      <c r="Y990" s="3"/>
      <c r="Z990" s="3"/>
      <c r="AA990" s="3"/>
      <c r="AB990" s="5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7"/>
      <c r="AV990" s="7"/>
      <c r="AW990" s="7"/>
      <c r="AX990" s="7"/>
      <c r="AY990" s="8"/>
      <c r="AZ990" s="3"/>
      <c r="BA990" s="3"/>
      <c r="BB990" s="3"/>
      <c r="BC990" s="3"/>
    </row>
    <row r="991" spans="1:55" x14ac:dyDescent="0.25">
      <c r="A991" s="2"/>
      <c r="D991" s="3"/>
      <c r="E991" s="4"/>
      <c r="F991" s="5"/>
      <c r="G991" s="5"/>
      <c r="J991" s="3"/>
      <c r="K991" s="3"/>
      <c r="L991" s="6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5"/>
      <c r="Y991" s="3"/>
      <c r="Z991" s="3"/>
      <c r="AA991" s="3"/>
      <c r="AB991" s="5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7"/>
      <c r="AV991" s="7"/>
      <c r="AW991" s="7"/>
      <c r="AX991" s="7"/>
      <c r="AY991" s="8"/>
      <c r="AZ991" s="3"/>
      <c r="BA991" s="3"/>
      <c r="BB991" s="3"/>
      <c r="BC991" s="3"/>
    </row>
    <row r="992" spans="1:55" x14ac:dyDescent="0.25">
      <c r="A992" s="2"/>
      <c r="D992" s="3"/>
      <c r="E992" s="4"/>
      <c r="F992" s="5"/>
      <c r="G992" s="5"/>
      <c r="J992" s="3"/>
      <c r="K992" s="3"/>
      <c r="L992" s="6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5"/>
      <c r="Y992" s="3"/>
      <c r="Z992" s="3"/>
      <c r="AA992" s="3"/>
      <c r="AB992" s="5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7"/>
      <c r="AV992" s="7"/>
      <c r="AW992" s="7"/>
      <c r="AX992" s="7"/>
      <c r="AY992" s="8"/>
      <c r="AZ992" s="3"/>
      <c r="BA992" s="3"/>
      <c r="BB992" s="3"/>
      <c r="BC992" s="3"/>
    </row>
    <row r="993" spans="1:55" x14ac:dyDescent="0.25">
      <c r="A993" s="2"/>
      <c r="D993" s="3"/>
      <c r="E993" s="4"/>
      <c r="F993" s="5"/>
      <c r="G993" s="5"/>
      <c r="J993" s="3"/>
      <c r="K993" s="3"/>
      <c r="L993" s="6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5"/>
      <c r="Y993" s="3"/>
      <c r="Z993" s="3"/>
      <c r="AA993" s="3"/>
      <c r="AB993" s="5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7"/>
      <c r="AV993" s="7"/>
      <c r="AW993" s="7"/>
      <c r="AX993" s="7"/>
      <c r="AY993" s="8"/>
      <c r="AZ993" s="3"/>
      <c r="BA993" s="3"/>
      <c r="BB993" s="3"/>
      <c r="BC993" s="3"/>
    </row>
    <row r="994" spans="1:55" x14ac:dyDescent="0.25">
      <c r="A994" s="2"/>
      <c r="D994" s="3"/>
      <c r="E994" s="4"/>
      <c r="F994" s="5"/>
      <c r="G994" s="5"/>
      <c r="J994" s="3"/>
      <c r="K994" s="3"/>
      <c r="L994" s="6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5"/>
      <c r="Y994" s="3"/>
      <c r="Z994" s="3"/>
      <c r="AA994" s="3"/>
      <c r="AB994" s="5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7"/>
      <c r="AV994" s="7"/>
      <c r="AW994" s="7"/>
      <c r="AX994" s="7"/>
      <c r="AY994" s="8"/>
      <c r="AZ994" s="3"/>
      <c r="BA994" s="3"/>
      <c r="BB994" s="3"/>
      <c r="BC994" s="3"/>
    </row>
    <row r="995" spans="1:55" x14ac:dyDescent="0.25">
      <c r="A995" s="2"/>
      <c r="D995" s="3"/>
      <c r="E995" s="4"/>
      <c r="F995" s="5"/>
      <c r="G995" s="5"/>
      <c r="J995" s="3"/>
      <c r="K995" s="3"/>
      <c r="L995" s="6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5"/>
      <c r="Y995" s="3"/>
      <c r="Z995" s="3"/>
      <c r="AA995" s="3"/>
      <c r="AB995" s="5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7"/>
      <c r="AV995" s="7"/>
      <c r="AW995" s="7"/>
      <c r="AX995" s="7"/>
      <c r="AY995" s="8"/>
      <c r="AZ995" s="3"/>
      <c r="BA995" s="3"/>
      <c r="BB995" s="3"/>
      <c r="BC995" s="3"/>
    </row>
    <row r="996" spans="1:55" x14ac:dyDescent="0.25">
      <c r="A996" s="2"/>
      <c r="D996" s="3"/>
      <c r="E996" s="4"/>
      <c r="F996" s="5"/>
      <c r="G996" s="5"/>
      <c r="J996" s="3"/>
      <c r="K996" s="3"/>
      <c r="L996" s="6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5"/>
      <c r="Y996" s="3"/>
      <c r="Z996" s="3"/>
      <c r="AA996" s="3"/>
      <c r="AB996" s="5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7"/>
      <c r="AV996" s="7"/>
      <c r="AW996" s="7"/>
      <c r="AX996" s="7"/>
      <c r="AY996" s="8"/>
      <c r="AZ996" s="3"/>
      <c r="BA996" s="3"/>
      <c r="BB996" s="3"/>
      <c r="BC996" s="3"/>
    </row>
    <row r="997" spans="1:55" x14ac:dyDescent="0.25">
      <c r="A997" s="2"/>
      <c r="D997" s="3"/>
      <c r="E997" s="4"/>
      <c r="F997" s="5"/>
      <c r="G997" s="5"/>
      <c r="J997" s="3"/>
      <c r="K997" s="3"/>
      <c r="L997" s="6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5"/>
      <c r="Y997" s="3"/>
      <c r="Z997" s="3"/>
      <c r="AA997" s="3"/>
      <c r="AB997" s="5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7"/>
      <c r="AV997" s="7"/>
      <c r="AW997" s="7"/>
      <c r="AX997" s="7"/>
      <c r="AY997" s="8"/>
      <c r="AZ997" s="3"/>
      <c r="BA997" s="3"/>
      <c r="BB997" s="3"/>
      <c r="BC997" s="3"/>
    </row>
    <row r="998" spans="1:55" x14ac:dyDescent="0.25">
      <c r="A998" s="2"/>
      <c r="D998" s="3"/>
      <c r="E998" s="4"/>
      <c r="F998" s="5"/>
      <c r="G998" s="5"/>
      <c r="J998" s="3"/>
      <c r="K998" s="3"/>
      <c r="L998" s="6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5"/>
      <c r="Y998" s="3"/>
      <c r="Z998" s="3"/>
      <c r="AA998" s="3"/>
      <c r="AB998" s="5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7"/>
      <c r="AV998" s="7"/>
      <c r="AW998" s="7"/>
      <c r="AX998" s="7"/>
      <c r="AY998" s="8"/>
      <c r="AZ998" s="3"/>
      <c r="BA998" s="3"/>
      <c r="BB998" s="3"/>
      <c r="BC998" s="3"/>
    </row>
    <row r="999" spans="1:55" x14ac:dyDescent="0.25">
      <c r="A999" s="2"/>
      <c r="D999" s="3"/>
      <c r="E999" s="4"/>
      <c r="F999" s="5"/>
      <c r="G999" s="5"/>
      <c r="J999" s="3"/>
      <c r="K999" s="3"/>
      <c r="L999" s="6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5"/>
      <c r="Y999" s="3"/>
      <c r="Z999" s="3"/>
      <c r="AA999" s="3"/>
      <c r="AB999" s="5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7"/>
      <c r="AV999" s="7"/>
      <c r="AW999" s="7"/>
      <c r="AX999" s="7"/>
      <c r="AY999" s="8"/>
      <c r="AZ999" s="3"/>
      <c r="BA999" s="3"/>
      <c r="BB999" s="3"/>
      <c r="BC999" s="3"/>
    </row>
    <row r="1000" spans="1:55" x14ac:dyDescent="0.25">
      <c r="A1000" s="2"/>
      <c r="D1000" s="3"/>
      <c r="E1000" s="4"/>
      <c r="F1000" s="5"/>
      <c r="G1000" s="5"/>
      <c r="J1000" s="3"/>
      <c r="K1000" s="3"/>
      <c r="L1000" s="6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5"/>
      <c r="Y1000" s="3"/>
      <c r="Z1000" s="3"/>
      <c r="AA1000" s="3"/>
      <c r="AB1000" s="5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7"/>
      <c r="AV1000" s="7"/>
      <c r="AW1000" s="7"/>
      <c r="AX1000" s="7"/>
      <c r="AY1000" s="8"/>
      <c r="AZ1000" s="3"/>
      <c r="BA1000" s="3"/>
      <c r="BB1000" s="3"/>
      <c r="BC1000" s="3"/>
    </row>
    <row r="1001" spans="1:55" x14ac:dyDescent="0.25">
      <c r="A1001" s="2"/>
      <c r="D1001" s="3"/>
      <c r="E1001" s="4"/>
      <c r="F1001" s="5"/>
      <c r="G1001" s="5"/>
      <c r="J1001" s="3"/>
      <c r="K1001" s="3"/>
      <c r="L1001" s="6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5"/>
      <c r="Y1001" s="3"/>
      <c r="Z1001" s="3"/>
      <c r="AA1001" s="3"/>
      <c r="AB1001" s="5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7"/>
      <c r="AV1001" s="7"/>
      <c r="AW1001" s="7"/>
      <c r="AX1001" s="7"/>
      <c r="AY1001" s="8"/>
      <c r="AZ1001" s="3"/>
      <c r="BA1001" s="3"/>
      <c r="BB1001" s="3"/>
      <c r="BC1001" s="3"/>
    </row>
    <row r="1002" spans="1:55" x14ac:dyDescent="0.25">
      <c r="A1002" s="2"/>
      <c r="D1002" s="3"/>
      <c r="E1002" s="4"/>
      <c r="F1002" s="5"/>
      <c r="G1002" s="5"/>
      <c r="J1002" s="3"/>
      <c r="K1002" s="3"/>
      <c r="L1002" s="6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5"/>
      <c r="Y1002" s="3"/>
      <c r="Z1002" s="3"/>
      <c r="AA1002" s="3"/>
      <c r="AB1002" s="5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7"/>
      <c r="AV1002" s="7"/>
      <c r="AW1002" s="7"/>
      <c r="AX1002" s="7"/>
      <c r="AY1002" s="8"/>
      <c r="AZ1002" s="3"/>
      <c r="BA1002" s="3"/>
      <c r="BB1002" s="3"/>
      <c r="BC1002" s="3"/>
    </row>
    <row r="1003" spans="1:55" x14ac:dyDescent="0.25">
      <c r="A1003" s="2"/>
      <c r="D1003" s="3"/>
      <c r="E1003" s="4"/>
      <c r="F1003" s="5"/>
      <c r="G1003" s="5"/>
      <c r="J1003" s="3"/>
      <c r="K1003" s="3"/>
      <c r="L1003" s="6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5"/>
      <c r="Y1003" s="3"/>
      <c r="Z1003" s="3"/>
      <c r="AA1003" s="3"/>
      <c r="AB1003" s="5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7"/>
      <c r="AV1003" s="7"/>
      <c r="AW1003" s="7"/>
      <c r="AX1003" s="7"/>
      <c r="AY1003" s="8"/>
      <c r="AZ1003" s="3"/>
      <c r="BA1003" s="3"/>
      <c r="BB1003" s="3"/>
      <c r="BC1003" s="3"/>
    </row>
    <row r="1004" spans="1:55" x14ac:dyDescent="0.25">
      <c r="A1004" s="2"/>
      <c r="D1004" s="3"/>
      <c r="E1004" s="4"/>
      <c r="F1004" s="5"/>
      <c r="G1004" s="5"/>
      <c r="J1004" s="3"/>
      <c r="K1004" s="3"/>
      <c r="L1004" s="6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5"/>
      <c r="Y1004" s="3"/>
      <c r="Z1004" s="3"/>
      <c r="AA1004" s="3"/>
      <c r="AB1004" s="5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7"/>
      <c r="AV1004" s="7"/>
      <c r="AW1004" s="7"/>
      <c r="AX1004" s="7"/>
      <c r="AY1004" s="8"/>
      <c r="AZ1004" s="3"/>
      <c r="BA1004" s="3"/>
      <c r="BB1004" s="3"/>
      <c r="BC1004" s="3"/>
    </row>
    <row r="1005" spans="1:55" x14ac:dyDescent="0.25">
      <c r="A1005" s="2"/>
      <c r="D1005" s="3"/>
      <c r="E1005" s="4"/>
      <c r="F1005" s="5"/>
      <c r="G1005" s="5"/>
      <c r="J1005" s="3"/>
      <c r="K1005" s="3"/>
      <c r="L1005" s="6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5"/>
      <c r="Y1005" s="3"/>
      <c r="Z1005" s="3"/>
      <c r="AA1005" s="3"/>
      <c r="AB1005" s="5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7"/>
      <c r="AV1005" s="7"/>
      <c r="AW1005" s="7"/>
      <c r="AX1005" s="7"/>
      <c r="AY1005" s="8"/>
      <c r="AZ1005" s="3"/>
      <c r="BA1005" s="3"/>
      <c r="BB1005" s="3"/>
      <c r="BC1005" s="3"/>
    </row>
    <row r="1006" spans="1:55" x14ac:dyDescent="0.25">
      <c r="A1006" s="2"/>
      <c r="D1006" s="3"/>
      <c r="E1006" s="4"/>
      <c r="F1006" s="5"/>
      <c r="G1006" s="5"/>
      <c r="J1006" s="3"/>
      <c r="K1006" s="3"/>
      <c r="L1006" s="6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5"/>
      <c r="Y1006" s="3"/>
      <c r="Z1006" s="3"/>
      <c r="AA1006" s="3"/>
      <c r="AB1006" s="5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7"/>
      <c r="AV1006" s="7"/>
      <c r="AW1006" s="7"/>
      <c r="AX1006" s="7"/>
      <c r="AY1006" s="8"/>
      <c r="AZ1006" s="3"/>
      <c r="BA1006" s="3"/>
      <c r="BB1006" s="3"/>
      <c r="BC1006" s="3"/>
    </row>
    <row r="1007" spans="1:55" x14ac:dyDescent="0.25">
      <c r="A1007" s="2"/>
      <c r="D1007" s="3"/>
      <c r="E1007" s="4"/>
      <c r="F1007" s="5"/>
      <c r="G1007" s="5"/>
      <c r="J1007" s="3"/>
      <c r="K1007" s="3"/>
      <c r="L1007" s="6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5"/>
      <c r="Y1007" s="3"/>
      <c r="Z1007" s="3"/>
      <c r="AA1007" s="3"/>
      <c r="AB1007" s="5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7"/>
      <c r="AV1007" s="7"/>
      <c r="AW1007" s="7"/>
      <c r="AX1007" s="7"/>
      <c r="AY1007" s="8"/>
      <c r="AZ1007" s="3"/>
      <c r="BA1007" s="3"/>
      <c r="BB1007" s="3"/>
      <c r="BC1007" s="3"/>
    </row>
    <row r="1008" spans="1:55" x14ac:dyDescent="0.25">
      <c r="A1008" s="2"/>
      <c r="D1008" s="3"/>
      <c r="E1008" s="4"/>
      <c r="F1008" s="5"/>
      <c r="G1008" s="5"/>
      <c r="J1008" s="3"/>
      <c r="K1008" s="3"/>
      <c r="L1008" s="6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5"/>
      <c r="Y1008" s="3"/>
      <c r="Z1008" s="3"/>
      <c r="AA1008" s="3"/>
      <c r="AB1008" s="5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7"/>
      <c r="AV1008" s="7"/>
      <c r="AW1008" s="7"/>
      <c r="AX1008" s="7"/>
      <c r="AY1008" s="8"/>
      <c r="AZ1008" s="3"/>
      <c r="BA1008" s="3"/>
      <c r="BB1008" s="3"/>
      <c r="BC1008" s="3"/>
    </row>
    <row r="1009" spans="1:55" x14ac:dyDescent="0.25">
      <c r="A1009" s="2"/>
      <c r="D1009" s="3"/>
      <c r="E1009" s="4"/>
      <c r="F1009" s="5"/>
      <c r="G1009" s="5"/>
      <c r="J1009" s="3"/>
      <c r="K1009" s="3"/>
      <c r="L1009" s="6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5"/>
      <c r="Y1009" s="3"/>
      <c r="Z1009" s="3"/>
      <c r="AA1009" s="3"/>
      <c r="AB1009" s="5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7"/>
      <c r="AV1009" s="7"/>
      <c r="AW1009" s="7"/>
      <c r="AX1009" s="7"/>
      <c r="AY1009" s="8"/>
      <c r="AZ1009" s="3"/>
      <c r="BA1009" s="3"/>
      <c r="BB1009" s="3"/>
      <c r="BC1009" s="3"/>
    </row>
    <row r="1010" spans="1:55" x14ac:dyDescent="0.25">
      <c r="A1010" s="2"/>
      <c r="D1010" s="3"/>
      <c r="E1010" s="4"/>
      <c r="F1010" s="5"/>
      <c r="G1010" s="5"/>
      <c r="J1010" s="3"/>
      <c r="K1010" s="3"/>
      <c r="L1010" s="6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5"/>
      <c r="Y1010" s="3"/>
      <c r="Z1010" s="3"/>
      <c r="AA1010" s="3"/>
      <c r="AB1010" s="5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7"/>
      <c r="AV1010" s="7"/>
      <c r="AW1010" s="7"/>
      <c r="AX1010" s="7"/>
      <c r="AY1010" s="8"/>
      <c r="AZ1010" s="3"/>
      <c r="BA1010" s="3"/>
      <c r="BB1010" s="3"/>
      <c r="BC1010" s="3"/>
    </row>
    <row r="1011" spans="1:55" x14ac:dyDescent="0.25">
      <c r="A1011" s="2"/>
      <c r="D1011" s="3"/>
      <c r="E1011" s="4"/>
      <c r="F1011" s="5"/>
      <c r="G1011" s="5"/>
      <c r="J1011" s="3"/>
      <c r="K1011" s="3"/>
      <c r="L1011" s="6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5"/>
      <c r="Y1011" s="3"/>
      <c r="Z1011" s="3"/>
      <c r="AA1011" s="3"/>
      <c r="AB1011" s="5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7"/>
      <c r="AV1011" s="7"/>
      <c r="AW1011" s="7"/>
      <c r="AX1011" s="7"/>
      <c r="AY1011" s="8"/>
      <c r="AZ1011" s="3"/>
      <c r="BA1011" s="3"/>
      <c r="BB1011" s="3"/>
      <c r="BC1011" s="3"/>
    </row>
    <row r="1012" spans="1:55" x14ac:dyDescent="0.25">
      <c r="A1012" s="2"/>
      <c r="D1012" s="3"/>
      <c r="E1012" s="4"/>
      <c r="F1012" s="5"/>
      <c r="G1012" s="5"/>
      <c r="J1012" s="3"/>
      <c r="K1012" s="3"/>
      <c r="L1012" s="6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5"/>
      <c r="Y1012" s="3"/>
      <c r="Z1012" s="3"/>
      <c r="AA1012" s="3"/>
      <c r="AB1012" s="5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7"/>
      <c r="AV1012" s="7"/>
      <c r="AW1012" s="7"/>
      <c r="AX1012" s="7"/>
      <c r="AY1012" s="8"/>
      <c r="AZ1012" s="3"/>
      <c r="BA1012" s="3"/>
      <c r="BB1012" s="3"/>
      <c r="BC1012" s="3"/>
    </row>
    <row r="1013" spans="1:55" x14ac:dyDescent="0.25">
      <c r="A1013" s="2"/>
      <c r="D1013" s="3"/>
      <c r="E1013" s="4"/>
      <c r="F1013" s="5"/>
      <c r="G1013" s="5"/>
      <c r="J1013" s="3"/>
      <c r="K1013" s="3"/>
      <c r="L1013" s="6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5"/>
      <c r="Y1013" s="3"/>
      <c r="Z1013" s="3"/>
      <c r="AA1013" s="3"/>
      <c r="AB1013" s="5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7"/>
      <c r="AV1013" s="7"/>
      <c r="AW1013" s="7"/>
      <c r="AX1013" s="7"/>
      <c r="AY1013" s="8"/>
      <c r="AZ1013" s="3"/>
      <c r="BA1013" s="3"/>
      <c r="BB1013" s="3"/>
      <c r="BC1013" s="3"/>
    </row>
    <row r="1014" spans="1:55" x14ac:dyDescent="0.25">
      <c r="AU1014" s="7"/>
      <c r="AV1014" s="7"/>
    </row>
    <row r="1015" spans="1:55" x14ac:dyDescent="0.25">
      <c r="AU1015" s="7"/>
      <c r="AV1015" s="7"/>
    </row>
    <row r="1016" spans="1:55" x14ac:dyDescent="0.25">
      <c r="AU1016" s="7"/>
      <c r="AV1016" s="7"/>
    </row>
    <row r="1017" spans="1:55" x14ac:dyDescent="0.25">
      <c r="AU1017" s="7"/>
      <c r="AV1017" s="7"/>
    </row>
    <row r="1018" spans="1:55" x14ac:dyDescent="0.25">
      <c r="AU1018" s="7"/>
      <c r="AV1018" s="7"/>
    </row>
    <row r="1019" spans="1:55" x14ac:dyDescent="0.25">
      <c r="AU1019" s="7"/>
      <c r="AV1019" s="7"/>
    </row>
    <row r="1020" spans="1:55" x14ac:dyDescent="0.25">
      <c r="AU1020" s="7"/>
      <c r="AV1020" s="7"/>
    </row>
    <row r="1021" spans="1:55" x14ac:dyDescent="0.25">
      <c r="AU1021" s="7"/>
      <c r="AV1021" s="7"/>
    </row>
    <row r="1022" spans="1:55" x14ac:dyDescent="0.25">
      <c r="AU1022" s="7"/>
      <c r="AV1022" s="7"/>
    </row>
    <row r="1023" spans="1:55" x14ac:dyDescent="0.25">
      <c r="AU1023" s="7"/>
      <c r="AV1023" s="7"/>
    </row>
    <row r="1024" spans="1:55" x14ac:dyDescent="0.25">
      <c r="AU1024" s="7"/>
      <c r="AV1024" s="7"/>
    </row>
    <row r="1025" spans="47:48" x14ac:dyDescent="0.25">
      <c r="AU1025" s="7"/>
      <c r="AV1025" s="7"/>
    </row>
    <row r="1026" spans="47:48" x14ac:dyDescent="0.25">
      <c r="AU1026" s="7"/>
      <c r="AV1026" s="7"/>
    </row>
    <row r="1027" spans="47:48" x14ac:dyDescent="0.25">
      <c r="AU1027" s="7"/>
      <c r="AV1027" s="7"/>
    </row>
    <row r="1028" spans="47:48" x14ac:dyDescent="0.25">
      <c r="AU1028" s="7"/>
      <c r="AV1028" s="7"/>
    </row>
    <row r="1029" spans="47:48" x14ac:dyDescent="0.25">
      <c r="AU1029" s="7"/>
      <c r="AV1029" s="7"/>
    </row>
    <row r="1030" spans="47:48" x14ac:dyDescent="0.25">
      <c r="AU1030" s="7"/>
      <c r="AV1030" s="7"/>
    </row>
    <row r="1031" spans="47:48" x14ac:dyDescent="0.25">
      <c r="AU1031" s="7"/>
      <c r="AV1031" s="7"/>
    </row>
    <row r="1032" spans="47:48" x14ac:dyDescent="0.25">
      <c r="AU1032" s="7"/>
      <c r="AV1032" s="7"/>
    </row>
    <row r="1033" spans="47:48" x14ac:dyDescent="0.25">
      <c r="AU1033" s="7"/>
      <c r="AV1033" s="7"/>
    </row>
    <row r="1034" spans="47:48" x14ac:dyDescent="0.25">
      <c r="AU1034" s="7"/>
      <c r="AV1034" s="7"/>
    </row>
    <row r="1035" spans="47:48" x14ac:dyDescent="0.25">
      <c r="AU1035" s="7"/>
      <c r="AV1035" s="7"/>
    </row>
    <row r="1036" spans="47:48" x14ac:dyDescent="0.25">
      <c r="AU1036" s="7"/>
      <c r="AV1036" s="7"/>
    </row>
    <row r="1037" spans="47:48" x14ac:dyDescent="0.25">
      <c r="AU1037" s="7"/>
      <c r="AV1037" s="7"/>
    </row>
    <row r="1038" spans="47:48" x14ac:dyDescent="0.25">
      <c r="AU1038" s="7"/>
      <c r="AV1038" s="7"/>
    </row>
    <row r="1039" spans="47:48" x14ac:dyDescent="0.25">
      <c r="AU1039" s="7"/>
      <c r="AV1039" s="7"/>
    </row>
    <row r="1040" spans="47:48" x14ac:dyDescent="0.25">
      <c r="AU1040" s="7"/>
      <c r="AV1040" s="7"/>
    </row>
    <row r="1041" spans="47:48" x14ac:dyDescent="0.25">
      <c r="AU1041" s="7"/>
      <c r="AV1041" s="7"/>
    </row>
    <row r="1042" spans="47:48" x14ac:dyDescent="0.25">
      <c r="AU1042" s="7"/>
      <c r="AV1042" s="7"/>
    </row>
    <row r="1043" spans="47:48" x14ac:dyDescent="0.25">
      <c r="AU1043" s="7"/>
      <c r="AV1043" s="7"/>
    </row>
    <row r="1044" spans="47:48" x14ac:dyDescent="0.25">
      <c r="AU1044" s="7"/>
      <c r="AV1044" s="7"/>
    </row>
    <row r="1045" spans="47:48" x14ac:dyDescent="0.25">
      <c r="AU1045" s="7"/>
      <c r="AV1045" s="7"/>
    </row>
    <row r="1046" spans="47:48" x14ac:dyDescent="0.25">
      <c r="AU1046" s="7"/>
      <c r="AV1046" s="7"/>
    </row>
    <row r="1047" spans="47:48" x14ac:dyDescent="0.25">
      <c r="AU1047" s="7"/>
      <c r="AV1047" s="7"/>
    </row>
    <row r="1048" spans="47:48" x14ac:dyDescent="0.25">
      <c r="AU1048" s="7"/>
      <c r="AV1048" s="7"/>
    </row>
    <row r="1049" spans="47:48" x14ac:dyDescent="0.25">
      <c r="AU1049" s="7"/>
      <c r="AV1049" s="7"/>
    </row>
    <row r="1050" spans="47:48" x14ac:dyDescent="0.25">
      <c r="AU1050" s="7"/>
      <c r="AV1050" s="7"/>
    </row>
    <row r="1051" spans="47:48" x14ac:dyDescent="0.25">
      <c r="AU1051" s="7"/>
      <c r="AV1051" s="7"/>
    </row>
    <row r="1052" spans="47:48" x14ac:dyDescent="0.25">
      <c r="AU1052" s="7"/>
      <c r="AV1052" s="7"/>
    </row>
    <row r="1053" spans="47:48" x14ac:dyDescent="0.25">
      <c r="AU1053" s="7"/>
      <c r="AV1053" s="7"/>
    </row>
    <row r="1054" spans="47:48" x14ac:dyDescent="0.25">
      <c r="AU1054" s="7"/>
      <c r="AV1054" s="7"/>
    </row>
    <row r="1055" spans="47:48" x14ac:dyDescent="0.25">
      <c r="AU1055" s="7"/>
      <c r="AV1055" s="7"/>
    </row>
    <row r="1056" spans="47:48" x14ac:dyDescent="0.25">
      <c r="AU1056" s="7"/>
      <c r="AV1056" s="7"/>
    </row>
    <row r="1057" spans="47:48" x14ac:dyDescent="0.25">
      <c r="AU1057" s="7"/>
      <c r="AV1057" s="7"/>
    </row>
    <row r="1058" spans="47:48" x14ac:dyDescent="0.25">
      <c r="AU1058" s="7"/>
      <c r="AV1058" s="7"/>
    </row>
    <row r="1059" spans="47:48" x14ac:dyDescent="0.25">
      <c r="AU1059" s="7"/>
      <c r="AV1059" s="7"/>
    </row>
    <row r="1060" spans="47:48" x14ac:dyDescent="0.25">
      <c r="AU1060" s="7"/>
      <c r="AV1060" s="7"/>
    </row>
    <row r="1061" spans="47:48" x14ac:dyDescent="0.25">
      <c r="AU1061" s="7"/>
      <c r="AV1061" s="7"/>
    </row>
    <row r="1062" spans="47:48" x14ac:dyDescent="0.25">
      <c r="AU1062" s="7"/>
      <c r="AV1062" s="7"/>
    </row>
    <row r="1063" spans="47:48" x14ac:dyDescent="0.25">
      <c r="AU1063" s="7"/>
      <c r="AV1063" s="7"/>
    </row>
    <row r="1064" spans="47:48" x14ac:dyDescent="0.25">
      <c r="AU1064" s="7"/>
      <c r="AV1064" s="7"/>
    </row>
    <row r="1065" spans="47:48" x14ac:dyDescent="0.25">
      <c r="AU1065" s="7"/>
      <c r="AV1065" s="7"/>
    </row>
    <row r="1066" spans="47:48" x14ac:dyDescent="0.25">
      <c r="AU1066" s="7"/>
      <c r="AV1066" s="7"/>
    </row>
    <row r="1067" spans="47:48" x14ac:dyDescent="0.25">
      <c r="AU1067" s="7"/>
      <c r="AV1067" s="7"/>
    </row>
    <row r="1068" spans="47:48" x14ac:dyDescent="0.25">
      <c r="AU1068" s="7"/>
      <c r="AV1068" s="7"/>
    </row>
    <row r="1069" spans="47:48" x14ac:dyDescent="0.25">
      <c r="AU1069" s="7"/>
      <c r="AV1069" s="7"/>
    </row>
    <row r="1070" spans="47:48" x14ac:dyDescent="0.25">
      <c r="AU1070" s="7"/>
      <c r="AV1070" s="7"/>
    </row>
    <row r="1071" spans="47:48" x14ac:dyDescent="0.25">
      <c r="AU1071" s="7"/>
      <c r="AV1071" s="7"/>
    </row>
    <row r="1072" spans="47:48" x14ac:dyDescent="0.25">
      <c r="AU1072" s="7"/>
      <c r="AV1072" s="7"/>
    </row>
    <row r="1073" spans="47:48" x14ac:dyDescent="0.25">
      <c r="AU1073" s="7"/>
      <c r="AV1073" s="7"/>
    </row>
    <row r="1074" spans="47:48" x14ac:dyDescent="0.25">
      <c r="AU1074" s="7"/>
      <c r="AV1074" s="7"/>
    </row>
    <row r="1075" spans="47:48" x14ac:dyDescent="0.25">
      <c r="AU1075" s="7"/>
      <c r="AV1075" s="7"/>
    </row>
    <row r="1076" spans="47:48" x14ac:dyDescent="0.25">
      <c r="AU1076" s="7"/>
      <c r="AV1076" s="7"/>
    </row>
    <row r="1077" spans="47:48" x14ac:dyDescent="0.25">
      <c r="AU1077" s="7"/>
      <c r="AV1077" s="7"/>
    </row>
    <row r="1078" spans="47:48" x14ac:dyDescent="0.25">
      <c r="AU1078" s="7"/>
      <c r="AV1078" s="7"/>
    </row>
    <row r="1079" spans="47:48" x14ac:dyDescent="0.25">
      <c r="AU1079" s="7"/>
      <c r="AV1079" s="7"/>
    </row>
    <row r="1080" spans="47:48" x14ac:dyDescent="0.25">
      <c r="AU1080" s="7"/>
      <c r="AV1080" s="7"/>
    </row>
    <row r="1081" spans="47:48" x14ac:dyDescent="0.25">
      <c r="AU1081" s="7"/>
      <c r="AV1081" s="7"/>
    </row>
    <row r="1082" spans="47:48" x14ac:dyDescent="0.25">
      <c r="AU1082" s="7"/>
      <c r="AV1082" s="7"/>
    </row>
    <row r="1083" spans="47:48" x14ac:dyDescent="0.25">
      <c r="AU1083" s="7"/>
      <c r="AV1083" s="7"/>
    </row>
    <row r="1084" spans="47:48" x14ac:dyDescent="0.25">
      <c r="AU1084" s="7"/>
      <c r="AV1084" s="7"/>
    </row>
    <row r="1085" spans="47:48" x14ac:dyDescent="0.25">
      <c r="AU1085" s="7"/>
      <c r="AV1085" s="7"/>
    </row>
    <row r="1086" spans="47:48" x14ac:dyDescent="0.25">
      <c r="AU1086" s="7"/>
      <c r="AV1086" s="7"/>
    </row>
    <row r="1087" spans="47:48" x14ac:dyDescent="0.25">
      <c r="AU1087" s="7"/>
      <c r="AV1087" s="7"/>
    </row>
    <row r="1088" spans="47:48" x14ac:dyDescent="0.25">
      <c r="AU1088" s="7"/>
      <c r="AV1088" s="7"/>
    </row>
    <row r="1089" spans="47:48" x14ac:dyDescent="0.25">
      <c r="AU1089" s="7"/>
      <c r="AV1089" s="7"/>
    </row>
    <row r="1090" spans="47:48" x14ac:dyDescent="0.25">
      <c r="AU1090" s="7"/>
      <c r="AV1090" s="7"/>
    </row>
    <row r="1091" spans="47:48" x14ac:dyDescent="0.25">
      <c r="AU1091" s="7"/>
      <c r="AV1091" s="7"/>
    </row>
    <row r="1092" spans="47:48" x14ac:dyDescent="0.25">
      <c r="AU1092" s="7"/>
      <c r="AV1092" s="7"/>
    </row>
    <row r="1093" spans="47:48" x14ac:dyDescent="0.25">
      <c r="AU1093" s="7"/>
      <c r="AV1093" s="7"/>
    </row>
    <row r="1094" spans="47:48" x14ac:dyDescent="0.25">
      <c r="AU1094" s="7"/>
      <c r="AV1094" s="7"/>
    </row>
    <row r="1095" spans="47:48" x14ac:dyDescent="0.25">
      <c r="AU1095" s="7"/>
      <c r="AV1095" s="7"/>
    </row>
    <row r="1096" spans="47:48" x14ac:dyDescent="0.25">
      <c r="AU1096" s="7"/>
      <c r="AV1096" s="7"/>
    </row>
    <row r="1097" spans="47:48" x14ac:dyDescent="0.25">
      <c r="AU1097" s="7"/>
      <c r="AV1097" s="7"/>
    </row>
    <row r="1098" spans="47:48" x14ac:dyDescent="0.25">
      <c r="AU1098" s="7"/>
      <c r="AV1098" s="7"/>
    </row>
    <row r="1099" spans="47:48" x14ac:dyDescent="0.25">
      <c r="AU1099" s="7"/>
      <c r="AV1099" s="7"/>
    </row>
    <row r="1100" spans="47:48" x14ac:dyDescent="0.25">
      <c r="AU1100" s="7"/>
      <c r="AV1100" s="7"/>
    </row>
    <row r="1101" spans="47:48" x14ac:dyDescent="0.25">
      <c r="AU1101" s="7"/>
      <c r="AV1101" s="7"/>
    </row>
    <row r="1102" spans="47:48" x14ac:dyDescent="0.25">
      <c r="AU1102" s="7"/>
      <c r="AV1102" s="7"/>
    </row>
    <row r="1103" spans="47:48" x14ac:dyDescent="0.25">
      <c r="AU1103" s="7"/>
      <c r="AV1103" s="7"/>
    </row>
    <row r="1104" spans="47:48" x14ac:dyDescent="0.25">
      <c r="AU1104" s="7"/>
      <c r="AV1104" s="7"/>
    </row>
    <row r="1105" spans="47:48" x14ac:dyDescent="0.25">
      <c r="AU1105" s="7"/>
      <c r="AV1105" s="7"/>
    </row>
    <row r="1106" spans="47:48" x14ac:dyDescent="0.25">
      <c r="AU1106" s="7"/>
      <c r="AV1106" s="7"/>
    </row>
    <row r="1107" spans="47:48" x14ac:dyDescent="0.25">
      <c r="AU1107" s="7"/>
      <c r="AV1107" s="7"/>
    </row>
    <row r="1108" spans="47:48" x14ac:dyDescent="0.25">
      <c r="AU1108" s="7"/>
      <c r="AV1108" s="7"/>
    </row>
    <row r="1109" spans="47:48" x14ac:dyDescent="0.25">
      <c r="AU1109" s="7"/>
      <c r="AV1109" s="7"/>
    </row>
    <row r="1110" spans="47:48" x14ac:dyDescent="0.25">
      <c r="AU1110" s="7"/>
      <c r="AV1110" s="7"/>
    </row>
    <row r="1111" spans="47:48" x14ac:dyDescent="0.25">
      <c r="AU1111" s="7"/>
      <c r="AV1111" s="7"/>
    </row>
    <row r="1112" spans="47:48" x14ac:dyDescent="0.25">
      <c r="AU1112" s="7"/>
      <c r="AV1112" s="7"/>
    </row>
    <row r="1113" spans="47:48" x14ac:dyDescent="0.25">
      <c r="AU1113" s="7"/>
      <c r="AV1113" s="7"/>
    </row>
    <row r="1114" spans="47:48" x14ac:dyDescent="0.25">
      <c r="AU1114" s="7"/>
      <c r="AV1114" s="7"/>
    </row>
    <row r="1115" spans="47:48" x14ac:dyDescent="0.25">
      <c r="AU1115" s="7"/>
      <c r="AV1115" s="7"/>
    </row>
    <row r="1116" spans="47:48" x14ac:dyDescent="0.25">
      <c r="AU1116" s="7"/>
      <c r="AV1116" s="7"/>
    </row>
    <row r="1117" spans="47:48" x14ac:dyDescent="0.25">
      <c r="AU1117" s="7"/>
      <c r="AV1117" s="7"/>
    </row>
    <row r="1118" spans="47:48" x14ac:dyDescent="0.25">
      <c r="AU1118" s="7"/>
      <c r="AV1118" s="7"/>
    </row>
    <row r="1119" spans="47:48" x14ac:dyDescent="0.25">
      <c r="AU1119" s="7"/>
      <c r="AV1119" s="7"/>
    </row>
    <row r="1120" spans="47:48" x14ac:dyDescent="0.25">
      <c r="AU1120" s="7"/>
      <c r="AV1120" s="7"/>
    </row>
    <row r="1121" spans="47:48" x14ac:dyDescent="0.25">
      <c r="AU1121" s="7"/>
      <c r="AV1121" s="7"/>
    </row>
    <row r="1122" spans="47:48" x14ac:dyDescent="0.25">
      <c r="AU1122" s="7"/>
      <c r="AV1122" s="7"/>
    </row>
    <row r="1123" spans="47:48" x14ac:dyDescent="0.25">
      <c r="AU1123" s="7"/>
      <c r="AV1123" s="7"/>
    </row>
    <row r="1124" spans="47:48" x14ac:dyDescent="0.25">
      <c r="AU1124" s="7"/>
      <c r="AV1124" s="7"/>
    </row>
    <row r="1125" spans="47:48" x14ac:dyDescent="0.25">
      <c r="AU1125" s="7"/>
      <c r="AV1125" s="7"/>
    </row>
    <row r="1126" spans="47:48" x14ac:dyDescent="0.25">
      <c r="AU1126" s="7"/>
      <c r="AV1126" s="7"/>
    </row>
    <row r="1127" spans="47:48" x14ac:dyDescent="0.25">
      <c r="AU1127" s="7"/>
      <c r="AV1127" s="7"/>
    </row>
    <row r="1128" spans="47:48" x14ac:dyDescent="0.25">
      <c r="AU1128" s="7"/>
      <c r="AV1128" s="7"/>
    </row>
    <row r="1129" spans="47:48" x14ac:dyDescent="0.25">
      <c r="AU1129" s="7"/>
      <c r="AV1129" s="7"/>
    </row>
    <row r="1130" spans="47:48" x14ac:dyDescent="0.25">
      <c r="AU1130" s="7"/>
      <c r="AV1130" s="7"/>
    </row>
    <row r="1131" spans="47:48" x14ac:dyDescent="0.25">
      <c r="AU1131" s="7"/>
      <c r="AV1131" s="7"/>
    </row>
    <row r="1132" spans="47:48" x14ac:dyDescent="0.25">
      <c r="AU1132" s="7"/>
      <c r="AV1132" s="7"/>
    </row>
    <row r="1133" spans="47:48" x14ac:dyDescent="0.25">
      <c r="AU1133" s="7"/>
      <c r="AV1133" s="7"/>
    </row>
    <row r="1134" spans="47:48" x14ac:dyDescent="0.25">
      <c r="AU1134" s="7"/>
      <c r="AV1134" s="7"/>
    </row>
    <row r="1135" spans="47:48" x14ac:dyDescent="0.25">
      <c r="AU1135" s="7"/>
      <c r="AV1135" s="7"/>
    </row>
    <row r="1136" spans="47:48" x14ac:dyDescent="0.25">
      <c r="AU1136" s="7"/>
      <c r="AV1136" s="7"/>
    </row>
    <row r="1137" spans="47:48" x14ac:dyDescent="0.25">
      <c r="AU1137" s="7"/>
      <c r="AV1137" s="7"/>
    </row>
    <row r="1138" spans="47:48" x14ac:dyDescent="0.25">
      <c r="AU1138" s="7"/>
      <c r="AV1138" s="7"/>
    </row>
    <row r="1139" spans="47:48" x14ac:dyDescent="0.25">
      <c r="AU1139" s="7"/>
      <c r="AV1139" s="7"/>
    </row>
    <row r="1140" spans="47:48" x14ac:dyDescent="0.25">
      <c r="AU1140" s="7"/>
      <c r="AV1140" s="7"/>
    </row>
    <row r="1141" spans="47:48" x14ac:dyDescent="0.25">
      <c r="AU1141" s="7"/>
      <c r="AV1141" s="7"/>
    </row>
    <row r="1142" spans="47:48" x14ac:dyDescent="0.25">
      <c r="AU1142" s="7"/>
      <c r="AV1142" s="7"/>
    </row>
    <row r="1143" spans="47:48" x14ac:dyDescent="0.25">
      <c r="AU1143" s="7"/>
      <c r="AV1143" s="7"/>
    </row>
    <row r="1144" spans="47:48" x14ac:dyDescent="0.25">
      <c r="AU1144" s="7"/>
      <c r="AV1144" s="7"/>
    </row>
    <row r="1145" spans="47:48" x14ac:dyDescent="0.25">
      <c r="AU1145" s="7"/>
      <c r="AV1145" s="7"/>
    </row>
    <row r="1146" spans="47:48" x14ac:dyDescent="0.25">
      <c r="AU1146" s="7"/>
      <c r="AV1146" s="7"/>
    </row>
    <row r="1147" spans="47:48" x14ac:dyDescent="0.25">
      <c r="AU1147" s="7"/>
      <c r="AV1147" s="7"/>
    </row>
    <row r="1148" spans="47:48" x14ac:dyDescent="0.25">
      <c r="AU1148" s="7"/>
      <c r="AV1148" s="7"/>
    </row>
    <row r="1149" spans="47:48" x14ac:dyDescent="0.25">
      <c r="AU1149" s="7"/>
      <c r="AV1149" s="7"/>
    </row>
    <row r="1150" spans="47:48" x14ac:dyDescent="0.25">
      <c r="AU1150" s="7"/>
      <c r="AV1150" s="7"/>
    </row>
    <row r="1151" spans="47:48" x14ac:dyDescent="0.25">
      <c r="AU1151" s="7"/>
      <c r="AV1151" s="7"/>
    </row>
    <row r="1152" spans="47:48" x14ac:dyDescent="0.25">
      <c r="AU1152" s="7"/>
      <c r="AV1152" s="7"/>
    </row>
    <row r="1153" spans="47:48" x14ac:dyDescent="0.25">
      <c r="AU1153" s="7"/>
      <c r="AV1153" s="7"/>
    </row>
    <row r="1154" spans="47:48" x14ac:dyDescent="0.25">
      <c r="AU1154" s="7"/>
      <c r="AV1154" s="7"/>
    </row>
    <row r="1155" spans="47:48" x14ac:dyDescent="0.25">
      <c r="AU1155" s="7"/>
      <c r="AV1155" s="7"/>
    </row>
    <row r="1156" spans="47:48" x14ac:dyDescent="0.25">
      <c r="AU1156" s="7"/>
      <c r="AV1156" s="7"/>
    </row>
    <row r="1157" spans="47:48" x14ac:dyDescent="0.25">
      <c r="AU1157" s="7"/>
      <c r="AV1157" s="7"/>
    </row>
    <row r="1158" spans="47:48" x14ac:dyDescent="0.25">
      <c r="AU1158" s="7"/>
      <c r="AV1158" s="7"/>
    </row>
    <row r="1159" spans="47:48" x14ac:dyDescent="0.25">
      <c r="AU1159" s="7"/>
      <c r="AV1159" s="7"/>
    </row>
    <row r="1160" spans="47:48" x14ac:dyDescent="0.25">
      <c r="AU1160" s="7"/>
      <c r="AV1160" s="7"/>
    </row>
    <row r="1161" spans="47:48" x14ac:dyDescent="0.25">
      <c r="AU1161" s="7"/>
      <c r="AV1161" s="7"/>
    </row>
    <row r="1162" spans="47:48" x14ac:dyDescent="0.25">
      <c r="AU1162" s="7"/>
      <c r="AV1162" s="7"/>
    </row>
    <row r="1163" spans="47:48" x14ac:dyDescent="0.25">
      <c r="AU1163" s="7"/>
      <c r="AV1163" s="7"/>
    </row>
    <row r="1164" spans="47:48" x14ac:dyDescent="0.25">
      <c r="AU1164" s="7"/>
      <c r="AV1164" s="7"/>
    </row>
    <row r="1165" spans="47:48" x14ac:dyDescent="0.25">
      <c r="AU1165" s="7"/>
      <c r="AV1165" s="7"/>
    </row>
    <row r="1166" spans="47:48" x14ac:dyDescent="0.25">
      <c r="AU1166" s="7"/>
      <c r="AV1166" s="7"/>
    </row>
    <row r="1167" spans="47:48" x14ac:dyDescent="0.25">
      <c r="AU1167" s="7"/>
      <c r="AV1167" s="7"/>
    </row>
    <row r="1168" spans="47:48" x14ac:dyDescent="0.25">
      <c r="AU1168" s="7"/>
      <c r="AV1168" s="7"/>
    </row>
    <row r="1169" spans="47:48" x14ac:dyDescent="0.25">
      <c r="AU1169" s="7"/>
      <c r="AV1169" s="7"/>
    </row>
    <row r="1170" spans="47:48" x14ac:dyDescent="0.25">
      <c r="AU1170" s="7"/>
      <c r="AV1170" s="7"/>
    </row>
    <row r="1171" spans="47:48" x14ac:dyDescent="0.25">
      <c r="AU1171" s="7"/>
      <c r="AV1171" s="7"/>
    </row>
    <row r="1172" spans="47:48" x14ac:dyDescent="0.25">
      <c r="AU1172" s="7"/>
      <c r="AV1172" s="7"/>
    </row>
    <row r="1173" spans="47:48" x14ac:dyDescent="0.25">
      <c r="AU1173" s="7"/>
      <c r="AV1173" s="7"/>
    </row>
    <row r="1174" spans="47:48" x14ac:dyDescent="0.25">
      <c r="AU1174" s="7"/>
      <c r="AV1174" s="7"/>
    </row>
    <row r="1175" spans="47:48" x14ac:dyDescent="0.25">
      <c r="AU1175" s="7"/>
      <c r="AV1175" s="7"/>
    </row>
    <row r="1176" spans="47:48" x14ac:dyDescent="0.25">
      <c r="AU1176" s="7"/>
      <c r="AV1176" s="7"/>
    </row>
    <row r="1177" spans="47:48" x14ac:dyDescent="0.25">
      <c r="AU1177" s="7"/>
      <c r="AV1177" s="7"/>
    </row>
    <row r="1178" spans="47:48" x14ac:dyDescent="0.25">
      <c r="AU1178" s="7"/>
      <c r="AV1178" s="7"/>
    </row>
    <row r="1179" spans="47:48" x14ac:dyDescent="0.25">
      <c r="AU1179" s="7"/>
      <c r="AV1179" s="7"/>
    </row>
    <row r="1180" spans="47:48" x14ac:dyDescent="0.25">
      <c r="AU1180" s="7"/>
      <c r="AV1180" s="7"/>
    </row>
    <row r="1181" spans="47:48" x14ac:dyDescent="0.25">
      <c r="AU1181" s="7"/>
      <c r="AV1181" s="7"/>
    </row>
    <row r="1182" spans="47:48" x14ac:dyDescent="0.25">
      <c r="AU1182" s="7"/>
      <c r="AV1182" s="7"/>
    </row>
    <row r="1183" spans="47:48" x14ac:dyDescent="0.25">
      <c r="AU1183" s="7"/>
      <c r="AV1183" s="7"/>
    </row>
    <row r="1184" spans="47:48" x14ac:dyDescent="0.25">
      <c r="AU1184" s="7"/>
      <c r="AV1184" s="7"/>
    </row>
    <row r="1185" spans="47:48" x14ac:dyDescent="0.25">
      <c r="AU1185" s="7"/>
      <c r="AV1185" s="7"/>
    </row>
    <row r="1186" spans="47:48" x14ac:dyDescent="0.25">
      <c r="AU1186" s="7"/>
      <c r="AV1186" s="7"/>
    </row>
    <row r="1187" spans="47:48" x14ac:dyDescent="0.25">
      <c r="AU1187" s="7"/>
      <c r="AV1187" s="7"/>
    </row>
    <row r="1188" spans="47:48" x14ac:dyDescent="0.25">
      <c r="AU1188" s="7"/>
      <c r="AV1188" s="7"/>
    </row>
    <row r="1189" spans="47:48" x14ac:dyDescent="0.25">
      <c r="AU1189" s="7"/>
      <c r="AV1189" s="7"/>
    </row>
    <row r="1190" spans="47:48" x14ac:dyDescent="0.25">
      <c r="AU1190" s="7"/>
      <c r="AV1190" s="7"/>
    </row>
    <row r="1191" spans="47:48" x14ac:dyDescent="0.25">
      <c r="AU1191" s="7"/>
      <c r="AV1191" s="7"/>
    </row>
    <row r="1192" spans="47:48" x14ac:dyDescent="0.25">
      <c r="AU1192" s="7"/>
      <c r="AV1192" s="7"/>
    </row>
    <row r="1193" spans="47:48" x14ac:dyDescent="0.25">
      <c r="AU1193" s="7"/>
      <c r="AV1193" s="7"/>
    </row>
    <row r="1194" spans="47:48" x14ac:dyDescent="0.25">
      <c r="AU1194" s="7"/>
      <c r="AV1194" s="7"/>
    </row>
    <row r="1195" spans="47:48" x14ac:dyDescent="0.25">
      <c r="AU1195" s="7"/>
      <c r="AV1195" s="7"/>
    </row>
    <row r="1196" spans="47:48" x14ac:dyDescent="0.25">
      <c r="AU1196" s="7"/>
      <c r="AV1196" s="7"/>
    </row>
    <row r="1197" spans="47:48" x14ac:dyDescent="0.25">
      <c r="AU1197" s="7"/>
      <c r="AV1197" s="7"/>
    </row>
    <row r="1198" spans="47:48" x14ac:dyDescent="0.25">
      <c r="AU1198" s="7"/>
      <c r="AV1198" s="7"/>
    </row>
    <row r="1199" spans="47:48" x14ac:dyDescent="0.25">
      <c r="AU1199" s="7"/>
      <c r="AV1199" s="7"/>
    </row>
    <row r="1200" spans="47:48" x14ac:dyDescent="0.25">
      <c r="AU1200" s="7"/>
      <c r="AV1200" s="7"/>
    </row>
    <row r="1201" spans="47:48" x14ac:dyDescent="0.25">
      <c r="AU1201" s="7"/>
      <c r="AV1201" s="7"/>
    </row>
    <row r="1202" spans="47:48" x14ac:dyDescent="0.25">
      <c r="AU1202" s="7"/>
      <c r="AV1202" s="7"/>
    </row>
    <row r="1203" spans="47:48" x14ac:dyDescent="0.25">
      <c r="AU1203" s="7"/>
      <c r="AV1203" s="7"/>
    </row>
    <row r="1204" spans="47:48" x14ac:dyDescent="0.25">
      <c r="AU1204" s="7"/>
      <c r="AV1204" s="7"/>
    </row>
    <row r="1205" spans="47:48" x14ac:dyDescent="0.25">
      <c r="AU1205" s="7"/>
      <c r="AV1205" s="7"/>
    </row>
    <row r="1206" spans="47:48" x14ac:dyDescent="0.25">
      <c r="AU1206" s="7"/>
      <c r="AV1206" s="7"/>
    </row>
    <row r="1207" spans="47:48" x14ac:dyDescent="0.25">
      <c r="AU1207" s="7"/>
      <c r="AV1207" s="7"/>
    </row>
    <row r="1208" spans="47:48" x14ac:dyDescent="0.25">
      <c r="AU1208" s="7"/>
      <c r="AV1208" s="7"/>
    </row>
    <row r="1209" spans="47:48" x14ac:dyDescent="0.25">
      <c r="AU1209" s="7"/>
      <c r="AV1209" s="7"/>
    </row>
    <row r="1210" spans="47:48" x14ac:dyDescent="0.25">
      <c r="AU1210" s="7"/>
      <c r="AV1210" s="7"/>
    </row>
    <row r="1211" spans="47:48" x14ac:dyDescent="0.25">
      <c r="AU1211" s="7"/>
      <c r="AV1211" s="7"/>
    </row>
    <row r="1212" spans="47:48" x14ac:dyDescent="0.25">
      <c r="AU1212" s="7"/>
      <c r="AV1212" s="7"/>
    </row>
    <row r="1213" spans="47:48" x14ac:dyDescent="0.25">
      <c r="AU1213" s="7"/>
      <c r="AV1213" s="7"/>
    </row>
    <row r="1214" spans="47:48" x14ac:dyDescent="0.25">
      <c r="AU1214" s="7"/>
      <c r="AV1214" s="7"/>
    </row>
    <row r="1215" spans="47:48" x14ac:dyDescent="0.25">
      <c r="AU1215" s="7"/>
      <c r="AV1215" s="7"/>
    </row>
    <row r="1216" spans="47:48" x14ac:dyDescent="0.25">
      <c r="AU1216" s="7"/>
      <c r="AV1216" s="7"/>
    </row>
    <row r="1217" spans="47:48" x14ac:dyDescent="0.25">
      <c r="AU1217" s="7"/>
      <c r="AV1217" s="7"/>
    </row>
    <row r="1218" spans="47:48" x14ac:dyDescent="0.25">
      <c r="AU1218" s="7"/>
      <c r="AV1218" s="7"/>
    </row>
    <row r="1219" spans="47:48" x14ac:dyDescent="0.25">
      <c r="AU1219" s="7"/>
      <c r="AV1219" s="7"/>
    </row>
    <row r="1220" spans="47:48" x14ac:dyDescent="0.25">
      <c r="AU1220" s="7"/>
      <c r="AV1220" s="7"/>
    </row>
    <row r="1221" spans="47:48" x14ac:dyDescent="0.25">
      <c r="AU1221" s="7"/>
      <c r="AV1221" s="7"/>
    </row>
    <row r="1222" spans="47:48" x14ac:dyDescent="0.25">
      <c r="AU1222" s="7"/>
      <c r="AV1222" s="7"/>
    </row>
    <row r="1223" spans="47:48" x14ac:dyDescent="0.25">
      <c r="AU1223" s="7"/>
      <c r="AV1223" s="7"/>
    </row>
    <row r="1224" spans="47:48" x14ac:dyDescent="0.25">
      <c r="AU1224" s="7"/>
      <c r="AV1224" s="7"/>
    </row>
    <row r="1225" spans="47:48" x14ac:dyDescent="0.25">
      <c r="AU1225" s="7"/>
      <c r="AV1225" s="7"/>
    </row>
    <row r="1226" spans="47:48" x14ac:dyDescent="0.25">
      <c r="AU1226" s="7"/>
      <c r="AV1226" s="7"/>
    </row>
    <row r="1227" spans="47:48" x14ac:dyDescent="0.25">
      <c r="AU1227" s="7"/>
      <c r="AV1227" s="7"/>
    </row>
    <row r="1228" spans="47:48" x14ac:dyDescent="0.25">
      <c r="AU1228" s="7"/>
      <c r="AV1228" s="7"/>
    </row>
    <row r="1229" spans="47:48" x14ac:dyDescent="0.25">
      <c r="AU1229" s="7"/>
      <c r="AV1229" s="7"/>
    </row>
    <row r="1230" spans="47:48" x14ac:dyDescent="0.25">
      <c r="AU1230" s="7"/>
      <c r="AV1230" s="7"/>
    </row>
    <row r="1231" spans="47:48" x14ac:dyDescent="0.25">
      <c r="AU1231" s="7"/>
      <c r="AV1231" s="7"/>
    </row>
    <row r="1232" spans="47:48" x14ac:dyDescent="0.25">
      <c r="AU1232" s="7"/>
      <c r="AV1232" s="7"/>
    </row>
    <row r="1233" spans="47:48" x14ac:dyDescent="0.25">
      <c r="AU1233" s="7"/>
      <c r="AV1233" s="7"/>
    </row>
    <row r="1234" spans="47:48" x14ac:dyDescent="0.25">
      <c r="AU1234" s="7"/>
      <c r="AV1234" s="7"/>
    </row>
    <row r="1235" spans="47:48" x14ac:dyDescent="0.25">
      <c r="AU1235" s="7"/>
      <c r="AV1235" s="7"/>
    </row>
    <row r="1236" spans="47:48" x14ac:dyDescent="0.25">
      <c r="AU1236" s="7"/>
      <c r="AV1236" s="7"/>
    </row>
    <row r="1237" spans="47:48" x14ac:dyDescent="0.25">
      <c r="AU1237" s="7"/>
      <c r="AV1237" s="7"/>
    </row>
    <row r="1238" spans="47:48" x14ac:dyDescent="0.25">
      <c r="AU1238" s="7"/>
      <c r="AV1238" s="7"/>
    </row>
    <row r="1239" spans="47:48" x14ac:dyDescent="0.25">
      <c r="AU1239" s="7"/>
      <c r="AV1239" s="7"/>
    </row>
    <row r="1240" spans="47:48" x14ac:dyDescent="0.25">
      <c r="AU1240" s="7"/>
      <c r="AV1240" s="7"/>
    </row>
    <row r="1241" spans="47:48" x14ac:dyDescent="0.25">
      <c r="AU1241" s="7"/>
      <c r="AV1241" s="7"/>
    </row>
    <row r="1242" spans="47:48" x14ac:dyDescent="0.25">
      <c r="AU1242" s="7"/>
      <c r="AV1242" s="7"/>
    </row>
    <row r="1243" spans="47:48" x14ac:dyDescent="0.25">
      <c r="AU1243" s="7"/>
      <c r="AV1243" s="7"/>
    </row>
    <row r="1244" spans="47:48" x14ac:dyDescent="0.25">
      <c r="AU1244" s="7"/>
      <c r="AV1244" s="7"/>
    </row>
    <row r="1245" spans="47:48" x14ac:dyDescent="0.25">
      <c r="AU1245" s="7"/>
      <c r="AV1245" s="7"/>
    </row>
    <row r="1246" spans="47:48" x14ac:dyDescent="0.25">
      <c r="AU1246" s="7"/>
      <c r="AV1246" s="7"/>
    </row>
    <row r="1247" spans="47:48" x14ac:dyDescent="0.25">
      <c r="AU1247" s="7"/>
      <c r="AV1247" s="7"/>
    </row>
    <row r="1248" spans="47:48" x14ac:dyDescent="0.25">
      <c r="AU1248" s="7"/>
      <c r="AV1248" s="7"/>
    </row>
    <row r="1249" spans="47:48" x14ac:dyDescent="0.25">
      <c r="AU1249" s="7"/>
      <c r="AV1249" s="7"/>
    </row>
    <row r="1250" spans="47:48" x14ac:dyDescent="0.25">
      <c r="AU1250" s="7"/>
      <c r="AV1250" s="7"/>
    </row>
    <row r="1251" spans="47:48" x14ac:dyDescent="0.25">
      <c r="AU1251" s="7"/>
      <c r="AV1251" s="7"/>
    </row>
    <row r="1252" spans="47:48" x14ac:dyDescent="0.25">
      <c r="AU1252" s="7"/>
      <c r="AV1252" s="7"/>
    </row>
    <row r="1253" spans="47:48" x14ac:dyDescent="0.25">
      <c r="AU1253" s="7"/>
      <c r="AV1253" s="7"/>
    </row>
    <row r="1254" spans="47:48" x14ac:dyDescent="0.25">
      <c r="AU1254" s="7"/>
      <c r="AV1254" s="7"/>
    </row>
    <row r="1255" spans="47:48" x14ac:dyDescent="0.25">
      <c r="AU1255" s="7"/>
      <c r="AV1255" s="7"/>
    </row>
    <row r="1256" spans="47:48" x14ac:dyDescent="0.25">
      <c r="AU1256" s="7"/>
      <c r="AV1256" s="7"/>
    </row>
    <row r="1257" spans="47:48" x14ac:dyDescent="0.25">
      <c r="AU1257" s="7"/>
      <c r="AV1257" s="7"/>
    </row>
    <row r="1258" spans="47:48" x14ac:dyDescent="0.25">
      <c r="AU1258" s="7"/>
      <c r="AV1258" s="7"/>
    </row>
    <row r="1259" spans="47:48" x14ac:dyDescent="0.25">
      <c r="AU1259" s="7"/>
      <c r="AV1259" s="7"/>
    </row>
    <row r="1260" spans="47:48" x14ac:dyDescent="0.25">
      <c r="AU1260" s="7"/>
      <c r="AV1260" s="7"/>
    </row>
    <row r="1261" spans="47:48" x14ac:dyDescent="0.25">
      <c r="AU1261" s="7"/>
      <c r="AV1261" s="7"/>
    </row>
    <row r="1262" spans="47:48" x14ac:dyDescent="0.25">
      <c r="AU1262" s="7"/>
      <c r="AV1262" s="7"/>
    </row>
    <row r="1263" spans="47:48" x14ac:dyDescent="0.25">
      <c r="AU1263" s="7"/>
      <c r="AV1263" s="7"/>
    </row>
    <row r="1264" spans="47:48" x14ac:dyDescent="0.25">
      <c r="AU1264" s="7"/>
      <c r="AV1264" s="7"/>
    </row>
    <row r="1265" spans="47:48" x14ac:dyDescent="0.25">
      <c r="AU1265" s="7"/>
      <c r="AV1265" s="7"/>
    </row>
    <row r="1266" spans="47:48" x14ac:dyDescent="0.25">
      <c r="AU1266" s="7"/>
      <c r="AV1266" s="7"/>
    </row>
    <row r="1267" spans="47:48" x14ac:dyDescent="0.25">
      <c r="AU1267" s="7"/>
      <c r="AV1267" s="7"/>
    </row>
    <row r="1268" spans="47:48" x14ac:dyDescent="0.25">
      <c r="AU1268" s="7"/>
      <c r="AV1268" s="7"/>
    </row>
    <row r="1269" spans="47:48" x14ac:dyDescent="0.25">
      <c r="AU1269" s="7"/>
      <c r="AV1269" s="7"/>
    </row>
    <row r="1270" spans="47:48" x14ac:dyDescent="0.25">
      <c r="AU1270" s="7"/>
      <c r="AV1270" s="7"/>
    </row>
    <row r="1271" spans="47:48" x14ac:dyDescent="0.25">
      <c r="AU1271" s="7"/>
      <c r="AV1271" s="7"/>
    </row>
    <row r="1272" spans="47:48" x14ac:dyDescent="0.25">
      <c r="AU1272" s="7"/>
      <c r="AV1272" s="7"/>
    </row>
    <row r="1273" spans="47:48" x14ac:dyDescent="0.25">
      <c r="AU1273" s="7"/>
      <c r="AV1273" s="7"/>
    </row>
    <row r="1274" spans="47:48" x14ac:dyDescent="0.25">
      <c r="AU1274" s="7"/>
      <c r="AV1274" s="7"/>
    </row>
    <row r="1275" spans="47:48" x14ac:dyDescent="0.25">
      <c r="AU1275" s="7"/>
      <c r="AV1275" s="7"/>
    </row>
    <row r="1276" spans="47:48" x14ac:dyDescent="0.25">
      <c r="AU1276" s="7"/>
      <c r="AV1276" s="7"/>
    </row>
    <row r="1277" spans="47:48" x14ac:dyDescent="0.25">
      <c r="AU1277" s="7"/>
      <c r="AV1277" s="7"/>
    </row>
    <row r="1278" spans="47:48" x14ac:dyDescent="0.25">
      <c r="AU1278" s="7"/>
      <c r="AV1278" s="7"/>
    </row>
    <row r="1279" spans="47:48" x14ac:dyDescent="0.25">
      <c r="AU1279" s="7"/>
      <c r="AV1279" s="7"/>
    </row>
    <row r="1280" spans="47:48" x14ac:dyDescent="0.25">
      <c r="AU1280" s="7"/>
      <c r="AV1280" s="7"/>
    </row>
    <row r="1281" spans="47:48" x14ac:dyDescent="0.25">
      <c r="AU1281" s="7"/>
      <c r="AV1281" s="7"/>
    </row>
    <row r="1282" spans="47:48" x14ac:dyDescent="0.25">
      <c r="AU1282" s="7"/>
      <c r="AV1282" s="7"/>
    </row>
    <row r="1283" spans="47:48" x14ac:dyDescent="0.25">
      <c r="AU1283" s="7"/>
      <c r="AV1283" s="7"/>
    </row>
    <row r="1284" spans="47:48" x14ac:dyDescent="0.25">
      <c r="AU1284" s="7"/>
      <c r="AV1284" s="7"/>
    </row>
    <row r="1285" spans="47:48" x14ac:dyDescent="0.25">
      <c r="AU1285" s="7"/>
      <c r="AV1285" s="7"/>
    </row>
    <row r="1286" spans="47:48" x14ac:dyDescent="0.25">
      <c r="AU1286" s="7"/>
      <c r="AV1286" s="7"/>
    </row>
    <row r="1287" spans="47:48" x14ac:dyDescent="0.25">
      <c r="AU1287" s="7"/>
      <c r="AV1287" s="7"/>
    </row>
    <row r="1288" spans="47:48" x14ac:dyDescent="0.25">
      <c r="AU1288" s="7"/>
      <c r="AV1288" s="7"/>
    </row>
    <row r="1289" spans="47:48" x14ac:dyDescent="0.25">
      <c r="AU1289" s="7"/>
      <c r="AV1289" s="7"/>
    </row>
    <row r="1290" spans="47:48" x14ac:dyDescent="0.25">
      <c r="AU1290" s="7"/>
      <c r="AV1290" s="7"/>
    </row>
    <row r="1291" spans="47:48" x14ac:dyDescent="0.25">
      <c r="AU1291" s="7"/>
      <c r="AV1291" s="7"/>
    </row>
    <row r="1292" spans="47:48" x14ac:dyDescent="0.25">
      <c r="AU1292" s="7"/>
      <c r="AV1292" s="7"/>
    </row>
    <row r="1293" spans="47:48" x14ac:dyDescent="0.25">
      <c r="AU1293" s="7"/>
      <c r="AV1293" s="7"/>
    </row>
    <row r="1294" spans="47:48" x14ac:dyDescent="0.25">
      <c r="AU1294" s="7"/>
      <c r="AV1294" s="7"/>
    </row>
    <row r="1295" spans="47:48" x14ac:dyDescent="0.25">
      <c r="AU1295" s="7"/>
      <c r="AV1295" s="7"/>
    </row>
    <row r="1296" spans="47:48" x14ac:dyDescent="0.25">
      <c r="AU1296" s="7"/>
      <c r="AV1296" s="7"/>
    </row>
    <row r="1297" spans="47:48" x14ac:dyDescent="0.25">
      <c r="AU1297" s="7"/>
      <c r="AV1297" s="7"/>
    </row>
    <row r="1298" spans="47:48" x14ac:dyDescent="0.25">
      <c r="AU1298" s="7"/>
      <c r="AV1298" s="7"/>
    </row>
    <row r="1299" spans="47:48" x14ac:dyDescent="0.25">
      <c r="AU1299" s="7"/>
      <c r="AV1299" s="7"/>
    </row>
    <row r="1300" spans="47:48" x14ac:dyDescent="0.25">
      <c r="AU1300" s="7"/>
      <c r="AV1300" s="7"/>
    </row>
    <row r="1301" spans="47:48" x14ac:dyDescent="0.25">
      <c r="AU1301" s="7"/>
      <c r="AV1301" s="7"/>
    </row>
    <row r="1302" spans="47:48" x14ac:dyDescent="0.25">
      <c r="AU1302" s="7"/>
      <c r="AV1302" s="7"/>
    </row>
    <row r="1303" spans="47:48" x14ac:dyDescent="0.25">
      <c r="AU1303" s="7"/>
      <c r="AV1303" s="7"/>
    </row>
    <row r="1304" spans="47:48" x14ac:dyDescent="0.25">
      <c r="AU1304" s="7"/>
      <c r="AV1304" s="7"/>
    </row>
    <row r="1305" spans="47:48" x14ac:dyDescent="0.25">
      <c r="AU1305" s="7"/>
      <c r="AV1305" s="7"/>
    </row>
    <row r="1306" spans="47:48" x14ac:dyDescent="0.25">
      <c r="AU1306" s="7"/>
      <c r="AV1306" s="7"/>
    </row>
    <row r="1307" spans="47:48" x14ac:dyDescent="0.25">
      <c r="AU1307" s="7"/>
      <c r="AV1307" s="7"/>
    </row>
    <row r="1308" spans="47:48" x14ac:dyDescent="0.25">
      <c r="AU1308" s="7"/>
      <c r="AV1308" s="7"/>
    </row>
    <row r="1309" spans="47:48" x14ac:dyDescent="0.25">
      <c r="AU1309" s="7"/>
      <c r="AV1309" s="7"/>
    </row>
    <row r="1310" spans="47:48" x14ac:dyDescent="0.25">
      <c r="AU1310" s="7"/>
      <c r="AV1310" s="7"/>
    </row>
    <row r="1311" spans="47:48" x14ac:dyDescent="0.25">
      <c r="AU1311" s="7"/>
      <c r="AV1311" s="7"/>
    </row>
    <row r="1312" spans="47:48" x14ac:dyDescent="0.25">
      <c r="AU1312" s="7"/>
      <c r="AV1312" s="7"/>
    </row>
    <row r="1313" spans="47:48" x14ac:dyDescent="0.25">
      <c r="AU1313" s="7"/>
      <c r="AV1313" s="7"/>
    </row>
    <row r="1314" spans="47:48" x14ac:dyDescent="0.25">
      <c r="AU1314" s="7"/>
      <c r="AV1314" s="7"/>
    </row>
    <row r="1315" spans="47:48" x14ac:dyDescent="0.25">
      <c r="AU1315" s="7"/>
      <c r="AV1315" s="7"/>
    </row>
    <row r="1316" spans="47:48" x14ac:dyDescent="0.25">
      <c r="AU1316" s="7"/>
      <c r="AV1316" s="7"/>
    </row>
    <row r="1317" spans="47:48" x14ac:dyDescent="0.25">
      <c r="AU1317" s="7"/>
      <c r="AV1317" s="7"/>
    </row>
    <row r="1318" spans="47:48" x14ac:dyDescent="0.25">
      <c r="AU1318" s="7"/>
      <c r="AV1318" s="7"/>
    </row>
    <row r="1319" spans="47:48" x14ac:dyDescent="0.25">
      <c r="AU1319" s="7"/>
      <c r="AV1319" s="7"/>
    </row>
    <row r="1320" spans="47:48" x14ac:dyDescent="0.25">
      <c r="AU1320" s="7"/>
      <c r="AV1320" s="7"/>
    </row>
    <row r="1321" spans="47:48" x14ac:dyDescent="0.25">
      <c r="AU1321" s="7"/>
      <c r="AV1321" s="7"/>
    </row>
    <row r="1322" spans="47:48" x14ac:dyDescent="0.25">
      <c r="AU1322" s="7"/>
      <c r="AV1322" s="7"/>
    </row>
    <row r="1323" spans="47:48" x14ac:dyDescent="0.25">
      <c r="AU1323" s="7"/>
      <c r="AV1323" s="7"/>
    </row>
    <row r="1324" spans="47:48" x14ac:dyDescent="0.25">
      <c r="AU1324" s="7"/>
      <c r="AV1324" s="7"/>
    </row>
    <row r="1325" spans="47:48" x14ac:dyDescent="0.25">
      <c r="AU1325" s="7"/>
      <c r="AV1325" s="7"/>
    </row>
    <row r="1326" spans="47:48" x14ac:dyDescent="0.25">
      <c r="AU1326" s="7"/>
      <c r="AV1326" s="7"/>
    </row>
    <row r="1327" spans="47:48" x14ac:dyDescent="0.25">
      <c r="AU1327" s="7"/>
      <c r="AV1327" s="7"/>
    </row>
    <row r="1328" spans="47:48" x14ac:dyDescent="0.25">
      <c r="AU1328" s="7"/>
      <c r="AV1328" s="7"/>
    </row>
    <row r="1329" spans="47:48" x14ac:dyDescent="0.25">
      <c r="AU1329" s="7"/>
      <c r="AV1329" s="7"/>
    </row>
    <row r="1330" spans="47:48" x14ac:dyDescent="0.25">
      <c r="AU1330" s="7"/>
      <c r="AV1330" s="7"/>
    </row>
    <row r="1331" spans="47:48" x14ac:dyDescent="0.25">
      <c r="AU1331" s="7"/>
      <c r="AV1331" s="7"/>
    </row>
    <row r="1332" spans="47:48" x14ac:dyDescent="0.25">
      <c r="AU1332" s="7"/>
      <c r="AV1332" s="7"/>
    </row>
    <row r="1333" spans="47:48" x14ac:dyDescent="0.25">
      <c r="AU1333" s="7"/>
      <c r="AV1333" s="7"/>
    </row>
    <row r="1334" spans="47:48" x14ac:dyDescent="0.25">
      <c r="AU1334" s="7"/>
      <c r="AV1334" s="7"/>
    </row>
    <row r="1335" spans="47:48" x14ac:dyDescent="0.25">
      <c r="AU1335" s="7"/>
      <c r="AV1335" s="7"/>
    </row>
    <row r="1336" spans="47:48" x14ac:dyDescent="0.25">
      <c r="AU1336" s="7"/>
      <c r="AV1336" s="7"/>
    </row>
    <row r="1337" spans="47:48" x14ac:dyDescent="0.25">
      <c r="AU1337" s="7"/>
      <c r="AV1337" s="7"/>
    </row>
    <row r="1338" spans="47:48" x14ac:dyDescent="0.25">
      <c r="AU1338" s="7"/>
      <c r="AV1338" s="7"/>
    </row>
    <row r="1339" spans="47:48" x14ac:dyDescent="0.25">
      <c r="AU1339" s="7"/>
      <c r="AV1339" s="7"/>
    </row>
    <row r="1340" spans="47:48" x14ac:dyDescent="0.25">
      <c r="AU1340" s="7"/>
      <c r="AV1340" s="7"/>
    </row>
    <row r="1341" spans="47:48" x14ac:dyDescent="0.25">
      <c r="AU1341" s="7"/>
      <c r="AV1341" s="7"/>
    </row>
    <row r="1342" spans="47:48" x14ac:dyDescent="0.25">
      <c r="AU1342" s="7"/>
      <c r="AV1342" s="7"/>
    </row>
    <row r="1343" spans="47:48" x14ac:dyDescent="0.25">
      <c r="AU1343" s="7"/>
      <c r="AV1343" s="7"/>
    </row>
    <row r="1344" spans="47:48" x14ac:dyDescent="0.25">
      <c r="AU1344" s="7"/>
      <c r="AV1344" s="7"/>
    </row>
    <row r="1345" spans="47:48" x14ac:dyDescent="0.25">
      <c r="AU1345" s="7"/>
      <c r="AV1345" s="7"/>
    </row>
    <row r="1346" spans="47:48" x14ac:dyDescent="0.25">
      <c r="AU1346" s="7"/>
      <c r="AV1346" s="7"/>
    </row>
    <row r="1347" spans="47:48" x14ac:dyDescent="0.25">
      <c r="AU1347" s="7"/>
      <c r="AV1347" s="7"/>
    </row>
    <row r="1348" spans="47:48" x14ac:dyDescent="0.25">
      <c r="AU1348" s="7"/>
      <c r="AV1348" s="7"/>
    </row>
    <row r="1349" spans="47:48" x14ac:dyDescent="0.25">
      <c r="AU1349" s="7"/>
      <c r="AV1349" s="7"/>
    </row>
    <row r="1350" spans="47:48" x14ac:dyDescent="0.25">
      <c r="AU1350" s="7"/>
      <c r="AV1350" s="7"/>
    </row>
    <row r="1351" spans="47:48" x14ac:dyDescent="0.25">
      <c r="AU1351" s="7"/>
      <c r="AV1351" s="7"/>
    </row>
    <row r="1352" spans="47:48" x14ac:dyDescent="0.25">
      <c r="AU1352" s="7"/>
      <c r="AV1352" s="7"/>
    </row>
    <row r="1353" spans="47:48" x14ac:dyDescent="0.25">
      <c r="AU1353" s="7"/>
      <c r="AV1353" s="7"/>
    </row>
    <row r="1354" spans="47:48" x14ac:dyDescent="0.25">
      <c r="AU1354" s="7"/>
      <c r="AV1354" s="7"/>
    </row>
    <row r="1355" spans="47:48" x14ac:dyDescent="0.25">
      <c r="AU1355" s="7"/>
      <c r="AV1355" s="7"/>
    </row>
    <row r="1356" spans="47:48" x14ac:dyDescent="0.25">
      <c r="AU1356" s="7"/>
      <c r="AV1356" s="7"/>
    </row>
    <row r="1357" spans="47:48" x14ac:dyDescent="0.25">
      <c r="AU1357" s="7"/>
      <c r="AV1357" s="7"/>
    </row>
    <row r="1358" spans="47:48" x14ac:dyDescent="0.25">
      <c r="AU1358" s="7"/>
      <c r="AV1358" s="7"/>
    </row>
    <row r="1359" spans="47:48" x14ac:dyDescent="0.25">
      <c r="AU1359" s="7"/>
      <c r="AV1359" s="7"/>
    </row>
    <row r="1360" spans="47:48" x14ac:dyDescent="0.25">
      <c r="AU1360" s="7"/>
      <c r="AV1360" s="7"/>
    </row>
    <row r="1361" spans="47:48" x14ac:dyDescent="0.25">
      <c r="AU1361" s="7"/>
      <c r="AV1361" s="7"/>
    </row>
    <row r="1362" spans="47:48" x14ac:dyDescent="0.25">
      <c r="AU1362" s="7"/>
      <c r="AV1362" s="7"/>
    </row>
    <row r="1363" spans="47:48" x14ac:dyDescent="0.25">
      <c r="AU1363" s="7"/>
      <c r="AV1363" s="7"/>
    </row>
    <row r="1364" spans="47:48" x14ac:dyDescent="0.25">
      <c r="AU1364" s="7"/>
      <c r="AV1364" s="7"/>
    </row>
    <row r="1365" spans="47:48" x14ac:dyDescent="0.25">
      <c r="AU1365" s="7"/>
      <c r="AV1365" s="7"/>
    </row>
    <row r="1366" spans="47:48" x14ac:dyDescent="0.25">
      <c r="AU1366" s="7"/>
      <c r="AV1366" s="7"/>
    </row>
    <row r="1367" spans="47:48" x14ac:dyDescent="0.25">
      <c r="AU1367" s="7"/>
      <c r="AV1367" s="7"/>
    </row>
    <row r="1368" spans="47:48" x14ac:dyDescent="0.25">
      <c r="AU1368" s="7"/>
      <c r="AV1368" s="7"/>
    </row>
    <row r="1369" spans="47:48" x14ac:dyDescent="0.25">
      <c r="AU1369" s="7"/>
      <c r="AV1369" s="7"/>
    </row>
    <row r="1370" spans="47:48" x14ac:dyDescent="0.25">
      <c r="AU1370" s="7"/>
      <c r="AV1370" s="7"/>
    </row>
    <row r="1371" spans="47:48" x14ac:dyDescent="0.25">
      <c r="AU1371" s="7"/>
      <c r="AV1371" s="7"/>
    </row>
    <row r="1372" spans="47:48" x14ac:dyDescent="0.25">
      <c r="AU1372" s="7"/>
      <c r="AV1372" s="7"/>
    </row>
    <row r="1373" spans="47:48" x14ac:dyDescent="0.25">
      <c r="AU1373" s="7"/>
      <c r="AV1373" s="7"/>
    </row>
    <row r="1374" spans="47:48" x14ac:dyDescent="0.25">
      <c r="AU1374" s="7"/>
      <c r="AV1374" s="7"/>
    </row>
    <row r="1375" spans="47:48" x14ac:dyDescent="0.25">
      <c r="AU1375" s="7"/>
      <c r="AV1375" s="7"/>
    </row>
    <row r="1376" spans="47:48" x14ac:dyDescent="0.25">
      <c r="AU1376" s="7"/>
      <c r="AV1376" s="7"/>
    </row>
    <row r="1377" spans="47:48" x14ac:dyDescent="0.25">
      <c r="AU1377" s="7"/>
      <c r="AV1377" s="7"/>
    </row>
    <row r="1378" spans="47:48" x14ac:dyDescent="0.25">
      <c r="AU1378" s="7"/>
      <c r="AV1378" s="7"/>
    </row>
    <row r="1379" spans="47:48" x14ac:dyDescent="0.25">
      <c r="AU1379" s="7"/>
      <c r="AV1379" s="7"/>
    </row>
    <row r="1380" spans="47:48" x14ac:dyDescent="0.25">
      <c r="AU1380" s="7"/>
      <c r="AV1380" s="7"/>
    </row>
    <row r="1381" spans="47:48" x14ac:dyDescent="0.25">
      <c r="AU1381" s="7"/>
      <c r="AV1381" s="7"/>
    </row>
    <row r="1382" spans="47:48" x14ac:dyDescent="0.25">
      <c r="AU1382" s="7"/>
      <c r="AV1382" s="7"/>
    </row>
    <row r="1383" spans="47:48" x14ac:dyDescent="0.25">
      <c r="AU1383" s="7"/>
      <c r="AV1383" s="7"/>
    </row>
    <row r="1384" spans="47:48" x14ac:dyDescent="0.25">
      <c r="AU1384" s="7"/>
      <c r="AV1384" s="7"/>
    </row>
    <row r="1385" spans="47:48" x14ac:dyDescent="0.25">
      <c r="AU1385" s="7"/>
      <c r="AV1385" s="7"/>
    </row>
    <row r="1386" spans="47:48" x14ac:dyDescent="0.25">
      <c r="AU1386" s="7"/>
      <c r="AV1386" s="7"/>
    </row>
    <row r="1387" spans="47:48" x14ac:dyDescent="0.25">
      <c r="AU1387" s="7"/>
      <c r="AV1387" s="7"/>
    </row>
    <row r="1388" spans="47:48" x14ac:dyDescent="0.25">
      <c r="AU1388" s="7"/>
      <c r="AV1388" s="7"/>
    </row>
    <row r="1389" spans="47:48" x14ac:dyDescent="0.25">
      <c r="AU1389" s="7"/>
      <c r="AV1389" s="7"/>
    </row>
    <row r="1390" spans="47:48" x14ac:dyDescent="0.25">
      <c r="AU1390" s="7"/>
      <c r="AV1390" s="7"/>
    </row>
    <row r="1391" spans="47:48" x14ac:dyDescent="0.25">
      <c r="AU1391" s="7"/>
      <c r="AV1391" s="7"/>
    </row>
    <row r="1392" spans="47:48" x14ac:dyDescent="0.25">
      <c r="AU1392" s="7"/>
      <c r="AV1392" s="7"/>
    </row>
    <row r="1393" spans="47:48" x14ac:dyDescent="0.25">
      <c r="AU1393" s="7"/>
      <c r="AV1393" s="7"/>
    </row>
    <row r="1394" spans="47:48" x14ac:dyDescent="0.25">
      <c r="AU1394" s="7"/>
      <c r="AV1394" s="7"/>
    </row>
    <row r="1395" spans="47:48" x14ac:dyDescent="0.25">
      <c r="AU1395" s="7"/>
      <c r="AV1395" s="7"/>
    </row>
    <row r="1396" spans="47:48" x14ac:dyDescent="0.25">
      <c r="AU1396" s="7"/>
      <c r="AV1396" s="7"/>
    </row>
    <row r="1397" spans="47:48" x14ac:dyDescent="0.25">
      <c r="AU1397" s="7"/>
      <c r="AV1397" s="7"/>
    </row>
    <row r="1398" spans="47:48" x14ac:dyDescent="0.25">
      <c r="AU1398" s="7"/>
      <c r="AV1398" s="7"/>
    </row>
    <row r="1399" spans="47:48" x14ac:dyDescent="0.25">
      <c r="AU1399" s="7"/>
      <c r="AV1399" s="7"/>
    </row>
    <row r="1400" spans="47:48" x14ac:dyDescent="0.25">
      <c r="AU1400" s="7"/>
      <c r="AV1400" s="7"/>
    </row>
    <row r="1401" spans="47:48" x14ac:dyDescent="0.25">
      <c r="AU1401" s="7"/>
      <c r="AV1401" s="7"/>
    </row>
    <row r="1402" spans="47:48" x14ac:dyDescent="0.25">
      <c r="AU1402" s="7"/>
      <c r="AV1402" s="7"/>
    </row>
    <row r="1403" spans="47:48" x14ac:dyDescent="0.25">
      <c r="AU1403" s="7"/>
      <c r="AV1403" s="7"/>
    </row>
    <row r="1404" spans="47:48" x14ac:dyDescent="0.25">
      <c r="AU1404" s="7"/>
      <c r="AV1404" s="7"/>
    </row>
    <row r="1405" spans="47:48" x14ac:dyDescent="0.25">
      <c r="AU1405" s="7"/>
      <c r="AV1405" s="7"/>
    </row>
    <row r="1406" spans="47:48" x14ac:dyDescent="0.25">
      <c r="AU1406" s="7"/>
      <c r="AV1406" s="7"/>
    </row>
    <row r="1407" spans="47:48" x14ac:dyDescent="0.25">
      <c r="AU1407" s="7"/>
      <c r="AV1407" s="7"/>
    </row>
    <row r="1408" spans="47:48" x14ac:dyDescent="0.25">
      <c r="AU1408" s="7"/>
      <c r="AV1408" s="7"/>
    </row>
    <row r="1409" spans="47:48" x14ac:dyDescent="0.25">
      <c r="AU1409" s="7"/>
      <c r="AV1409" s="7"/>
    </row>
    <row r="1410" spans="47:48" x14ac:dyDescent="0.25">
      <c r="AU1410" s="7"/>
      <c r="AV1410" s="7"/>
    </row>
    <row r="1411" spans="47:48" x14ac:dyDescent="0.25">
      <c r="AU1411" s="7"/>
      <c r="AV1411" s="7"/>
    </row>
    <row r="1412" spans="47:48" x14ac:dyDescent="0.25">
      <c r="AU1412" s="7"/>
      <c r="AV1412" s="7"/>
    </row>
    <row r="1413" spans="47:48" x14ac:dyDescent="0.25">
      <c r="AU1413" s="7"/>
      <c r="AV1413" s="7"/>
    </row>
    <row r="1414" spans="47:48" x14ac:dyDescent="0.25">
      <c r="AU1414" s="7"/>
      <c r="AV1414" s="7"/>
    </row>
    <row r="1415" spans="47:48" x14ac:dyDescent="0.25">
      <c r="AU1415" s="7"/>
      <c r="AV1415" s="7"/>
    </row>
    <row r="1416" spans="47:48" x14ac:dyDescent="0.25">
      <c r="AU1416" s="7"/>
      <c r="AV1416" s="7"/>
    </row>
    <row r="1417" spans="47:48" x14ac:dyDescent="0.25">
      <c r="AU1417" s="7"/>
      <c r="AV1417" s="7"/>
    </row>
    <row r="1418" spans="47:48" x14ac:dyDescent="0.25">
      <c r="AU1418" s="7"/>
      <c r="AV1418" s="7"/>
    </row>
    <row r="1419" spans="47:48" x14ac:dyDescent="0.25">
      <c r="AU1419" s="7"/>
      <c r="AV1419" s="7"/>
    </row>
    <row r="1420" spans="47:48" x14ac:dyDescent="0.25">
      <c r="AU1420" s="7"/>
      <c r="AV1420" s="7"/>
    </row>
    <row r="1421" spans="47:48" x14ac:dyDescent="0.25">
      <c r="AU1421" s="7"/>
      <c r="AV1421" s="7"/>
    </row>
    <row r="1422" spans="47:48" x14ac:dyDescent="0.25">
      <c r="AU1422" s="7"/>
      <c r="AV1422" s="7"/>
    </row>
    <row r="1423" spans="47:48" x14ac:dyDescent="0.25">
      <c r="AU1423" s="7"/>
      <c r="AV1423" s="7"/>
    </row>
    <row r="1424" spans="47:48" x14ac:dyDescent="0.25">
      <c r="AU1424" s="7"/>
      <c r="AV1424" s="7"/>
    </row>
    <row r="1425" spans="47:48" x14ac:dyDescent="0.25">
      <c r="AU1425" s="7"/>
      <c r="AV1425" s="7"/>
    </row>
    <row r="1426" spans="47:48" x14ac:dyDescent="0.25">
      <c r="AU1426" s="7"/>
      <c r="AV1426" s="7"/>
    </row>
    <row r="1427" spans="47:48" x14ac:dyDescent="0.25">
      <c r="AU1427" s="7"/>
      <c r="AV1427" s="7"/>
    </row>
    <row r="1428" spans="47:48" x14ac:dyDescent="0.25">
      <c r="AU1428" s="7"/>
      <c r="AV1428" s="7"/>
    </row>
    <row r="1429" spans="47:48" x14ac:dyDescent="0.25">
      <c r="AU1429" s="7"/>
      <c r="AV1429" s="7"/>
    </row>
    <row r="1430" spans="47:48" x14ac:dyDescent="0.25">
      <c r="AU1430" s="7"/>
      <c r="AV1430" s="7"/>
    </row>
    <row r="1431" spans="47:48" x14ac:dyDescent="0.25">
      <c r="AU1431" s="7"/>
      <c r="AV1431" s="7"/>
    </row>
    <row r="1432" spans="47:48" x14ac:dyDescent="0.25">
      <c r="AU1432" s="7"/>
      <c r="AV1432" s="7"/>
    </row>
    <row r="1433" spans="47:48" x14ac:dyDescent="0.25">
      <c r="AU1433" s="7"/>
      <c r="AV1433" s="7"/>
    </row>
    <row r="1434" spans="47:48" x14ac:dyDescent="0.25">
      <c r="AU1434" s="7"/>
      <c r="AV1434" s="7"/>
    </row>
    <row r="1435" spans="47:48" x14ac:dyDescent="0.25">
      <c r="AU1435" s="7"/>
      <c r="AV1435" s="7"/>
    </row>
    <row r="1436" spans="47:48" x14ac:dyDescent="0.25">
      <c r="AU1436" s="7"/>
      <c r="AV1436" s="7"/>
    </row>
    <row r="1437" spans="47:48" x14ac:dyDescent="0.25">
      <c r="AU1437" s="7"/>
      <c r="AV1437" s="7"/>
    </row>
    <row r="1438" spans="47:48" x14ac:dyDescent="0.25">
      <c r="AU1438" s="7"/>
      <c r="AV1438" s="7"/>
    </row>
    <row r="1439" spans="47:48" x14ac:dyDescent="0.25">
      <c r="AU1439" s="7"/>
      <c r="AV1439" s="7"/>
    </row>
    <row r="1440" spans="47:48" x14ac:dyDescent="0.25">
      <c r="AU1440" s="7"/>
      <c r="AV1440" s="7"/>
    </row>
    <row r="1441" spans="47:48" x14ac:dyDescent="0.25">
      <c r="AU1441" s="7"/>
      <c r="AV1441" s="7"/>
    </row>
    <row r="1442" spans="47:48" x14ac:dyDescent="0.25">
      <c r="AU1442" s="7"/>
      <c r="AV1442" s="7"/>
    </row>
    <row r="1443" spans="47:48" x14ac:dyDescent="0.25">
      <c r="AU1443" s="7"/>
      <c r="AV1443" s="7"/>
    </row>
    <row r="1444" spans="47:48" x14ac:dyDescent="0.25">
      <c r="AU1444" s="7"/>
      <c r="AV1444" s="7"/>
    </row>
    <row r="1445" spans="47:48" x14ac:dyDescent="0.25">
      <c r="AU1445" s="7"/>
      <c r="AV1445" s="7"/>
    </row>
    <row r="1446" spans="47:48" x14ac:dyDescent="0.25">
      <c r="AU1446" s="7"/>
      <c r="AV1446" s="7"/>
    </row>
    <row r="1447" spans="47:48" x14ac:dyDescent="0.25">
      <c r="AU1447" s="7"/>
      <c r="AV1447" s="7"/>
    </row>
    <row r="1448" spans="47:48" x14ac:dyDescent="0.25">
      <c r="AU1448" s="7"/>
      <c r="AV1448" s="7"/>
    </row>
    <row r="1449" spans="47:48" x14ac:dyDescent="0.25">
      <c r="AU1449" s="7"/>
      <c r="AV1449" s="7"/>
    </row>
    <row r="1450" spans="47:48" x14ac:dyDescent="0.25">
      <c r="AU1450" s="7"/>
      <c r="AV1450" s="7"/>
    </row>
    <row r="1451" spans="47:48" x14ac:dyDescent="0.25">
      <c r="AU1451" s="7"/>
      <c r="AV1451" s="7"/>
    </row>
    <row r="1452" spans="47:48" x14ac:dyDescent="0.25">
      <c r="AU1452" s="7"/>
      <c r="AV1452" s="7"/>
    </row>
    <row r="1453" spans="47:48" x14ac:dyDescent="0.25">
      <c r="AU1453" s="7"/>
      <c r="AV1453" s="7"/>
    </row>
    <row r="1454" spans="47:48" x14ac:dyDescent="0.25">
      <c r="AU1454" s="7"/>
      <c r="AV1454" s="7"/>
    </row>
    <row r="1455" spans="47:48" x14ac:dyDescent="0.25">
      <c r="AU1455" s="7"/>
      <c r="AV1455" s="7"/>
    </row>
    <row r="1456" spans="47:48" x14ac:dyDescent="0.25">
      <c r="AU1456" s="7"/>
      <c r="AV1456" s="7"/>
    </row>
    <row r="1457" spans="47:48" x14ac:dyDescent="0.25">
      <c r="AU1457" s="7"/>
      <c r="AV1457" s="7"/>
    </row>
    <row r="1458" spans="47:48" x14ac:dyDescent="0.25">
      <c r="AU1458" s="7"/>
      <c r="AV1458" s="7"/>
    </row>
    <row r="1459" spans="47:48" x14ac:dyDescent="0.25">
      <c r="AU1459" s="7"/>
      <c r="AV1459" s="7"/>
    </row>
    <row r="1460" spans="47:48" x14ac:dyDescent="0.25">
      <c r="AU1460" s="7"/>
      <c r="AV1460" s="7"/>
    </row>
    <row r="1461" spans="47:48" x14ac:dyDescent="0.25">
      <c r="AU1461" s="7"/>
      <c r="AV1461" s="7"/>
    </row>
    <row r="1462" spans="47:48" x14ac:dyDescent="0.25">
      <c r="AU1462" s="7"/>
      <c r="AV1462" s="7"/>
    </row>
    <row r="1463" spans="47:48" x14ac:dyDescent="0.25">
      <c r="AU1463" s="7"/>
      <c r="AV1463" s="7"/>
    </row>
    <row r="1464" spans="47:48" x14ac:dyDescent="0.25">
      <c r="AU1464" s="7"/>
      <c r="AV1464" s="7"/>
    </row>
    <row r="1465" spans="47:48" x14ac:dyDescent="0.25">
      <c r="AU1465" s="7"/>
      <c r="AV1465" s="7"/>
    </row>
    <row r="1466" spans="47:48" x14ac:dyDescent="0.25">
      <c r="AU1466" s="7"/>
      <c r="AV1466" s="7"/>
    </row>
    <row r="1467" spans="47:48" x14ac:dyDescent="0.25">
      <c r="AU1467" s="7"/>
      <c r="AV1467" s="7"/>
    </row>
    <row r="1468" spans="47:48" x14ac:dyDescent="0.25">
      <c r="AU1468" s="7"/>
      <c r="AV1468" s="7"/>
    </row>
    <row r="1469" spans="47:48" x14ac:dyDescent="0.25">
      <c r="AU1469" s="7"/>
      <c r="AV1469" s="7"/>
    </row>
    <row r="1470" spans="47:48" x14ac:dyDescent="0.25">
      <c r="AU1470" s="7"/>
      <c r="AV1470" s="7"/>
    </row>
    <row r="1471" spans="47:48" x14ac:dyDescent="0.25">
      <c r="AU1471" s="7"/>
      <c r="AV1471" s="7"/>
    </row>
    <row r="1472" spans="47:48" x14ac:dyDescent="0.25">
      <c r="AU1472" s="7"/>
      <c r="AV1472" s="7"/>
    </row>
    <row r="1473" spans="47:48" x14ac:dyDescent="0.25">
      <c r="AU1473" s="7"/>
      <c r="AV1473" s="7"/>
    </row>
    <row r="1474" spans="47:48" x14ac:dyDescent="0.25">
      <c r="AU1474" s="7"/>
      <c r="AV1474" s="7"/>
    </row>
    <row r="1475" spans="47:48" x14ac:dyDescent="0.25">
      <c r="AU1475" s="7"/>
      <c r="AV1475" s="7"/>
    </row>
    <row r="1476" spans="47:48" x14ac:dyDescent="0.25">
      <c r="AU1476" s="7"/>
      <c r="AV1476" s="7"/>
    </row>
    <row r="1477" spans="47:48" x14ac:dyDescent="0.25">
      <c r="AU1477" s="7"/>
      <c r="AV1477" s="7"/>
    </row>
    <row r="1478" spans="47:48" x14ac:dyDescent="0.25">
      <c r="AU1478" s="7"/>
      <c r="AV1478" s="7"/>
    </row>
    <row r="1479" spans="47:48" x14ac:dyDescent="0.25">
      <c r="AU1479" s="7"/>
      <c r="AV1479" s="7"/>
    </row>
    <row r="1480" spans="47:48" x14ac:dyDescent="0.25">
      <c r="AU1480" s="7"/>
      <c r="AV1480" s="7"/>
    </row>
    <row r="1481" spans="47:48" x14ac:dyDescent="0.25">
      <c r="AU1481" s="7"/>
      <c r="AV1481" s="7"/>
    </row>
    <row r="1482" spans="47:48" x14ac:dyDescent="0.25">
      <c r="AU1482" s="7"/>
      <c r="AV1482" s="7"/>
    </row>
    <row r="1483" spans="47:48" x14ac:dyDescent="0.25">
      <c r="AU1483" s="7"/>
      <c r="AV1483" s="7"/>
    </row>
    <row r="1484" spans="47:48" x14ac:dyDescent="0.25">
      <c r="AU1484" s="7"/>
      <c r="AV1484" s="7"/>
    </row>
    <row r="1485" spans="47:48" x14ac:dyDescent="0.25">
      <c r="AU1485" s="7"/>
      <c r="AV1485" s="7"/>
    </row>
    <row r="1486" spans="47:48" x14ac:dyDescent="0.25">
      <c r="AU1486" s="7"/>
      <c r="AV1486" s="7"/>
    </row>
    <row r="1487" spans="47:48" x14ac:dyDescent="0.25">
      <c r="AU1487" s="7"/>
      <c r="AV1487" s="7"/>
    </row>
    <row r="1488" spans="47:48" x14ac:dyDescent="0.25">
      <c r="AU1488" s="7"/>
      <c r="AV1488" s="7"/>
    </row>
    <row r="1489" spans="47:48" x14ac:dyDescent="0.25">
      <c r="AU1489" s="7"/>
      <c r="AV1489" s="7"/>
    </row>
    <row r="1490" spans="47:48" x14ac:dyDescent="0.25">
      <c r="AU1490" s="7"/>
      <c r="AV1490" s="7"/>
    </row>
    <row r="1491" spans="47:48" x14ac:dyDescent="0.25">
      <c r="AU1491" s="7"/>
      <c r="AV1491" s="7"/>
    </row>
    <row r="1492" spans="47:48" x14ac:dyDescent="0.25">
      <c r="AU1492" s="7"/>
      <c r="AV1492" s="7"/>
    </row>
    <row r="1493" spans="47:48" x14ac:dyDescent="0.25">
      <c r="AU1493" s="7"/>
      <c r="AV1493" s="7"/>
    </row>
    <row r="1494" spans="47:48" x14ac:dyDescent="0.25">
      <c r="AU1494" s="7"/>
      <c r="AV1494" s="7"/>
    </row>
    <row r="1495" spans="47:48" x14ac:dyDescent="0.25">
      <c r="AU1495" s="7"/>
      <c r="AV1495" s="7"/>
    </row>
    <row r="1496" spans="47:48" x14ac:dyDescent="0.25">
      <c r="AU1496" s="7"/>
      <c r="AV1496" s="7"/>
    </row>
    <row r="1497" spans="47:48" x14ac:dyDescent="0.25">
      <c r="AU1497" s="7"/>
      <c r="AV1497" s="7"/>
    </row>
    <row r="1498" spans="47:48" x14ac:dyDescent="0.25">
      <c r="AU1498" s="7"/>
      <c r="AV1498" s="7"/>
    </row>
    <row r="1499" spans="47:48" x14ac:dyDescent="0.25">
      <c r="AU1499" s="7"/>
      <c r="AV1499" s="7"/>
    </row>
    <row r="1500" spans="47:48" x14ac:dyDescent="0.25">
      <c r="AU1500" s="7"/>
      <c r="AV1500" s="7"/>
    </row>
    <row r="1501" spans="47:48" x14ac:dyDescent="0.25">
      <c r="AU1501" s="7"/>
      <c r="AV1501" s="7"/>
    </row>
    <row r="1502" spans="47:48" x14ac:dyDescent="0.25">
      <c r="AU1502" s="7"/>
      <c r="AV1502" s="7"/>
    </row>
    <row r="1503" spans="47:48" x14ac:dyDescent="0.25">
      <c r="AU1503" s="7"/>
      <c r="AV1503" s="7"/>
    </row>
    <row r="1504" spans="47:48" x14ac:dyDescent="0.25">
      <c r="AU1504" s="7"/>
      <c r="AV1504" s="7"/>
    </row>
    <row r="1505" spans="47:48" x14ac:dyDescent="0.25">
      <c r="AU1505" s="7"/>
      <c r="AV1505" s="7"/>
    </row>
    <row r="1506" spans="47:48" x14ac:dyDescent="0.25">
      <c r="AU1506" s="7"/>
      <c r="AV1506" s="7"/>
    </row>
    <row r="1507" spans="47:48" x14ac:dyDescent="0.25">
      <c r="AU1507" s="7"/>
      <c r="AV1507" s="7"/>
    </row>
    <row r="1508" spans="47:48" x14ac:dyDescent="0.25">
      <c r="AU1508" s="7"/>
      <c r="AV1508" s="7"/>
    </row>
    <row r="1509" spans="47:48" x14ac:dyDescent="0.25">
      <c r="AU1509" s="7"/>
      <c r="AV1509" s="7"/>
    </row>
    <row r="1510" spans="47:48" x14ac:dyDescent="0.25">
      <c r="AU1510" s="7"/>
      <c r="AV1510" s="7"/>
    </row>
    <row r="1511" spans="47:48" x14ac:dyDescent="0.25">
      <c r="AU1511" s="7"/>
      <c r="AV1511" s="7"/>
    </row>
    <row r="1512" spans="47:48" x14ac:dyDescent="0.25">
      <c r="AU1512" s="7"/>
      <c r="AV1512" s="7"/>
    </row>
    <row r="1513" spans="47:48" x14ac:dyDescent="0.25">
      <c r="AU1513" s="7"/>
      <c r="AV1513" s="7"/>
    </row>
    <row r="1514" spans="47:48" x14ac:dyDescent="0.25">
      <c r="AU1514" s="7"/>
      <c r="AV1514" s="7"/>
    </row>
    <row r="1515" spans="47:48" x14ac:dyDescent="0.25">
      <c r="AU1515" s="7"/>
      <c r="AV1515" s="7"/>
    </row>
    <row r="1516" spans="47:48" x14ac:dyDescent="0.25">
      <c r="AU1516" s="7"/>
      <c r="AV1516" s="7"/>
    </row>
    <row r="1517" spans="47:48" x14ac:dyDescent="0.25">
      <c r="AU1517" s="7"/>
      <c r="AV1517" s="7"/>
    </row>
    <row r="1518" spans="47:48" x14ac:dyDescent="0.25">
      <c r="AU1518" s="7"/>
      <c r="AV1518" s="7"/>
    </row>
    <row r="1519" spans="47:48" x14ac:dyDescent="0.25">
      <c r="AU1519" s="7"/>
      <c r="AV1519" s="7"/>
    </row>
    <row r="1520" spans="47:48" x14ac:dyDescent="0.25">
      <c r="AU1520" s="7"/>
      <c r="AV1520" s="7"/>
    </row>
    <row r="1521" spans="47:48" x14ac:dyDescent="0.25">
      <c r="AU1521" s="7"/>
      <c r="AV1521" s="7"/>
    </row>
    <row r="1522" spans="47:48" x14ac:dyDescent="0.25">
      <c r="AU1522" s="7"/>
      <c r="AV1522" s="7"/>
    </row>
    <row r="1523" spans="47:48" x14ac:dyDescent="0.25">
      <c r="AU1523" s="7"/>
      <c r="AV1523" s="7"/>
    </row>
    <row r="1524" spans="47:48" x14ac:dyDescent="0.25">
      <c r="AU1524" s="7"/>
      <c r="AV1524" s="7"/>
    </row>
    <row r="1525" spans="47:48" x14ac:dyDescent="0.25">
      <c r="AU1525" s="7"/>
      <c r="AV1525" s="7"/>
    </row>
    <row r="1526" spans="47:48" x14ac:dyDescent="0.25">
      <c r="AU1526" s="7"/>
      <c r="AV1526" s="7"/>
    </row>
    <row r="1527" spans="47:48" x14ac:dyDescent="0.25">
      <c r="AU1527" s="7"/>
      <c r="AV1527" s="7"/>
    </row>
    <row r="1528" spans="47:48" x14ac:dyDescent="0.25">
      <c r="AU1528" s="7"/>
      <c r="AV1528" s="7"/>
    </row>
    <row r="1529" spans="47:48" x14ac:dyDescent="0.25">
      <c r="AU1529" s="7"/>
      <c r="AV1529" s="7"/>
    </row>
    <row r="1530" spans="47:48" x14ac:dyDescent="0.25">
      <c r="AU1530" s="7"/>
      <c r="AV1530" s="7"/>
    </row>
    <row r="1531" spans="47:48" x14ac:dyDescent="0.25">
      <c r="AU1531" s="7"/>
      <c r="AV1531" s="7"/>
    </row>
    <row r="1532" spans="47:48" x14ac:dyDescent="0.25">
      <c r="AU1532" s="7"/>
      <c r="AV1532" s="7"/>
    </row>
    <row r="1533" spans="47:48" x14ac:dyDescent="0.25">
      <c r="AU1533" s="7"/>
      <c r="AV1533" s="7"/>
    </row>
    <row r="1534" spans="47:48" x14ac:dyDescent="0.25">
      <c r="AU1534" s="7"/>
      <c r="AV1534" s="7"/>
    </row>
    <row r="1535" spans="47:48" x14ac:dyDescent="0.25">
      <c r="AU1535" s="7"/>
      <c r="AV1535" s="7"/>
    </row>
    <row r="1536" spans="47:48" x14ac:dyDescent="0.25">
      <c r="AU1536" s="7"/>
      <c r="AV1536" s="7"/>
    </row>
    <row r="1537" spans="47:48" x14ac:dyDescent="0.25">
      <c r="AU1537" s="7"/>
      <c r="AV1537" s="7"/>
    </row>
    <row r="1538" spans="47:48" x14ac:dyDescent="0.25">
      <c r="AU1538" s="7"/>
      <c r="AV1538" s="7"/>
    </row>
    <row r="1539" spans="47:48" x14ac:dyDescent="0.25">
      <c r="AU1539" s="7"/>
      <c r="AV1539" s="7"/>
    </row>
    <row r="1540" spans="47:48" x14ac:dyDescent="0.25">
      <c r="AU1540" s="7"/>
      <c r="AV1540" s="7"/>
    </row>
    <row r="1541" spans="47:48" x14ac:dyDescent="0.25">
      <c r="AU1541" s="7"/>
      <c r="AV1541" s="7"/>
    </row>
    <row r="1542" spans="47:48" x14ac:dyDescent="0.25">
      <c r="AU1542" s="7"/>
      <c r="AV1542" s="7"/>
    </row>
    <row r="1543" spans="47:48" x14ac:dyDescent="0.25">
      <c r="AU1543" s="7"/>
      <c r="AV1543" s="7"/>
    </row>
    <row r="1544" spans="47:48" x14ac:dyDescent="0.25">
      <c r="AU1544" s="7"/>
      <c r="AV1544" s="7"/>
    </row>
    <row r="1545" spans="47:48" x14ac:dyDescent="0.25">
      <c r="AU1545" s="7"/>
      <c r="AV1545" s="7"/>
    </row>
    <row r="1546" spans="47:48" x14ac:dyDescent="0.25">
      <c r="AU1546" s="7"/>
      <c r="AV1546" s="7"/>
    </row>
    <row r="1547" spans="47:48" x14ac:dyDescent="0.25">
      <c r="AU1547" s="7"/>
      <c r="AV1547" s="7"/>
    </row>
    <row r="1548" spans="47:48" x14ac:dyDescent="0.25">
      <c r="AU1548" s="7"/>
      <c r="AV1548" s="7"/>
    </row>
    <row r="1549" spans="47:48" x14ac:dyDescent="0.25">
      <c r="AU1549" s="7"/>
      <c r="AV1549" s="7"/>
    </row>
    <row r="1550" spans="47:48" x14ac:dyDescent="0.25">
      <c r="AU1550" s="7"/>
      <c r="AV1550" s="7"/>
    </row>
    <row r="1551" spans="47:48" x14ac:dyDescent="0.25">
      <c r="AU1551" s="7"/>
      <c r="AV1551" s="7"/>
    </row>
    <row r="1552" spans="47:48" x14ac:dyDescent="0.25">
      <c r="AU1552" s="7"/>
      <c r="AV1552" s="7"/>
    </row>
    <row r="1553" spans="47:48" x14ac:dyDescent="0.25">
      <c r="AU1553" s="7"/>
      <c r="AV1553" s="7"/>
    </row>
    <row r="1554" spans="47:48" x14ac:dyDescent="0.25">
      <c r="AU1554" s="7"/>
      <c r="AV1554" s="7"/>
    </row>
    <row r="1555" spans="47:48" x14ac:dyDescent="0.25">
      <c r="AU1555" s="7"/>
      <c r="AV1555" s="7"/>
    </row>
    <row r="1556" spans="47:48" x14ac:dyDescent="0.25">
      <c r="AU1556" s="7"/>
      <c r="AV1556" s="7"/>
    </row>
    <row r="1557" spans="47:48" x14ac:dyDescent="0.25">
      <c r="AU1557" s="7"/>
      <c r="AV1557" s="7"/>
    </row>
    <row r="1558" spans="47:48" x14ac:dyDescent="0.25">
      <c r="AU1558" s="7"/>
      <c r="AV1558" s="7"/>
    </row>
    <row r="1559" spans="47:48" x14ac:dyDescent="0.25">
      <c r="AU1559" s="7"/>
      <c r="AV1559" s="7"/>
    </row>
    <row r="1560" spans="47:48" x14ac:dyDescent="0.25">
      <c r="AU1560" s="7"/>
      <c r="AV1560" s="7"/>
    </row>
    <row r="1561" spans="47:48" x14ac:dyDescent="0.25">
      <c r="AU1561" s="7"/>
      <c r="AV1561" s="7"/>
    </row>
    <row r="1562" spans="47:48" x14ac:dyDescent="0.25">
      <c r="AU1562" s="7"/>
      <c r="AV1562" s="7"/>
    </row>
    <row r="1563" spans="47:48" x14ac:dyDescent="0.25">
      <c r="AU1563" s="7"/>
      <c r="AV1563" s="7"/>
    </row>
    <row r="1564" spans="47:48" x14ac:dyDescent="0.25">
      <c r="AU1564" s="7"/>
      <c r="AV1564" s="7"/>
    </row>
    <row r="1565" spans="47:48" x14ac:dyDescent="0.25">
      <c r="AU1565" s="7"/>
      <c r="AV1565" s="7"/>
    </row>
    <row r="1566" spans="47:48" x14ac:dyDescent="0.25">
      <c r="AU1566" s="7"/>
      <c r="AV1566" s="7"/>
    </row>
    <row r="1567" spans="47:48" x14ac:dyDescent="0.25">
      <c r="AU1567" s="7"/>
      <c r="AV1567" s="7"/>
    </row>
    <row r="1568" spans="47:48" x14ac:dyDescent="0.25">
      <c r="AU1568" s="7"/>
      <c r="AV1568" s="7"/>
    </row>
    <row r="1569" spans="47:48" x14ac:dyDescent="0.25">
      <c r="AU1569" s="7"/>
      <c r="AV1569" s="7"/>
    </row>
    <row r="1570" spans="47:48" x14ac:dyDescent="0.25">
      <c r="AU1570" s="7"/>
      <c r="AV1570" s="7"/>
    </row>
    <row r="1571" spans="47:48" x14ac:dyDescent="0.25">
      <c r="AU1571" s="7"/>
      <c r="AV1571" s="7"/>
    </row>
    <row r="1572" spans="47:48" x14ac:dyDescent="0.25">
      <c r="AU1572" s="7"/>
      <c r="AV1572" s="7"/>
    </row>
    <row r="1573" spans="47:48" x14ac:dyDescent="0.25">
      <c r="AU1573" s="7"/>
      <c r="AV1573" s="7"/>
    </row>
    <row r="1574" spans="47:48" x14ac:dyDescent="0.25">
      <c r="AU1574" s="7"/>
      <c r="AV1574" s="7"/>
    </row>
    <row r="1575" spans="47:48" x14ac:dyDescent="0.25">
      <c r="AU1575" s="7"/>
      <c r="AV1575" s="7"/>
    </row>
    <row r="1576" spans="47:48" x14ac:dyDescent="0.25">
      <c r="AU1576" s="7"/>
      <c r="AV1576" s="7"/>
    </row>
    <row r="1577" spans="47:48" x14ac:dyDescent="0.25">
      <c r="AU1577" s="7"/>
      <c r="AV1577" s="7"/>
    </row>
    <row r="1578" spans="47:48" x14ac:dyDescent="0.25">
      <c r="AU1578" s="7"/>
      <c r="AV1578" s="7"/>
    </row>
    <row r="1579" spans="47:48" x14ac:dyDescent="0.25">
      <c r="AU1579" s="7"/>
      <c r="AV1579" s="7"/>
    </row>
    <row r="1580" spans="47:48" x14ac:dyDescent="0.25">
      <c r="AU1580" s="7"/>
      <c r="AV1580" s="7"/>
    </row>
    <row r="1581" spans="47:48" x14ac:dyDescent="0.25">
      <c r="AU1581" s="7"/>
      <c r="AV1581" s="7"/>
    </row>
    <row r="1582" spans="47:48" x14ac:dyDescent="0.25">
      <c r="AU1582" s="7"/>
      <c r="AV1582" s="7"/>
    </row>
    <row r="1583" spans="47:48" x14ac:dyDescent="0.25">
      <c r="AU1583" s="7"/>
      <c r="AV1583" s="7"/>
    </row>
    <row r="1584" spans="47:48" x14ac:dyDescent="0.25">
      <c r="AU1584" s="7"/>
      <c r="AV1584" s="7"/>
    </row>
    <row r="1585" spans="47:48" x14ac:dyDescent="0.25">
      <c r="AU1585" s="7"/>
      <c r="AV1585" s="7"/>
    </row>
    <row r="1586" spans="47:48" x14ac:dyDescent="0.25">
      <c r="AU1586" s="7"/>
      <c r="AV1586" s="7"/>
    </row>
    <row r="1587" spans="47:48" x14ac:dyDescent="0.25">
      <c r="AU1587" s="7"/>
      <c r="AV1587" s="7"/>
    </row>
    <row r="1588" spans="47:48" x14ac:dyDescent="0.25">
      <c r="AU1588" s="7"/>
      <c r="AV1588" s="7"/>
    </row>
    <row r="1589" spans="47:48" x14ac:dyDescent="0.25">
      <c r="AU1589" s="7"/>
      <c r="AV1589" s="7"/>
    </row>
    <row r="1590" spans="47:48" x14ac:dyDescent="0.25">
      <c r="AU1590" s="7"/>
      <c r="AV1590" s="7"/>
    </row>
    <row r="1591" spans="47:48" x14ac:dyDescent="0.25">
      <c r="AU1591" s="7"/>
      <c r="AV1591" s="7"/>
    </row>
    <row r="1592" spans="47:48" x14ac:dyDescent="0.25">
      <c r="AU1592" s="7"/>
      <c r="AV1592" s="7"/>
    </row>
    <row r="1593" spans="47:48" x14ac:dyDescent="0.25">
      <c r="AU1593" s="7"/>
      <c r="AV1593" s="7"/>
    </row>
    <row r="1594" spans="47:48" x14ac:dyDescent="0.25">
      <c r="AU1594" s="7"/>
      <c r="AV1594" s="7"/>
    </row>
    <row r="1595" spans="47:48" x14ac:dyDescent="0.25">
      <c r="AU1595" s="7"/>
      <c r="AV1595" s="7"/>
    </row>
    <row r="1596" spans="47:48" x14ac:dyDescent="0.25">
      <c r="AU1596" s="7"/>
      <c r="AV1596" s="7"/>
    </row>
    <row r="1597" spans="47:48" x14ac:dyDescent="0.25">
      <c r="AU1597" s="7"/>
      <c r="AV1597" s="7"/>
    </row>
    <row r="1598" spans="47:48" x14ac:dyDescent="0.25">
      <c r="AU1598" s="7"/>
      <c r="AV1598" s="7"/>
    </row>
    <row r="1599" spans="47:48" x14ac:dyDescent="0.25">
      <c r="AU1599" s="7"/>
      <c r="AV1599" s="7"/>
    </row>
    <row r="1600" spans="47:48" x14ac:dyDescent="0.25">
      <c r="AU1600" s="7"/>
      <c r="AV1600" s="7"/>
    </row>
    <row r="1601" spans="47:48" x14ac:dyDescent="0.25">
      <c r="AU1601" s="7"/>
      <c r="AV1601" s="7"/>
    </row>
    <row r="1602" spans="47:48" x14ac:dyDescent="0.25">
      <c r="AU1602" s="7"/>
      <c r="AV1602" s="7"/>
    </row>
    <row r="1603" spans="47:48" x14ac:dyDescent="0.25">
      <c r="AU1603" s="7"/>
      <c r="AV1603" s="7"/>
    </row>
    <row r="1604" spans="47:48" x14ac:dyDescent="0.25">
      <c r="AU1604" s="7"/>
      <c r="AV1604" s="7"/>
    </row>
    <row r="1605" spans="47:48" x14ac:dyDescent="0.25">
      <c r="AU1605" s="7"/>
      <c r="AV1605" s="7"/>
    </row>
    <row r="1606" spans="47:48" x14ac:dyDescent="0.25">
      <c r="AU1606" s="7"/>
      <c r="AV1606" s="7"/>
    </row>
    <row r="1607" spans="47:48" x14ac:dyDescent="0.25">
      <c r="AU1607" s="7"/>
      <c r="AV1607" s="7"/>
    </row>
    <row r="1608" spans="47:48" x14ac:dyDescent="0.25">
      <c r="AU1608" s="7"/>
      <c r="AV1608" s="7"/>
    </row>
    <row r="1609" spans="47:48" x14ac:dyDescent="0.25">
      <c r="AU1609" s="7"/>
      <c r="AV1609" s="7"/>
    </row>
    <row r="1610" spans="47:48" x14ac:dyDescent="0.25">
      <c r="AU1610" s="7"/>
      <c r="AV1610" s="7"/>
    </row>
    <row r="1611" spans="47:48" x14ac:dyDescent="0.25">
      <c r="AU1611" s="7"/>
      <c r="AV1611" s="7"/>
    </row>
    <row r="1612" spans="47:48" x14ac:dyDescent="0.25">
      <c r="AU1612" s="7"/>
      <c r="AV1612" s="7"/>
    </row>
    <row r="1613" spans="47:48" x14ac:dyDescent="0.25">
      <c r="AU1613" s="7"/>
      <c r="AV1613" s="7"/>
    </row>
    <row r="1614" spans="47:48" x14ac:dyDescent="0.25">
      <c r="AU1614" s="7"/>
      <c r="AV1614" s="7"/>
    </row>
    <row r="1615" spans="47:48" x14ac:dyDescent="0.25">
      <c r="AU1615" s="7"/>
      <c r="AV1615" s="7"/>
    </row>
    <row r="1616" spans="47:48" x14ac:dyDescent="0.25">
      <c r="AU1616" s="7"/>
      <c r="AV1616" s="7"/>
    </row>
    <row r="1617" spans="47:48" x14ac:dyDescent="0.25">
      <c r="AU1617" s="7"/>
      <c r="AV1617" s="7"/>
    </row>
    <row r="1618" spans="47:48" x14ac:dyDescent="0.25">
      <c r="AU1618" s="7"/>
      <c r="AV1618" s="7"/>
    </row>
    <row r="1619" spans="47:48" x14ac:dyDescent="0.25">
      <c r="AU1619" s="7"/>
      <c r="AV1619" s="7"/>
    </row>
    <row r="1620" spans="47:48" x14ac:dyDescent="0.25">
      <c r="AU1620" s="7"/>
      <c r="AV1620" s="7"/>
    </row>
    <row r="1621" spans="47:48" x14ac:dyDescent="0.25">
      <c r="AU1621" s="7"/>
      <c r="AV1621" s="7"/>
    </row>
    <row r="1622" spans="47:48" x14ac:dyDescent="0.25">
      <c r="AU1622" s="7"/>
      <c r="AV1622" s="7"/>
    </row>
    <row r="1623" spans="47:48" x14ac:dyDescent="0.25">
      <c r="AU1623" s="7"/>
      <c r="AV1623" s="7"/>
    </row>
    <row r="1624" spans="47:48" x14ac:dyDescent="0.25">
      <c r="AU1624" s="7"/>
      <c r="AV1624" s="7"/>
    </row>
    <row r="1625" spans="47:48" x14ac:dyDescent="0.25">
      <c r="AU1625" s="7"/>
      <c r="AV1625" s="7"/>
    </row>
    <row r="1626" spans="47:48" x14ac:dyDescent="0.25">
      <c r="AU1626" s="7"/>
      <c r="AV1626" s="7"/>
    </row>
    <row r="1627" spans="47:48" x14ac:dyDescent="0.25">
      <c r="AU1627" s="7"/>
      <c r="AV1627" s="7"/>
    </row>
    <row r="1628" spans="47:48" x14ac:dyDescent="0.25">
      <c r="AU1628" s="7"/>
      <c r="AV1628" s="7"/>
    </row>
    <row r="1629" spans="47:48" x14ac:dyDescent="0.25">
      <c r="AU1629" s="7"/>
      <c r="AV1629" s="7"/>
    </row>
    <row r="1630" spans="47:48" x14ac:dyDescent="0.25">
      <c r="AU1630" s="7"/>
      <c r="AV1630" s="7"/>
    </row>
    <row r="1631" spans="47:48" x14ac:dyDescent="0.25">
      <c r="AU1631" s="7"/>
      <c r="AV1631" s="7"/>
    </row>
    <row r="1632" spans="47:48" x14ac:dyDescent="0.25">
      <c r="AU1632" s="7"/>
      <c r="AV1632" s="7"/>
    </row>
    <row r="1633" spans="47:48" x14ac:dyDescent="0.25">
      <c r="AU1633" s="7"/>
      <c r="AV1633" s="7"/>
    </row>
    <row r="1634" spans="47:48" x14ac:dyDescent="0.25">
      <c r="AU1634" s="7"/>
      <c r="AV1634" s="7"/>
    </row>
    <row r="1635" spans="47:48" x14ac:dyDescent="0.25">
      <c r="AU1635" s="7"/>
      <c r="AV1635" s="7"/>
    </row>
    <row r="1636" spans="47:48" x14ac:dyDescent="0.25">
      <c r="AU1636" s="7"/>
      <c r="AV1636" s="7"/>
    </row>
    <row r="1637" spans="47:48" x14ac:dyDescent="0.25">
      <c r="AU1637" s="7"/>
      <c r="AV1637" s="7"/>
    </row>
    <row r="1638" spans="47:48" x14ac:dyDescent="0.25">
      <c r="AU1638" s="7"/>
      <c r="AV1638" s="7"/>
    </row>
    <row r="1639" spans="47:48" x14ac:dyDescent="0.25">
      <c r="AU1639" s="7"/>
      <c r="AV1639" s="7"/>
    </row>
    <row r="1640" spans="47:48" x14ac:dyDescent="0.25">
      <c r="AU1640" s="7"/>
      <c r="AV1640" s="7"/>
    </row>
    <row r="1641" spans="47:48" x14ac:dyDescent="0.25">
      <c r="AU1641" s="7"/>
      <c r="AV1641" s="7"/>
    </row>
    <row r="1642" spans="47:48" x14ac:dyDescent="0.25">
      <c r="AU1642" s="7"/>
      <c r="AV1642" s="7"/>
    </row>
    <row r="1643" spans="47:48" x14ac:dyDescent="0.25">
      <c r="AU1643" s="7"/>
      <c r="AV1643" s="7"/>
    </row>
    <row r="1644" spans="47:48" x14ac:dyDescent="0.25">
      <c r="AU1644" s="7"/>
      <c r="AV1644" s="7"/>
    </row>
    <row r="1645" spans="47:48" x14ac:dyDescent="0.25">
      <c r="AU1645" s="7"/>
      <c r="AV1645" s="7"/>
    </row>
    <row r="1646" spans="47:48" x14ac:dyDescent="0.25">
      <c r="AU1646" s="7"/>
      <c r="AV1646" s="7"/>
    </row>
    <row r="1647" spans="47:48" x14ac:dyDescent="0.25">
      <c r="AU1647" s="7"/>
      <c r="AV1647" s="7"/>
    </row>
    <row r="1648" spans="47:48" x14ac:dyDescent="0.25">
      <c r="AU1648" s="7"/>
      <c r="AV1648" s="7"/>
    </row>
    <row r="1649" spans="47:48" x14ac:dyDescent="0.25">
      <c r="AU1649" s="7"/>
      <c r="AV1649" s="7"/>
    </row>
    <row r="1650" spans="47:48" x14ac:dyDescent="0.25">
      <c r="AU1650" s="7"/>
      <c r="AV1650" s="7"/>
    </row>
    <row r="1651" spans="47:48" x14ac:dyDescent="0.25">
      <c r="AU1651" s="7"/>
      <c r="AV1651" s="7"/>
    </row>
    <row r="1652" spans="47:48" x14ac:dyDescent="0.25">
      <c r="AU1652" s="7"/>
      <c r="AV1652" s="7"/>
    </row>
    <row r="1653" spans="47:48" x14ac:dyDescent="0.25">
      <c r="AU1653" s="7"/>
      <c r="AV1653" s="7"/>
    </row>
    <row r="1654" spans="47:48" x14ac:dyDescent="0.25">
      <c r="AU1654" s="7"/>
      <c r="AV1654" s="7"/>
    </row>
    <row r="1655" spans="47:48" x14ac:dyDescent="0.25">
      <c r="AU1655" s="7"/>
      <c r="AV1655" s="7"/>
    </row>
    <row r="1656" spans="47:48" x14ac:dyDescent="0.25">
      <c r="AU1656" s="7"/>
      <c r="AV1656" s="7"/>
    </row>
    <row r="1657" spans="47:48" x14ac:dyDescent="0.25">
      <c r="AU1657" s="7"/>
      <c r="AV1657" s="7"/>
    </row>
    <row r="1658" spans="47:48" x14ac:dyDescent="0.25">
      <c r="AU1658" s="7"/>
      <c r="AV1658" s="7"/>
    </row>
    <row r="1659" spans="47:48" x14ac:dyDescent="0.25">
      <c r="AU1659" s="7"/>
      <c r="AV1659" s="7"/>
    </row>
    <row r="1660" spans="47:48" x14ac:dyDescent="0.25">
      <c r="AU1660" s="7"/>
      <c r="AV1660" s="7"/>
    </row>
    <row r="1661" spans="47:48" x14ac:dyDescent="0.25">
      <c r="AU1661" s="7"/>
      <c r="AV1661" s="7"/>
    </row>
    <row r="1662" spans="47:48" x14ac:dyDescent="0.25">
      <c r="AU1662" s="7"/>
      <c r="AV1662" s="7"/>
    </row>
    <row r="1663" spans="47:48" x14ac:dyDescent="0.25">
      <c r="AU1663" s="7"/>
      <c r="AV1663" s="7"/>
    </row>
    <row r="1664" spans="47:48" x14ac:dyDescent="0.25">
      <c r="AU1664" s="7"/>
      <c r="AV1664" s="7"/>
    </row>
    <row r="1665" spans="47:48" x14ac:dyDescent="0.25">
      <c r="AU1665" s="7"/>
      <c r="AV1665" s="7"/>
    </row>
    <row r="1666" spans="47:48" x14ac:dyDescent="0.25">
      <c r="AU1666" s="7"/>
      <c r="AV1666" s="7"/>
    </row>
    <row r="1667" spans="47:48" x14ac:dyDescent="0.25">
      <c r="AU1667" s="7"/>
      <c r="AV1667" s="7"/>
    </row>
    <row r="1668" spans="47:48" x14ac:dyDescent="0.25">
      <c r="AU1668" s="7"/>
      <c r="AV1668" s="7"/>
    </row>
    <row r="1669" spans="47:48" x14ac:dyDescent="0.25">
      <c r="AU1669" s="7"/>
      <c r="AV1669" s="7"/>
    </row>
    <row r="1670" spans="47:48" x14ac:dyDescent="0.25">
      <c r="AU1670" s="7"/>
      <c r="AV1670" s="7"/>
    </row>
    <row r="1671" spans="47:48" x14ac:dyDescent="0.25">
      <c r="AU1671" s="7"/>
      <c r="AV1671" s="7"/>
    </row>
    <row r="1672" spans="47:48" x14ac:dyDescent="0.25">
      <c r="AU1672" s="7"/>
      <c r="AV1672" s="7"/>
    </row>
    <row r="1673" spans="47:48" x14ac:dyDescent="0.25">
      <c r="AU1673" s="7"/>
      <c r="AV1673" s="7"/>
    </row>
    <row r="1674" spans="47:48" x14ac:dyDescent="0.25">
      <c r="AU1674" s="7"/>
      <c r="AV1674" s="7"/>
    </row>
    <row r="1675" spans="47:48" x14ac:dyDescent="0.25">
      <c r="AU1675" s="7"/>
      <c r="AV1675" s="7"/>
    </row>
    <row r="1676" spans="47:48" x14ac:dyDescent="0.25">
      <c r="AU1676" s="7"/>
      <c r="AV1676" s="7"/>
    </row>
    <row r="1677" spans="47:48" x14ac:dyDescent="0.25">
      <c r="AU1677" s="7"/>
      <c r="AV1677" s="7"/>
    </row>
    <row r="1678" spans="47:48" x14ac:dyDescent="0.25">
      <c r="AU1678" s="7"/>
      <c r="AV1678" s="7"/>
    </row>
    <row r="1679" spans="47:48" x14ac:dyDescent="0.25">
      <c r="AU1679" s="7"/>
      <c r="AV1679" s="7"/>
    </row>
    <row r="1680" spans="47:48" x14ac:dyDescent="0.25">
      <c r="AU1680" s="7"/>
      <c r="AV1680" s="7"/>
    </row>
    <row r="1681" spans="47:48" x14ac:dyDescent="0.25">
      <c r="AU1681" s="7"/>
      <c r="AV1681" s="7"/>
    </row>
    <row r="1682" spans="47:48" x14ac:dyDescent="0.25">
      <c r="AU1682" s="7"/>
      <c r="AV1682" s="7"/>
    </row>
    <row r="1683" spans="47:48" x14ac:dyDescent="0.25">
      <c r="AU1683" s="7"/>
      <c r="AV1683" s="7"/>
    </row>
    <row r="1684" spans="47:48" x14ac:dyDescent="0.25">
      <c r="AU1684" s="7"/>
      <c r="AV1684" s="7"/>
    </row>
    <row r="1685" spans="47:48" x14ac:dyDescent="0.25">
      <c r="AU1685" s="7"/>
      <c r="AV1685" s="7"/>
    </row>
    <row r="1686" spans="47:48" x14ac:dyDescent="0.25">
      <c r="AU1686" s="7"/>
      <c r="AV1686" s="7"/>
    </row>
    <row r="1687" spans="47:48" x14ac:dyDescent="0.25">
      <c r="AU1687" s="7"/>
      <c r="AV1687" s="7"/>
    </row>
    <row r="1688" spans="47:48" x14ac:dyDescent="0.25">
      <c r="AU1688" s="7"/>
      <c r="AV1688" s="7"/>
    </row>
    <row r="1689" spans="47:48" x14ac:dyDescent="0.25">
      <c r="AU1689" s="7"/>
      <c r="AV1689" s="7"/>
    </row>
    <row r="1690" spans="47:48" x14ac:dyDescent="0.25">
      <c r="AU1690" s="7"/>
      <c r="AV1690" s="7"/>
    </row>
    <row r="1691" spans="47:48" x14ac:dyDescent="0.25">
      <c r="AU1691" s="7"/>
      <c r="AV1691" s="7"/>
    </row>
    <row r="1692" spans="47:48" x14ac:dyDescent="0.25">
      <c r="AU1692" s="7"/>
      <c r="AV1692" s="7"/>
    </row>
    <row r="1693" spans="47:48" x14ac:dyDescent="0.25">
      <c r="AU1693" s="7"/>
      <c r="AV1693" s="7"/>
    </row>
    <row r="1694" spans="47:48" x14ac:dyDescent="0.25">
      <c r="AU1694" s="7"/>
      <c r="AV1694" s="7"/>
    </row>
    <row r="1695" spans="47:48" x14ac:dyDescent="0.25">
      <c r="AU1695" s="7"/>
      <c r="AV1695" s="7"/>
    </row>
    <row r="1696" spans="47:48" x14ac:dyDescent="0.25">
      <c r="AU1696" s="7"/>
      <c r="AV1696" s="7"/>
    </row>
    <row r="1697" spans="47:48" x14ac:dyDescent="0.25">
      <c r="AU1697" s="7"/>
      <c r="AV1697" s="7"/>
    </row>
    <row r="1698" spans="47:48" x14ac:dyDescent="0.25">
      <c r="AU1698" s="7"/>
      <c r="AV1698" s="7"/>
    </row>
    <row r="1699" spans="47:48" x14ac:dyDescent="0.25">
      <c r="AU1699" s="7"/>
      <c r="AV1699" s="7"/>
    </row>
    <row r="1700" spans="47:48" x14ac:dyDescent="0.25">
      <c r="AU1700" s="7"/>
      <c r="AV1700" s="7"/>
    </row>
    <row r="1701" spans="47:48" x14ac:dyDescent="0.25">
      <c r="AU1701" s="7"/>
      <c r="AV1701" s="7"/>
    </row>
    <row r="1702" spans="47:48" x14ac:dyDescent="0.25">
      <c r="AU1702" s="7"/>
      <c r="AV1702" s="7"/>
    </row>
    <row r="1703" spans="47:48" x14ac:dyDescent="0.25">
      <c r="AU1703" s="7"/>
      <c r="AV1703" s="7"/>
    </row>
    <row r="1704" spans="47:48" x14ac:dyDescent="0.25">
      <c r="AU1704" s="7"/>
      <c r="AV1704" s="7"/>
    </row>
    <row r="1705" spans="47:48" x14ac:dyDescent="0.25">
      <c r="AU1705" s="7"/>
      <c r="AV1705" s="7"/>
    </row>
    <row r="1706" spans="47:48" x14ac:dyDescent="0.25">
      <c r="AU1706" s="7"/>
      <c r="AV1706" s="7"/>
    </row>
    <row r="1707" spans="47:48" x14ac:dyDescent="0.25">
      <c r="AU1707" s="7"/>
      <c r="AV1707" s="7"/>
    </row>
    <row r="1708" spans="47:48" x14ac:dyDescent="0.25">
      <c r="AU1708" s="7"/>
      <c r="AV1708" s="7"/>
    </row>
    <row r="1709" spans="47:48" x14ac:dyDescent="0.25">
      <c r="AU1709" s="7"/>
      <c r="AV1709" s="7"/>
    </row>
    <row r="1710" spans="47:48" x14ac:dyDescent="0.25">
      <c r="AU1710" s="7"/>
      <c r="AV1710" s="7"/>
    </row>
    <row r="1711" spans="47:48" x14ac:dyDescent="0.25">
      <c r="AU1711" s="7"/>
      <c r="AV1711" s="7"/>
    </row>
    <row r="1712" spans="47:48" x14ac:dyDescent="0.25">
      <c r="AU1712" s="7"/>
      <c r="AV1712" s="7"/>
    </row>
    <row r="1713" spans="47:48" x14ac:dyDescent="0.25">
      <c r="AU1713" s="7"/>
      <c r="AV1713" s="7"/>
    </row>
    <row r="1714" spans="47:48" x14ac:dyDescent="0.25">
      <c r="AU1714" s="7"/>
      <c r="AV1714" s="7"/>
    </row>
    <row r="1715" spans="47:48" x14ac:dyDescent="0.25">
      <c r="AU1715" s="7"/>
      <c r="AV1715" s="7"/>
    </row>
    <row r="1716" spans="47:48" x14ac:dyDescent="0.25">
      <c r="AU1716" s="7"/>
      <c r="AV1716" s="7"/>
    </row>
    <row r="1717" spans="47:48" x14ac:dyDescent="0.25">
      <c r="AU1717" s="7"/>
      <c r="AV1717" s="7"/>
    </row>
    <row r="1718" spans="47:48" x14ac:dyDescent="0.25">
      <c r="AU1718" s="7"/>
      <c r="AV1718" s="7"/>
    </row>
    <row r="1719" spans="47:48" x14ac:dyDescent="0.25">
      <c r="AU1719" s="7"/>
      <c r="AV1719" s="7"/>
    </row>
    <row r="1720" spans="47:48" x14ac:dyDescent="0.25">
      <c r="AU1720" s="7"/>
      <c r="AV1720" s="7"/>
    </row>
    <row r="1721" spans="47:48" x14ac:dyDescent="0.25">
      <c r="AU1721" s="7"/>
      <c r="AV1721" s="7"/>
    </row>
    <row r="1722" spans="47:48" x14ac:dyDescent="0.25">
      <c r="AU1722" s="7"/>
      <c r="AV1722" s="7"/>
    </row>
    <row r="1723" spans="47:48" x14ac:dyDescent="0.25">
      <c r="AU1723" s="7"/>
      <c r="AV1723" s="7"/>
    </row>
    <row r="1724" spans="47:48" x14ac:dyDescent="0.25">
      <c r="AU1724" s="7"/>
      <c r="AV1724" s="7"/>
    </row>
    <row r="1725" spans="47:48" x14ac:dyDescent="0.25">
      <c r="AU1725" s="7"/>
      <c r="AV1725" s="7"/>
    </row>
    <row r="1726" spans="47:48" x14ac:dyDescent="0.25">
      <c r="AU1726" s="7"/>
      <c r="AV1726" s="7"/>
    </row>
    <row r="1727" spans="47:48" x14ac:dyDescent="0.25">
      <c r="AU1727" s="7"/>
      <c r="AV1727" s="7"/>
    </row>
    <row r="1728" spans="47:48" x14ac:dyDescent="0.25">
      <c r="AU1728" s="7"/>
      <c r="AV1728" s="7"/>
    </row>
    <row r="1729" spans="47:48" x14ac:dyDescent="0.25">
      <c r="AU1729" s="7"/>
      <c r="AV1729" s="7"/>
    </row>
    <row r="1730" spans="47:48" x14ac:dyDescent="0.25">
      <c r="AU1730" s="7"/>
      <c r="AV1730" s="7"/>
    </row>
    <row r="1731" spans="47:48" x14ac:dyDescent="0.25">
      <c r="AU1731" s="7"/>
      <c r="AV1731" s="7"/>
    </row>
    <row r="1732" spans="47:48" x14ac:dyDescent="0.25">
      <c r="AU1732" s="7"/>
      <c r="AV1732" s="7"/>
    </row>
    <row r="1733" spans="47:48" x14ac:dyDescent="0.25">
      <c r="AU1733" s="7"/>
      <c r="AV1733" s="7"/>
    </row>
    <row r="1734" spans="47:48" x14ac:dyDescent="0.25">
      <c r="AU1734" s="7"/>
      <c r="AV1734" s="7"/>
    </row>
    <row r="1735" spans="47:48" x14ac:dyDescent="0.25">
      <c r="AU1735" s="7"/>
      <c r="AV1735" s="7"/>
    </row>
    <row r="1736" spans="47:48" x14ac:dyDescent="0.25">
      <c r="AU1736" s="7"/>
      <c r="AV1736" s="7"/>
    </row>
    <row r="1737" spans="47:48" x14ac:dyDescent="0.25">
      <c r="AU1737" s="7"/>
      <c r="AV1737" s="7"/>
    </row>
    <row r="1738" spans="47:48" x14ac:dyDescent="0.25">
      <c r="AU1738" s="7"/>
      <c r="AV1738" s="7"/>
    </row>
    <row r="1739" spans="47:48" x14ac:dyDescent="0.25">
      <c r="AU1739" s="7"/>
      <c r="AV1739" s="7"/>
    </row>
    <row r="1740" spans="47:48" x14ac:dyDescent="0.25">
      <c r="AU1740" s="7"/>
      <c r="AV1740" s="7"/>
    </row>
    <row r="1741" spans="47:48" x14ac:dyDescent="0.25">
      <c r="AU1741" s="7"/>
      <c r="AV1741" s="7"/>
    </row>
    <row r="1742" spans="47:48" x14ac:dyDescent="0.25">
      <c r="AU1742" s="7"/>
      <c r="AV1742" s="7"/>
    </row>
    <row r="1743" spans="47:48" x14ac:dyDescent="0.25">
      <c r="AU1743" s="7"/>
      <c r="AV1743" s="7"/>
    </row>
    <row r="1744" spans="47:48" x14ac:dyDescent="0.25">
      <c r="AU1744" s="7"/>
      <c r="AV1744" s="7"/>
    </row>
    <row r="1745" spans="47:48" x14ac:dyDescent="0.25">
      <c r="AU1745" s="7"/>
      <c r="AV1745" s="7"/>
    </row>
    <row r="1746" spans="47:48" x14ac:dyDescent="0.25">
      <c r="AU1746" s="7"/>
      <c r="AV1746" s="7"/>
    </row>
    <row r="1747" spans="47:48" x14ac:dyDescent="0.25">
      <c r="AU1747" s="7"/>
      <c r="AV1747" s="7"/>
    </row>
    <row r="1748" spans="47:48" x14ac:dyDescent="0.25">
      <c r="AU1748" s="7"/>
      <c r="AV1748" s="7"/>
    </row>
    <row r="1749" spans="47:48" x14ac:dyDescent="0.25">
      <c r="AU1749" s="7"/>
      <c r="AV1749" s="7"/>
    </row>
    <row r="1750" spans="47:48" x14ac:dyDescent="0.25">
      <c r="AU1750" s="7"/>
      <c r="AV1750" s="7"/>
    </row>
    <row r="1751" spans="47:48" x14ac:dyDescent="0.25">
      <c r="AU1751" s="7"/>
      <c r="AV1751" s="7"/>
    </row>
    <row r="1752" spans="47:48" x14ac:dyDescent="0.25">
      <c r="AU1752" s="7"/>
      <c r="AV1752" s="7"/>
    </row>
    <row r="1753" spans="47:48" x14ac:dyDescent="0.25">
      <c r="AU1753" s="7"/>
      <c r="AV1753" s="7"/>
    </row>
    <row r="1754" spans="47:48" x14ac:dyDescent="0.25">
      <c r="AU1754" s="7"/>
      <c r="AV1754" s="7"/>
    </row>
    <row r="1755" spans="47:48" x14ac:dyDescent="0.25">
      <c r="AU1755" s="7"/>
      <c r="AV1755" s="7"/>
    </row>
    <row r="1756" spans="47:48" x14ac:dyDescent="0.25">
      <c r="AU1756" s="7"/>
      <c r="AV1756" s="7"/>
    </row>
    <row r="1757" spans="47:48" x14ac:dyDescent="0.25">
      <c r="AU1757" s="7"/>
      <c r="AV1757" s="7"/>
    </row>
    <row r="1758" spans="47:48" x14ac:dyDescent="0.25">
      <c r="AU1758" s="7"/>
      <c r="AV1758" s="7"/>
    </row>
    <row r="1759" spans="47:48" x14ac:dyDescent="0.25">
      <c r="AU1759" s="7"/>
      <c r="AV1759" s="7"/>
    </row>
    <row r="1760" spans="47:48" x14ac:dyDescent="0.25">
      <c r="AU1760" s="7"/>
      <c r="AV1760" s="7"/>
    </row>
    <row r="1761" spans="47:48" x14ac:dyDescent="0.25">
      <c r="AU1761" s="7"/>
      <c r="AV1761" s="7"/>
    </row>
    <row r="1762" spans="47:48" x14ac:dyDescent="0.25">
      <c r="AU1762" s="7"/>
      <c r="AV1762" s="7"/>
    </row>
    <row r="1763" spans="47:48" x14ac:dyDescent="0.25">
      <c r="AU1763" s="7"/>
      <c r="AV1763" s="7"/>
    </row>
    <row r="1764" spans="47:48" x14ac:dyDescent="0.25">
      <c r="AU1764" s="7"/>
      <c r="AV1764" s="7"/>
    </row>
    <row r="1765" spans="47:48" x14ac:dyDescent="0.25">
      <c r="AU1765" s="7"/>
      <c r="AV1765" s="7"/>
    </row>
    <row r="1766" spans="47:48" x14ac:dyDescent="0.25">
      <c r="AU1766" s="7"/>
      <c r="AV1766" s="7"/>
    </row>
    <row r="1767" spans="47:48" x14ac:dyDescent="0.25">
      <c r="AU1767" s="7"/>
      <c r="AV1767" s="7"/>
    </row>
    <row r="1768" spans="47:48" x14ac:dyDescent="0.25">
      <c r="AU1768" s="7"/>
      <c r="AV1768" s="7"/>
    </row>
    <row r="1769" spans="47:48" x14ac:dyDescent="0.25">
      <c r="AU1769" s="7"/>
      <c r="AV1769" s="7"/>
    </row>
    <row r="1770" spans="47:48" x14ac:dyDescent="0.25">
      <c r="AU1770" s="7"/>
      <c r="AV1770" s="7"/>
    </row>
    <row r="1771" spans="47:48" x14ac:dyDescent="0.25">
      <c r="AU1771" s="7"/>
      <c r="AV1771" s="7"/>
    </row>
    <row r="1772" spans="47:48" x14ac:dyDescent="0.25">
      <c r="AU1772" s="7"/>
      <c r="AV1772" s="7"/>
    </row>
    <row r="1773" spans="47:48" x14ac:dyDescent="0.25">
      <c r="AU1773" s="7"/>
      <c r="AV1773" s="7"/>
    </row>
    <row r="1774" spans="47:48" x14ac:dyDescent="0.25">
      <c r="AU1774" s="7"/>
      <c r="AV1774" s="7"/>
    </row>
    <row r="1775" spans="47:48" x14ac:dyDescent="0.25">
      <c r="AU1775" s="7"/>
      <c r="AV1775" s="7"/>
    </row>
    <row r="1776" spans="47:48" x14ac:dyDescent="0.25">
      <c r="AU1776" s="7"/>
      <c r="AV1776" s="7"/>
    </row>
    <row r="1777" spans="47:48" x14ac:dyDescent="0.25">
      <c r="AU1777" s="7"/>
      <c r="AV1777" s="7"/>
    </row>
    <row r="1778" spans="47:48" x14ac:dyDescent="0.25">
      <c r="AU1778" s="7"/>
      <c r="AV1778" s="7"/>
    </row>
    <row r="1779" spans="47:48" x14ac:dyDescent="0.25">
      <c r="AU1779" s="7"/>
      <c r="AV1779" s="7"/>
    </row>
    <row r="1780" spans="47:48" x14ac:dyDescent="0.25">
      <c r="AU1780" s="7"/>
      <c r="AV1780" s="7"/>
    </row>
    <row r="1781" spans="47:48" x14ac:dyDescent="0.25">
      <c r="AU1781" s="7"/>
      <c r="AV1781" s="7"/>
    </row>
    <row r="1782" spans="47:48" x14ac:dyDescent="0.25">
      <c r="AU1782" s="7"/>
      <c r="AV1782" s="7"/>
    </row>
    <row r="1783" spans="47:48" x14ac:dyDescent="0.25">
      <c r="AU1783" s="7"/>
      <c r="AV1783" s="7"/>
    </row>
    <row r="1784" spans="47:48" x14ac:dyDescent="0.25">
      <c r="AU1784" s="7"/>
      <c r="AV1784" s="7"/>
    </row>
    <row r="1785" spans="47:48" x14ac:dyDescent="0.25">
      <c r="AU1785" s="7"/>
      <c r="AV1785" s="7"/>
    </row>
    <row r="1786" spans="47:48" x14ac:dyDescent="0.25">
      <c r="AU1786" s="7"/>
      <c r="AV1786" s="7"/>
    </row>
    <row r="1787" spans="47:48" x14ac:dyDescent="0.25">
      <c r="AU1787" s="7"/>
      <c r="AV1787" s="7"/>
    </row>
    <row r="1788" spans="47:48" x14ac:dyDescent="0.25">
      <c r="AU1788" s="7"/>
      <c r="AV1788" s="7"/>
    </row>
    <row r="1789" spans="47:48" x14ac:dyDescent="0.25">
      <c r="AU1789" s="7"/>
      <c r="AV1789" s="7"/>
    </row>
    <row r="1790" spans="47:48" x14ac:dyDescent="0.25">
      <c r="AU1790" s="7"/>
      <c r="AV1790" s="7"/>
    </row>
    <row r="1791" spans="47:48" x14ac:dyDescent="0.25">
      <c r="AU1791" s="7"/>
      <c r="AV1791" s="7"/>
    </row>
    <row r="1792" spans="47:48" x14ac:dyDescent="0.25">
      <c r="AU1792" s="7"/>
      <c r="AV1792" s="7"/>
    </row>
    <row r="1793" spans="47:48" x14ac:dyDescent="0.25">
      <c r="AU1793" s="7"/>
      <c r="AV1793" s="7"/>
    </row>
    <row r="1794" spans="47:48" x14ac:dyDescent="0.25">
      <c r="AU1794" s="7"/>
      <c r="AV1794" s="7"/>
    </row>
    <row r="1795" spans="47:48" x14ac:dyDescent="0.25">
      <c r="AU1795" s="7"/>
      <c r="AV1795" s="7"/>
    </row>
    <row r="1796" spans="47:48" x14ac:dyDescent="0.25">
      <c r="AU1796" s="7"/>
      <c r="AV1796" s="7"/>
    </row>
    <row r="1797" spans="47:48" x14ac:dyDescent="0.25">
      <c r="AU1797" s="7"/>
      <c r="AV1797" s="7"/>
    </row>
    <row r="1798" spans="47:48" x14ac:dyDescent="0.25">
      <c r="AU1798" s="7"/>
      <c r="AV1798" s="7"/>
    </row>
    <row r="1799" spans="47:48" x14ac:dyDescent="0.25">
      <c r="AU1799" s="7"/>
      <c r="AV1799" s="7"/>
    </row>
    <row r="1800" spans="47:48" x14ac:dyDescent="0.25">
      <c r="AU1800" s="7"/>
      <c r="AV1800" s="7"/>
    </row>
    <row r="1801" spans="47:48" x14ac:dyDescent="0.25">
      <c r="AU1801" s="7"/>
      <c r="AV1801" s="7"/>
    </row>
    <row r="1802" spans="47:48" x14ac:dyDescent="0.25">
      <c r="AU1802" s="7"/>
      <c r="AV1802" s="7"/>
    </row>
    <row r="1803" spans="47:48" x14ac:dyDescent="0.25">
      <c r="AU1803" s="7"/>
      <c r="AV1803" s="7"/>
    </row>
    <row r="1804" spans="47:48" x14ac:dyDescent="0.25">
      <c r="AU1804" s="7"/>
      <c r="AV1804" s="7"/>
    </row>
    <row r="1805" spans="47:48" x14ac:dyDescent="0.25">
      <c r="AU1805" s="7"/>
      <c r="AV1805" s="7"/>
    </row>
    <row r="1806" spans="47:48" x14ac:dyDescent="0.25">
      <c r="AU1806" s="7"/>
      <c r="AV1806" s="7"/>
    </row>
    <row r="1807" spans="47:48" x14ac:dyDescent="0.25">
      <c r="AU1807" s="7"/>
      <c r="AV1807" s="7"/>
    </row>
    <row r="1808" spans="47:48" x14ac:dyDescent="0.25">
      <c r="AU1808" s="7"/>
      <c r="AV1808" s="7"/>
    </row>
    <row r="1809" spans="47:48" x14ac:dyDescent="0.25">
      <c r="AU1809" s="7"/>
      <c r="AV1809" s="7"/>
    </row>
    <row r="1810" spans="47:48" x14ac:dyDescent="0.25">
      <c r="AU1810" s="7"/>
      <c r="AV1810" s="7"/>
    </row>
    <row r="1811" spans="47:48" x14ac:dyDescent="0.25">
      <c r="AU1811" s="7"/>
      <c r="AV1811" s="7"/>
    </row>
    <row r="1812" spans="47:48" x14ac:dyDescent="0.25">
      <c r="AU1812" s="7"/>
      <c r="AV1812" s="7"/>
    </row>
    <row r="1813" spans="47:48" x14ac:dyDescent="0.25">
      <c r="AU1813" s="7"/>
      <c r="AV1813" s="7"/>
    </row>
    <row r="1814" spans="47:48" x14ac:dyDescent="0.25">
      <c r="AU1814" s="7"/>
      <c r="AV1814" s="7"/>
    </row>
    <row r="1815" spans="47:48" x14ac:dyDescent="0.25">
      <c r="AU1815" s="7"/>
      <c r="AV1815" s="7"/>
    </row>
    <row r="1816" spans="47:48" x14ac:dyDescent="0.25">
      <c r="AU1816" s="7"/>
      <c r="AV1816" s="7"/>
    </row>
    <row r="1817" spans="47:48" x14ac:dyDescent="0.25">
      <c r="AU1817" s="7"/>
      <c r="AV1817" s="7"/>
    </row>
    <row r="1818" spans="47:48" x14ac:dyDescent="0.25">
      <c r="AU1818" s="7"/>
      <c r="AV1818" s="7"/>
    </row>
    <row r="1819" spans="47:48" x14ac:dyDescent="0.25">
      <c r="AU1819" s="7"/>
      <c r="AV1819" s="7"/>
    </row>
    <row r="1820" spans="47:48" x14ac:dyDescent="0.25">
      <c r="AU1820" s="7"/>
      <c r="AV1820" s="7"/>
    </row>
    <row r="1821" spans="47:48" x14ac:dyDescent="0.25">
      <c r="AU1821" s="7"/>
      <c r="AV1821" s="7"/>
    </row>
    <row r="1822" spans="47:48" x14ac:dyDescent="0.25">
      <c r="AU1822" s="7"/>
      <c r="AV1822" s="7"/>
    </row>
    <row r="1823" spans="47:48" x14ac:dyDescent="0.25">
      <c r="AU1823" s="7"/>
      <c r="AV1823" s="7"/>
    </row>
    <row r="1824" spans="47:48" x14ac:dyDescent="0.25">
      <c r="AU1824" s="7"/>
      <c r="AV1824" s="7"/>
    </row>
    <row r="1825" spans="47:48" x14ac:dyDescent="0.25">
      <c r="AU1825" s="7"/>
      <c r="AV1825" s="7"/>
    </row>
    <row r="1826" spans="47:48" x14ac:dyDescent="0.25">
      <c r="AU1826" s="7"/>
      <c r="AV1826" s="7"/>
    </row>
    <row r="1827" spans="47:48" x14ac:dyDescent="0.25">
      <c r="AU1827" s="7"/>
      <c r="AV1827" s="7"/>
    </row>
    <row r="1828" spans="47:48" x14ac:dyDescent="0.25">
      <c r="AU1828" s="7"/>
      <c r="AV1828" s="7"/>
    </row>
    <row r="1829" spans="47:48" x14ac:dyDescent="0.25">
      <c r="AU1829" s="7"/>
      <c r="AV1829" s="7"/>
    </row>
    <row r="1830" spans="47:48" x14ac:dyDescent="0.25">
      <c r="AU1830" s="7"/>
      <c r="AV1830" s="7"/>
    </row>
    <row r="1831" spans="47:48" x14ac:dyDescent="0.25">
      <c r="AU1831" s="7"/>
      <c r="AV1831" s="7"/>
    </row>
    <row r="1832" spans="47:48" x14ac:dyDescent="0.25">
      <c r="AU1832" s="7"/>
      <c r="AV1832" s="7"/>
    </row>
    <row r="1833" spans="47:48" x14ac:dyDescent="0.25">
      <c r="AU1833" s="7"/>
      <c r="AV1833" s="7"/>
    </row>
    <row r="1834" spans="47:48" x14ac:dyDescent="0.25">
      <c r="AU1834" s="7"/>
      <c r="AV1834" s="7"/>
    </row>
    <row r="1835" spans="47:48" x14ac:dyDescent="0.25">
      <c r="AU1835" s="7"/>
      <c r="AV1835" s="7"/>
    </row>
    <row r="1836" spans="47:48" x14ac:dyDescent="0.25">
      <c r="AU1836" s="7"/>
      <c r="AV1836" s="7"/>
    </row>
    <row r="1837" spans="47:48" x14ac:dyDescent="0.25">
      <c r="AU1837" s="7"/>
      <c r="AV1837" s="7"/>
    </row>
    <row r="1838" spans="47:48" x14ac:dyDescent="0.25">
      <c r="AU1838" s="7"/>
      <c r="AV1838" s="7"/>
    </row>
    <row r="1839" spans="47:48" x14ac:dyDescent="0.25">
      <c r="AU1839" s="7"/>
      <c r="AV1839" s="7"/>
    </row>
    <row r="1840" spans="47:48" x14ac:dyDescent="0.25">
      <c r="AU1840" s="7"/>
      <c r="AV1840" s="7"/>
    </row>
    <row r="1841" spans="47:48" x14ac:dyDescent="0.25">
      <c r="AU1841" s="7"/>
      <c r="AV1841" s="7"/>
    </row>
    <row r="1842" spans="47:48" x14ac:dyDescent="0.25">
      <c r="AU1842" s="7"/>
      <c r="AV1842" s="7"/>
    </row>
    <row r="1843" spans="47:48" x14ac:dyDescent="0.25">
      <c r="AU1843" s="7"/>
      <c r="AV1843" s="7"/>
    </row>
    <row r="1844" spans="47:48" x14ac:dyDescent="0.25">
      <c r="AU1844" s="7"/>
      <c r="AV1844" s="7"/>
    </row>
    <row r="1845" spans="47:48" x14ac:dyDescent="0.25">
      <c r="AU1845" s="7"/>
      <c r="AV1845" s="7"/>
    </row>
    <row r="1846" spans="47:48" x14ac:dyDescent="0.25">
      <c r="AU1846" s="7"/>
      <c r="AV1846" s="7"/>
    </row>
    <row r="1847" spans="47:48" x14ac:dyDescent="0.25">
      <c r="AU1847" s="7"/>
      <c r="AV1847" s="7"/>
    </row>
    <row r="1848" spans="47:48" x14ac:dyDescent="0.25">
      <c r="AU1848" s="7"/>
      <c r="AV1848" s="7"/>
    </row>
    <row r="1849" spans="47:48" x14ac:dyDescent="0.25">
      <c r="AU1849" s="7"/>
      <c r="AV1849" s="7"/>
    </row>
    <row r="1850" spans="47:48" x14ac:dyDescent="0.25">
      <c r="AU1850" s="7"/>
      <c r="AV1850" s="7"/>
    </row>
    <row r="1851" spans="47:48" x14ac:dyDescent="0.25">
      <c r="AU1851" s="7"/>
      <c r="AV1851" s="7"/>
    </row>
    <row r="1852" spans="47:48" x14ac:dyDescent="0.25">
      <c r="AU1852" s="7"/>
      <c r="AV1852" s="7"/>
    </row>
    <row r="1853" spans="47:48" x14ac:dyDescent="0.25">
      <c r="AU1853" s="7"/>
      <c r="AV1853" s="7"/>
    </row>
    <row r="1854" spans="47:48" x14ac:dyDescent="0.25">
      <c r="AU1854" s="7"/>
      <c r="AV1854" s="7"/>
    </row>
    <row r="1855" spans="47:48" x14ac:dyDescent="0.25">
      <c r="AU1855" s="7"/>
      <c r="AV1855" s="7"/>
    </row>
    <row r="1856" spans="47:48" x14ac:dyDescent="0.25">
      <c r="AU1856" s="7"/>
      <c r="AV1856" s="7"/>
    </row>
    <row r="1857" spans="47:48" x14ac:dyDescent="0.25">
      <c r="AU1857" s="7"/>
      <c r="AV1857" s="7"/>
    </row>
    <row r="1858" spans="47:48" x14ac:dyDescent="0.25">
      <c r="AU1858" s="7"/>
      <c r="AV1858" s="7"/>
    </row>
    <row r="1859" spans="47:48" x14ac:dyDescent="0.25">
      <c r="AU1859" s="7"/>
      <c r="AV1859" s="7"/>
    </row>
    <row r="1860" spans="47:48" x14ac:dyDescent="0.25">
      <c r="AU1860" s="7"/>
      <c r="AV1860" s="7"/>
    </row>
    <row r="1861" spans="47:48" x14ac:dyDescent="0.25">
      <c r="AU1861" s="7"/>
      <c r="AV1861" s="7"/>
    </row>
    <row r="1862" spans="47:48" x14ac:dyDescent="0.25">
      <c r="AU1862" s="7"/>
      <c r="AV1862" s="7"/>
    </row>
    <row r="1863" spans="47:48" x14ac:dyDescent="0.25">
      <c r="AU1863" s="7"/>
      <c r="AV1863" s="7"/>
    </row>
    <row r="1864" spans="47:48" x14ac:dyDescent="0.25">
      <c r="AU1864" s="7"/>
      <c r="AV1864" s="7"/>
    </row>
    <row r="1865" spans="47:48" x14ac:dyDescent="0.25">
      <c r="AU1865" s="7"/>
      <c r="AV1865" s="7"/>
    </row>
    <row r="1866" spans="47:48" x14ac:dyDescent="0.25">
      <c r="AU1866" s="7"/>
      <c r="AV1866" s="7"/>
    </row>
    <row r="1867" spans="47:48" x14ac:dyDescent="0.25">
      <c r="AU1867" s="7"/>
      <c r="AV1867" s="7"/>
    </row>
    <row r="1868" spans="47:48" x14ac:dyDescent="0.25">
      <c r="AU1868" s="7"/>
      <c r="AV1868" s="7"/>
    </row>
    <row r="1869" spans="47:48" x14ac:dyDescent="0.25">
      <c r="AU1869" s="7"/>
      <c r="AV1869" s="7"/>
    </row>
    <row r="1870" spans="47:48" x14ac:dyDescent="0.25">
      <c r="AU1870" s="7"/>
      <c r="AV1870" s="7"/>
    </row>
    <row r="1871" spans="47:48" x14ac:dyDescent="0.25">
      <c r="AU1871" s="7"/>
      <c r="AV1871" s="7"/>
    </row>
    <row r="1872" spans="47:48" x14ac:dyDescent="0.25">
      <c r="AU1872" s="7"/>
      <c r="AV1872" s="7"/>
    </row>
    <row r="1873" spans="47:48" x14ac:dyDescent="0.25">
      <c r="AU1873" s="7"/>
      <c r="AV1873" s="7"/>
    </row>
    <row r="1874" spans="47:48" x14ac:dyDescent="0.25">
      <c r="AU1874" s="7"/>
      <c r="AV1874" s="7"/>
    </row>
    <row r="1875" spans="47:48" x14ac:dyDescent="0.25">
      <c r="AU1875" s="7"/>
      <c r="AV1875" s="7"/>
    </row>
    <row r="1876" spans="47:48" x14ac:dyDescent="0.25">
      <c r="AU1876" s="7"/>
      <c r="AV1876" s="7"/>
    </row>
    <row r="1877" spans="47:48" x14ac:dyDescent="0.25">
      <c r="AU1877" s="7"/>
      <c r="AV1877" s="7"/>
    </row>
    <row r="1878" spans="47:48" x14ac:dyDescent="0.25">
      <c r="AU1878" s="7"/>
      <c r="AV1878" s="7"/>
    </row>
    <row r="1879" spans="47:48" x14ac:dyDescent="0.25">
      <c r="AU1879" s="7"/>
      <c r="AV1879" s="7"/>
    </row>
    <row r="1880" spans="47:48" x14ac:dyDescent="0.25">
      <c r="AU1880" s="7"/>
      <c r="AV1880" s="7"/>
    </row>
    <row r="1881" spans="47:48" x14ac:dyDescent="0.25">
      <c r="AU1881" s="7"/>
      <c r="AV1881" s="7"/>
    </row>
    <row r="1882" spans="47:48" x14ac:dyDescent="0.25">
      <c r="AU1882" s="7"/>
      <c r="AV1882" s="7"/>
    </row>
    <row r="1883" spans="47:48" x14ac:dyDescent="0.25">
      <c r="AU1883" s="7"/>
      <c r="AV1883" s="7"/>
    </row>
    <row r="1884" spans="47:48" x14ac:dyDescent="0.25">
      <c r="AU1884" s="7"/>
      <c r="AV1884" s="7"/>
    </row>
    <row r="1885" spans="47:48" x14ac:dyDescent="0.25">
      <c r="AU1885" s="7"/>
      <c r="AV1885" s="7"/>
    </row>
    <row r="1886" spans="47:48" x14ac:dyDescent="0.25">
      <c r="AU1886" s="7"/>
      <c r="AV1886" s="7"/>
    </row>
    <row r="1887" spans="47:48" x14ac:dyDescent="0.25">
      <c r="AU1887" s="7"/>
      <c r="AV1887" s="7"/>
    </row>
    <row r="1888" spans="47:48" x14ac:dyDescent="0.25">
      <c r="AU1888" s="7"/>
      <c r="AV1888" s="7"/>
    </row>
    <row r="1889" spans="47:48" x14ac:dyDescent="0.25">
      <c r="AU1889" s="7"/>
      <c r="AV1889" s="7"/>
    </row>
    <row r="1890" spans="47:48" x14ac:dyDescent="0.25">
      <c r="AU1890" s="7"/>
      <c r="AV1890" s="7"/>
    </row>
    <row r="1891" spans="47:48" x14ac:dyDescent="0.25">
      <c r="AU1891" s="7"/>
      <c r="AV1891" s="7"/>
    </row>
    <row r="1892" spans="47:48" x14ac:dyDescent="0.25">
      <c r="AU1892" s="7"/>
      <c r="AV1892" s="7"/>
    </row>
    <row r="1893" spans="47:48" x14ac:dyDescent="0.25">
      <c r="AU1893" s="7"/>
      <c r="AV1893" s="7"/>
    </row>
    <row r="1894" spans="47:48" x14ac:dyDescent="0.25">
      <c r="AU1894" s="7"/>
      <c r="AV1894" s="7"/>
    </row>
    <row r="1895" spans="47:48" x14ac:dyDescent="0.25">
      <c r="AU1895" s="7"/>
      <c r="AV1895" s="7"/>
    </row>
    <row r="1896" spans="47:48" x14ac:dyDescent="0.25">
      <c r="AU1896" s="7"/>
      <c r="AV1896" s="7"/>
    </row>
    <row r="1897" spans="47:48" x14ac:dyDescent="0.25">
      <c r="AU1897" s="7"/>
      <c r="AV1897" s="7"/>
    </row>
    <row r="1898" spans="47:48" x14ac:dyDescent="0.25">
      <c r="AU1898" s="7"/>
      <c r="AV1898" s="7"/>
    </row>
    <row r="1899" spans="47:48" x14ac:dyDescent="0.25">
      <c r="AU1899" s="7"/>
      <c r="AV1899" s="7"/>
    </row>
    <row r="1900" spans="47:48" x14ac:dyDescent="0.25">
      <c r="AU1900" s="7"/>
      <c r="AV1900" s="7"/>
    </row>
    <row r="1901" spans="47:48" x14ac:dyDescent="0.25">
      <c r="AU1901" s="7"/>
      <c r="AV1901" s="7"/>
    </row>
    <row r="1902" spans="47:48" x14ac:dyDescent="0.25">
      <c r="AU1902" s="7"/>
      <c r="AV1902" s="7"/>
    </row>
    <row r="1903" spans="47:48" x14ac:dyDescent="0.25">
      <c r="AU1903" s="7"/>
      <c r="AV1903" s="7"/>
    </row>
    <row r="1904" spans="47:48" x14ac:dyDescent="0.25">
      <c r="AU1904" s="7"/>
      <c r="AV1904" s="7"/>
    </row>
    <row r="1905" spans="47:48" x14ac:dyDescent="0.25">
      <c r="AU1905" s="7"/>
      <c r="AV1905" s="7"/>
    </row>
    <row r="1906" spans="47:48" x14ac:dyDescent="0.25">
      <c r="AU1906" s="7"/>
      <c r="AV1906" s="7"/>
    </row>
    <row r="1907" spans="47:48" x14ac:dyDescent="0.25">
      <c r="AU1907" s="7"/>
      <c r="AV1907" s="7"/>
    </row>
    <row r="1908" spans="47:48" x14ac:dyDescent="0.25">
      <c r="AU1908" s="7"/>
      <c r="AV1908" s="7"/>
    </row>
    <row r="1909" spans="47:48" x14ac:dyDescent="0.25">
      <c r="AU1909" s="7"/>
      <c r="AV1909" s="7"/>
    </row>
    <row r="1910" spans="47:48" x14ac:dyDescent="0.25">
      <c r="AU1910" s="7"/>
      <c r="AV1910" s="7"/>
    </row>
    <row r="1911" spans="47:48" x14ac:dyDescent="0.25">
      <c r="AU1911" s="7"/>
      <c r="AV1911" s="7"/>
    </row>
    <row r="1912" spans="47:48" x14ac:dyDescent="0.25">
      <c r="AU1912" s="7"/>
      <c r="AV1912" s="7"/>
    </row>
    <row r="1913" spans="47:48" x14ac:dyDescent="0.25">
      <c r="AU1913" s="7"/>
      <c r="AV1913" s="7"/>
    </row>
    <row r="1914" spans="47:48" x14ac:dyDescent="0.25">
      <c r="AU1914" s="7"/>
      <c r="AV1914" s="7"/>
    </row>
    <row r="1915" spans="47:48" x14ac:dyDescent="0.25">
      <c r="AU1915" s="7"/>
      <c r="AV1915" s="7"/>
    </row>
    <row r="1916" spans="47:48" x14ac:dyDescent="0.25">
      <c r="AU1916" s="7"/>
      <c r="AV1916" s="7"/>
    </row>
    <row r="1917" spans="47:48" x14ac:dyDescent="0.25">
      <c r="AU1917" s="7"/>
      <c r="AV1917" s="7"/>
    </row>
    <row r="1918" spans="47:48" x14ac:dyDescent="0.25">
      <c r="AU1918" s="7"/>
      <c r="AV1918" s="7"/>
    </row>
    <row r="1919" spans="47:48" x14ac:dyDescent="0.25">
      <c r="AU1919" s="7"/>
      <c r="AV1919" s="7"/>
    </row>
    <row r="1920" spans="47:48" x14ac:dyDescent="0.25">
      <c r="AU1920" s="7"/>
      <c r="AV1920" s="7"/>
    </row>
    <row r="1921" spans="47:48" x14ac:dyDescent="0.25">
      <c r="AU1921" s="7"/>
      <c r="AV1921" s="7"/>
    </row>
    <row r="1922" spans="47:48" x14ac:dyDescent="0.25">
      <c r="AU1922" s="7"/>
      <c r="AV1922" s="7"/>
    </row>
    <row r="1923" spans="47:48" x14ac:dyDescent="0.25">
      <c r="AU1923" s="7"/>
      <c r="AV1923" s="7"/>
    </row>
    <row r="1924" spans="47:48" x14ac:dyDescent="0.25">
      <c r="AU1924" s="7"/>
      <c r="AV1924" s="7"/>
    </row>
    <row r="1925" spans="47:48" x14ac:dyDescent="0.25">
      <c r="AU1925" s="7"/>
      <c r="AV1925" s="7"/>
    </row>
    <row r="1926" spans="47:48" x14ac:dyDescent="0.25">
      <c r="AU1926" s="7"/>
      <c r="AV1926" s="7"/>
    </row>
    <row r="1927" spans="47:48" x14ac:dyDescent="0.25">
      <c r="AU1927" s="7"/>
      <c r="AV1927" s="7"/>
    </row>
    <row r="1928" spans="47:48" x14ac:dyDescent="0.25">
      <c r="AU1928" s="7"/>
      <c r="AV1928" s="7"/>
    </row>
    <row r="1929" spans="47:48" x14ac:dyDescent="0.25">
      <c r="AU1929" s="7"/>
      <c r="AV1929" s="7"/>
    </row>
    <row r="1930" spans="47:48" x14ac:dyDescent="0.25">
      <c r="AU1930" s="7"/>
      <c r="AV1930" s="7"/>
    </row>
    <row r="1931" spans="47:48" x14ac:dyDescent="0.25">
      <c r="AU1931" s="7"/>
      <c r="AV1931" s="7"/>
    </row>
    <row r="1932" spans="47:48" x14ac:dyDescent="0.25">
      <c r="AU1932" s="7"/>
      <c r="AV1932" s="7"/>
    </row>
    <row r="1933" spans="47:48" x14ac:dyDescent="0.25">
      <c r="AU1933" s="7"/>
      <c r="AV1933" s="7"/>
    </row>
    <row r="1934" spans="47:48" x14ac:dyDescent="0.25">
      <c r="AU1934" s="7"/>
      <c r="AV1934" s="7"/>
    </row>
    <row r="1935" spans="47:48" x14ac:dyDescent="0.25">
      <c r="AU1935" s="7"/>
      <c r="AV1935" s="7"/>
    </row>
    <row r="1936" spans="47:48" x14ac:dyDescent="0.25">
      <c r="AU1936" s="7"/>
      <c r="AV1936" s="7"/>
    </row>
    <row r="1937" spans="47:48" x14ac:dyDescent="0.25">
      <c r="AU1937" s="7"/>
      <c r="AV1937" s="7"/>
    </row>
    <row r="1938" spans="47:48" x14ac:dyDescent="0.25">
      <c r="AU1938" s="7"/>
      <c r="AV1938" s="7"/>
    </row>
    <row r="1939" spans="47:48" x14ac:dyDescent="0.25">
      <c r="AU1939" s="7"/>
      <c r="AV1939" s="7"/>
    </row>
    <row r="1940" spans="47:48" x14ac:dyDescent="0.25">
      <c r="AU1940" s="7"/>
      <c r="AV1940" s="7"/>
    </row>
    <row r="1941" spans="47:48" x14ac:dyDescent="0.25">
      <c r="AU1941" s="7"/>
      <c r="AV1941" s="7"/>
    </row>
    <row r="1942" spans="47:48" x14ac:dyDescent="0.25">
      <c r="AU1942" s="7"/>
      <c r="AV1942" s="7"/>
    </row>
    <row r="1943" spans="47:48" x14ac:dyDescent="0.25">
      <c r="AU1943" s="7"/>
      <c r="AV1943" s="7"/>
    </row>
    <row r="1944" spans="47:48" x14ac:dyDescent="0.25">
      <c r="AU1944" s="7"/>
      <c r="AV1944" s="7"/>
    </row>
    <row r="1945" spans="47:48" x14ac:dyDescent="0.25">
      <c r="AU1945" s="7"/>
      <c r="AV1945" s="7"/>
    </row>
    <row r="1946" spans="47:48" x14ac:dyDescent="0.25">
      <c r="AU1946" s="7"/>
      <c r="AV1946" s="7"/>
    </row>
    <row r="1947" spans="47:48" x14ac:dyDescent="0.25">
      <c r="AU1947" s="7"/>
      <c r="AV1947" s="7"/>
    </row>
    <row r="1948" spans="47:48" x14ac:dyDescent="0.25">
      <c r="AU1948" s="7"/>
      <c r="AV1948" s="7"/>
    </row>
    <row r="1949" spans="47:48" x14ac:dyDescent="0.25">
      <c r="AU1949" s="7"/>
      <c r="AV1949" s="7"/>
    </row>
    <row r="1950" spans="47:48" x14ac:dyDescent="0.25">
      <c r="AU1950" s="7"/>
      <c r="AV1950" s="7"/>
    </row>
    <row r="1951" spans="47:48" x14ac:dyDescent="0.25">
      <c r="AU1951" s="7"/>
      <c r="AV1951" s="7"/>
    </row>
    <row r="1952" spans="47:48" x14ac:dyDescent="0.25">
      <c r="AU1952" s="7"/>
      <c r="AV1952" s="7"/>
    </row>
    <row r="1953" spans="47:48" x14ac:dyDescent="0.25">
      <c r="AU1953" s="7"/>
      <c r="AV1953" s="7"/>
    </row>
    <row r="1954" spans="47:48" x14ac:dyDescent="0.25">
      <c r="AU1954" s="7"/>
      <c r="AV1954" s="7"/>
    </row>
    <row r="1955" spans="47:48" x14ac:dyDescent="0.25">
      <c r="AU1955" s="7"/>
      <c r="AV1955" s="7"/>
    </row>
    <row r="1956" spans="47:48" x14ac:dyDescent="0.25">
      <c r="AU1956" s="7"/>
      <c r="AV1956" s="7"/>
    </row>
    <row r="1957" spans="47:48" x14ac:dyDescent="0.25">
      <c r="AU1957" s="7"/>
      <c r="AV1957" s="7"/>
    </row>
    <row r="1958" spans="47:48" x14ac:dyDescent="0.25">
      <c r="AU1958" s="7"/>
      <c r="AV1958" s="7"/>
    </row>
    <row r="1959" spans="47:48" x14ac:dyDescent="0.25">
      <c r="AU1959" s="7"/>
      <c r="AV1959" s="7"/>
    </row>
    <row r="1960" spans="47:48" x14ac:dyDescent="0.25">
      <c r="AU1960" s="7"/>
      <c r="AV1960" s="7"/>
    </row>
    <row r="1961" spans="47:48" x14ac:dyDescent="0.25">
      <c r="AU1961" s="7"/>
      <c r="AV1961" s="7"/>
    </row>
    <row r="1962" spans="47:48" x14ac:dyDescent="0.25">
      <c r="AU1962" s="7"/>
      <c r="AV1962" s="7"/>
    </row>
    <row r="1963" spans="47:48" x14ac:dyDescent="0.25">
      <c r="AU1963" s="7"/>
      <c r="AV1963" s="7"/>
    </row>
    <row r="1964" spans="47:48" x14ac:dyDescent="0.25">
      <c r="AU1964" s="7"/>
      <c r="AV1964" s="7"/>
    </row>
    <row r="1965" spans="47:48" x14ac:dyDescent="0.25">
      <c r="AU1965" s="7"/>
      <c r="AV1965" s="7"/>
    </row>
    <row r="1966" spans="47:48" x14ac:dyDescent="0.25">
      <c r="AU1966" s="7"/>
      <c r="AV1966" s="7"/>
    </row>
    <row r="1967" spans="47:48" x14ac:dyDescent="0.25">
      <c r="AU1967" s="7"/>
      <c r="AV1967" s="7"/>
    </row>
    <row r="1968" spans="47:48" x14ac:dyDescent="0.25">
      <c r="AU1968" s="7"/>
      <c r="AV1968" s="7"/>
    </row>
    <row r="1969" spans="47:48" x14ac:dyDescent="0.25">
      <c r="AU1969" s="7"/>
      <c r="AV1969" s="7"/>
    </row>
    <row r="1970" spans="47:48" x14ac:dyDescent="0.25">
      <c r="AU1970" s="7"/>
      <c r="AV1970" s="7"/>
    </row>
    <row r="1971" spans="47:48" x14ac:dyDescent="0.25">
      <c r="AU1971" s="7"/>
      <c r="AV1971" s="7"/>
    </row>
    <row r="1972" spans="47:48" x14ac:dyDescent="0.25">
      <c r="AU1972" s="7"/>
      <c r="AV1972" s="7"/>
    </row>
    <row r="1973" spans="47:48" x14ac:dyDescent="0.25">
      <c r="AU1973" s="7"/>
      <c r="AV1973" s="7"/>
    </row>
    <row r="1974" spans="47:48" x14ac:dyDescent="0.25">
      <c r="AU1974" s="7"/>
      <c r="AV1974" s="7"/>
    </row>
    <row r="1975" spans="47:48" x14ac:dyDescent="0.25">
      <c r="AU1975" s="7"/>
      <c r="AV1975" s="7"/>
    </row>
    <row r="1976" spans="47:48" x14ac:dyDescent="0.25">
      <c r="AU1976" s="7"/>
      <c r="AV1976" s="7"/>
    </row>
    <row r="1977" spans="47:48" x14ac:dyDescent="0.25">
      <c r="AU1977" s="7"/>
      <c r="AV1977" s="7"/>
    </row>
    <row r="1978" spans="47:48" x14ac:dyDescent="0.25">
      <c r="AU1978" s="7"/>
      <c r="AV1978" s="7"/>
    </row>
    <row r="1979" spans="47:48" x14ac:dyDescent="0.25">
      <c r="AU1979" s="7"/>
      <c r="AV1979" s="7"/>
    </row>
    <row r="1980" spans="47:48" x14ac:dyDescent="0.25">
      <c r="AU1980" s="7"/>
      <c r="AV1980" s="7"/>
    </row>
    <row r="1981" spans="47:48" x14ac:dyDescent="0.25">
      <c r="AU1981" s="7"/>
      <c r="AV1981" s="7"/>
    </row>
    <row r="1982" spans="47:48" x14ac:dyDescent="0.25">
      <c r="AU1982" s="7"/>
      <c r="AV1982" s="7"/>
    </row>
    <row r="1983" spans="47:48" x14ac:dyDescent="0.25">
      <c r="AU1983" s="7"/>
      <c r="AV1983" s="7"/>
    </row>
    <row r="1984" spans="47:48" x14ac:dyDescent="0.25">
      <c r="AU1984" s="7"/>
      <c r="AV1984" s="7"/>
    </row>
    <row r="1985" spans="47:48" x14ac:dyDescent="0.25">
      <c r="AU1985" s="7"/>
      <c r="AV1985" s="7"/>
    </row>
    <row r="1986" spans="47:48" x14ac:dyDescent="0.25">
      <c r="AU1986" s="7"/>
      <c r="AV1986" s="7"/>
    </row>
    <row r="1987" spans="47:48" x14ac:dyDescent="0.25">
      <c r="AU1987" s="7"/>
      <c r="AV1987" s="7"/>
    </row>
    <row r="1988" spans="47:48" x14ac:dyDescent="0.25">
      <c r="AU1988" s="7"/>
      <c r="AV1988" s="7"/>
    </row>
    <row r="1989" spans="47:48" x14ac:dyDescent="0.25">
      <c r="AU1989" s="7"/>
      <c r="AV1989" s="7"/>
    </row>
    <row r="1990" spans="47:48" x14ac:dyDescent="0.25">
      <c r="AU1990" s="7"/>
      <c r="AV1990" s="7"/>
    </row>
    <row r="1991" spans="47:48" x14ac:dyDescent="0.25">
      <c r="AU1991" s="7"/>
      <c r="AV1991" s="7"/>
    </row>
    <row r="1992" spans="47:48" x14ac:dyDescent="0.25">
      <c r="AU1992" s="7"/>
      <c r="AV1992" s="7"/>
    </row>
    <row r="1993" spans="47:48" x14ac:dyDescent="0.25">
      <c r="AU1993" s="7"/>
      <c r="AV1993" s="7"/>
    </row>
    <row r="1994" spans="47:48" x14ac:dyDescent="0.25">
      <c r="AU1994" s="7"/>
      <c r="AV1994" s="7"/>
    </row>
    <row r="1995" spans="47:48" x14ac:dyDescent="0.25">
      <c r="AU1995" s="7"/>
      <c r="AV1995" s="7"/>
    </row>
    <row r="1996" spans="47:48" x14ac:dyDescent="0.25">
      <c r="AU1996" s="7"/>
      <c r="AV1996" s="7"/>
    </row>
    <row r="1997" spans="47:48" x14ac:dyDescent="0.25">
      <c r="AU1997" s="7"/>
      <c r="AV1997" s="7"/>
    </row>
    <row r="1998" spans="47:48" x14ac:dyDescent="0.25">
      <c r="AU1998" s="7"/>
      <c r="AV1998" s="7"/>
    </row>
    <row r="1999" spans="47:48" x14ac:dyDescent="0.25">
      <c r="AU1999" s="7"/>
      <c r="AV1999" s="7"/>
    </row>
    <row r="2000" spans="47:48" x14ac:dyDescent="0.25">
      <c r="AU2000" s="7"/>
      <c r="AV2000" s="7"/>
    </row>
    <row r="2001" spans="47:48" x14ac:dyDescent="0.25">
      <c r="AU2001" s="7"/>
      <c r="AV2001" s="7"/>
    </row>
    <row r="2002" spans="47:48" x14ac:dyDescent="0.25">
      <c r="AU2002" s="7"/>
      <c r="AV2002" s="7"/>
    </row>
    <row r="2003" spans="47:48" x14ac:dyDescent="0.25">
      <c r="AU2003" s="7"/>
      <c r="AV2003" s="7"/>
    </row>
    <row r="2004" spans="47:48" x14ac:dyDescent="0.25">
      <c r="AU2004" s="7"/>
      <c r="AV2004" s="7"/>
    </row>
    <row r="2005" spans="47:48" x14ac:dyDescent="0.25">
      <c r="AU2005" s="7"/>
      <c r="AV2005" s="7"/>
    </row>
    <row r="2006" spans="47:48" x14ac:dyDescent="0.25">
      <c r="AU2006" s="7"/>
      <c r="AV2006" s="7"/>
    </row>
    <row r="2007" spans="47:48" x14ac:dyDescent="0.25">
      <c r="AU2007" s="7"/>
      <c r="AV2007" s="7"/>
    </row>
    <row r="2008" spans="47:48" x14ac:dyDescent="0.25">
      <c r="AU2008" s="7"/>
      <c r="AV2008" s="7"/>
    </row>
    <row r="2009" spans="47:48" x14ac:dyDescent="0.25">
      <c r="AU2009" s="7"/>
      <c r="AV2009" s="7"/>
    </row>
    <row r="2010" spans="47:48" x14ac:dyDescent="0.25">
      <c r="AU2010" s="7"/>
      <c r="AV2010" s="7"/>
    </row>
    <row r="2011" spans="47:48" x14ac:dyDescent="0.25">
      <c r="AU2011" s="7"/>
      <c r="AV2011" s="7"/>
    </row>
    <row r="2012" spans="47:48" x14ac:dyDescent="0.25">
      <c r="AU2012" s="7"/>
      <c r="AV2012" s="7"/>
    </row>
    <row r="2013" spans="47:48" x14ac:dyDescent="0.25">
      <c r="AU2013" s="7"/>
      <c r="AV2013" s="7"/>
    </row>
    <row r="2014" spans="47:48" x14ac:dyDescent="0.25">
      <c r="AU2014" s="7"/>
      <c r="AV2014" s="7"/>
    </row>
    <row r="2015" spans="47:48" x14ac:dyDescent="0.25">
      <c r="AU2015" s="7"/>
      <c r="AV2015" s="7"/>
    </row>
    <row r="2016" spans="47:48" x14ac:dyDescent="0.25">
      <c r="AU2016" s="7"/>
      <c r="AV2016" s="7"/>
    </row>
    <row r="2017" spans="47:48" x14ac:dyDescent="0.25">
      <c r="AU2017" s="7"/>
      <c r="AV2017" s="7"/>
    </row>
    <row r="2018" spans="47:48" x14ac:dyDescent="0.25">
      <c r="AU2018" s="7"/>
      <c r="AV2018" s="7"/>
    </row>
    <row r="2019" spans="47:48" x14ac:dyDescent="0.25">
      <c r="AU2019" s="7"/>
      <c r="AV2019" s="7"/>
    </row>
    <row r="2020" spans="47:48" x14ac:dyDescent="0.25">
      <c r="AU2020" s="7"/>
      <c r="AV2020" s="7"/>
    </row>
    <row r="2021" spans="47:48" x14ac:dyDescent="0.25">
      <c r="AU2021" s="7"/>
      <c r="AV2021" s="7"/>
    </row>
    <row r="2022" spans="47:48" x14ac:dyDescent="0.25">
      <c r="AU2022" s="7"/>
      <c r="AV2022" s="7"/>
    </row>
    <row r="2023" spans="47:48" x14ac:dyDescent="0.25">
      <c r="AU2023" s="7"/>
      <c r="AV2023" s="7"/>
    </row>
    <row r="2024" spans="47:48" x14ac:dyDescent="0.25">
      <c r="AU2024" s="7"/>
      <c r="AV2024" s="7"/>
    </row>
    <row r="2025" spans="47:48" x14ac:dyDescent="0.25">
      <c r="AU2025" s="7"/>
      <c r="AV2025" s="7"/>
    </row>
    <row r="2026" spans="47:48" x14ac:dyDescent="0.25">
      <c r="AU2026" s="7"/>
      <c r="AV2026" s="7"/>
    </row>
    <row r="2027" spans="47:48" x14ac:dyDescent="0.25">
      <c r="AU2027" s="7"/>
      <c r="AV2027" s="7"/>
    </row>
    <row r="2028" spans="47:48" x14ac:dyDescent="0.25">
      <c r="AU2028" s="7"/>
      <c r="AV2028" s="7"/>
    </row>
    <row r="2029" spans="47:48" x14ac:dyDescent="0.25">
      <c r="AU2029" s="7"/>
      <c r="AV2029" s="7"/>
    </row>
    <row r="2030" spans="47:48" x14ac:dyDescent="0.25">
      <c r="AU2030" s="7"/>
      <c r="AV2030" s="7"/>
    </row>
    <row r="2031" spans="47:48" x14ac:dyDescent="0.25">
      <c r="AU2031" s="7"/>
      <c r="AV2031" s="7"/>
    </row>
    <row r="2032" spans="47:48" x14ac:dyDescent="0.25">
      <c r="AU2032" s="7"/>
      <c r="AV2032" s="7"/>
    </row>
    <row r="2033" spans="47:48" x14ac:dyDescent="0.25">
      <c r="AU2033" s="7"/>
      <c r="AV2033" s="7"/>
    </row>
    <row r="2034" spans="47:48" x14ac:dyDescent="0.25">
      <c r="AU2034" s="7"/>
      <c r="AV2034" s="7"/>
    </row>
    <row r="2035" spans="47:48" x14ac:dyDescent="0.25">
      <c r="AU2035" s="7"/>
      <c r="AV2035" s="7"/>
    </row>
    <row r="2036" spans="47:48" x14ac:dyDescent="0.25">
      <c r="AU2036" s="7"/>
      <c r="AV2036" s="7"/>
    </row>
    <row r="2037" spans="47:48" x14ac:dyDescent="0.25">
      <c r="AU2037" s="7"/>
      <c r="AV2037" s="7"/>
    </row>
    <row r="2038" spans="47:48" x14ac:dyDescent="0.25">
      <c r="AU2038" s="7"/>
      <c r="AV2038" s="7"/>
    </row>
    <row r="2039" spans="47:48" x14ac:dyDescent="0.25">
      <c r="AU2039" s="7"/>
      <c r="AV2039" s="7"/>
    </row>
    <row r="2040" spans="47:48" x14ac:dyDescent="0.25">
      <c r="AU2040" s="7"/>
      <c r="AV2040" s="7"/>
    </row>
    <row r="2041" spans="47:48" x14ac:dyDescent="0.25">
      <c r="AU2041" s="7"/>
      <c r="AV2041" s="7"/>
    </row>
    <row r="2042" spans="47:48" x14ac:dyDescent="0.25">
      <c r="AU2042" s="7"/>
      <c r="AV2042" s="7"/>
    </row>
    <row r="2043" spans="47:48" x14ac:dyDescent="0.25">
      <c r="AU2043" s="7"/>
      <c r="AV2043" s="7"/>
    </row>
    <row r="2044" spans="47:48" x14ac:dyDescent="0.25">
      <c r="AU2044" s="7"/>
      <c r="AV2044" s="7"/>
    </row>
    <row r="2045" spans="47:48" x14ac:dyDescent="0.25">
      <c r="AU2045" s="7"/>
      <c r="AV2045" s="7"/>
    </row>
    <row r="2046" spans="47:48" x14ac:dyDescent="0.25">
      <c r="AU2046" s="7"/>
      <c r="AV2046" s="7"/>
    </row>
    <row r="2047" spans="47:48" x14ac:dyDescent="0.25">
      <c r="AU2047" s="7"/>
      <c r="AV2047" s="7"/>
    </row>
    <row r="2048" spans="47:48" x14ac:dyDescent="0.25">
      <c r="AU2048" s="7"/>
      <c r="AV2048" s="7"/>
    </row>
    <row r="2049" spans="47:48" x14ac:dyDescent="0.25">
      <c r="AU2049" s="7"/>
      <c r="AV2049" s="7"/>
    </row>
    <row r="2050" spans="47:48" x14ac:dyDescent="0.25">
      <c r="AU2050" s="7"/>
      <c r="AV2050" s="7"/>
    </row>
    <row r="2051" spans="47:48" x14ac:dyDescent="0.25">
      <c r="AU2051" s="7"/>
      <c r="AV2051" s="7"/>
    </row>
    <row r="2052" spans="47:48" x14ac:dyDescent="0.25">
      <c r="AU2052" s="7"/>
      <c r="AV2052" s="7"/>
    </row>
    <row r="2053" spans="47:48" x14ac:dyDescent="0.25">
      <c r="AU2053" s="7"/>
      <c r="AV2053" s="7"/>
    </row>
    <row r="2054" spans="47:48" x14ac:dyDescent="0.25">
      <c r="AU2054" s="7"/>
      <c r="AV2054" s="7"/>
    </row>
    <row r="2055" spans="47:48" x14ac:dyDescent="0.25">
      <c r="AU2055" s="7"/>
      <c r="AV2055" s="7"/>
    </row>
    <row r="2056" spans="47:48" x14ac:dyDescent="0.25">
      <c r="AU2056" s="7"/>
      <c r="AV2056" s="7"/>
    </row>
    <row r="2057" spans="47:48" x14ac:dyDescent="0.25">
      <c r="AU2057" s="7"/>
      <c r="AV2057" s="7"/>
    </row>
    <row r="2058" spans="47:48" x14ac:dyDescent="0.25">
      <c r="AU2058" s="7"/>
      <c r="AV2058" s="7"/>
    </row>
    <row r="2059" spans="47:48" x14ac:dyDescent="0.25">
      <c r="AU2059" s="7"/>
      <c r="AV2059" s="7"/>
    </row>
    <row r="2060" spans="47:48" x14ac:dyDescent="0.25">
      <c r="AU2060" s="7"/>
      <c r="AV2060" s="7"/>
    </row>
    <row r="2061" spans="47:48" x14ac:dyDescent="0.25">
      <c r="AU2061" s="7"/>
      <c r="AV2061" s="7"/>
    </row>
    <row r="2062" spans="47:48" x14ac:dyDescent="0.25">
      <c r="AU2062" s="7"/>
      <c r="AV2062" s="7"/>
    </row>
    <row r="2063" spans="47:48" x14ac:dyDescent="0.25">
      <c r="AU2063" s="7"/>
      <c r="AV2063" s="7"/>
    </row>
    <row r="2064" spans="47:48" x14ac:dyDescent="0.25">
      <c r="AU2064" s="7"/>
      <c r="AV2064" s="7"/>
    </row>
    <row r="2065" spans="47:48" x14ac:dyDescent="0.25">
      <c r="AU2065" s="7"/>
      <c r="AV2065" s="7"/>
    </row>
    <row r="2066" spans="47:48" x14ac:dyDescent="0.25">
      <c r="AU2066" s="7"/>
      <c r="AV2066" s="7"/>
    </row>
    <row r="2067" spans="47:48" x14ac:dyDescent="0.25">
      <c r="AU2067" s="7"/>
      <c r="AV2067" s="7"/>
    </row>
    <row r="2068" spans="47:48" x14ac:dyDescent="0.25">
      <c r="AU2068" s="7"/>
      <c r="AV2068" s="7"/>
    </row>
    <row r="2069" spans="47:48" x14ac:dyDescent="0.25">
      <c r="AU2069" s="7"/>
      <c r="AV2069" s="7"/>
    </row>
    <row r="2070" spans="47:48" x14ac:dyDescent="0.25">
      <c r="AU2070" s="7"/>
      <c r="AV2070" s="7"/>
    </row>
    <row r="2071" spans="47:48" x14ac:dyDescent="0.25">
      <c r="AU2071" s="7"/>
      <c r="AV2071" s="7"/>
    </row>
    <row r="2072" spans="47:48" x14ac:dyDescent="0.25">
      <c r="AU2072" s="7"/>
      <c r="AV2072" s="7"/>
    </row>
    <row r="2073" spans="47:48" x14ac:dyDescent="0.25">
      <c r="AU2073" s="7"/>
      <c r="AV2073" s="7"/>
    </row>
    <row r="2074" spans="47:48" x14ac:dyDescent="0.25">
      <c r="AU2074" s="7"/>
      <c r="AV2074" s="7"/>
    </row>
    <row r="2075" spans="47:48" x14ac:dyDescent="0.25">
      <c r="AU2075" s="7"/>
      <c r="AV2075" s="7"/>
    </row>
    <row r="2076" spans="47:48" x14ac:dyDescent="0.25">
      <c r="AU2076" s="7"/>
      <c r="AV2076" s="7"/>
    </row>
    <row r="2077" spans="47:48" x14ac:dyDescent="0.25">
      <c r="AU2077" s="7"/>
      <c r="AV2077" s="7"/>
    </row>
    <row r="2078" spans="47:48" x14ac:dyDescent="0.25">
      <c r="AU2078" s="7"/>
      <c r="AV2078" s="7"/>
    </row>
    <row r="2079" spans="47:48" x14ac:dyDescent="0.25">
      <c r="AU2079" s="7"/>
      <c r="AV2079" s="7"/>
    </row>
    <row r="2080" spans="47:48" x14ac:dyDescent="0.25">
      <c r="AU2080" s="7"/>
      <c r="AV2080" s="7"/>
    </row>
    <row r="2081" spans="47:48" x14ac:dyDescent="0.25">
      <c r="AU2081" s="7"/>
      <c r="AV2081" s="7"/>
    </row>
    <row r="2082" spans="47:48" x14ac:dyDescent="0.25">
      <c r="AU2082" s="7"/>
      <c r="AV2082" s="7"/>
    </row>
    <row r="2083" spans="47:48" x14ac:dyDescent="0.25">
      <c r="AU2083" s="7"/>
      <c r="AV2083" s="7"/>
    </row>
    <row r="2084" spans="47:48" x14ac:dyDescent="0.25">
      <c r="AU2084" s="7"/>
      <c r="AV2084" s="7"/>
    </row>
    <row r="2085" spans="47:48" x14ac:dyDescent="0.25">
      <c r="AU2085" s="7"/>
      <c r="AV2085" s="7"/>
    </row>
    <row r="2086" spans="47:48" x14ac:dyDescent="0.25">
      <c r="AU2086" s="7"/>
      <c r="AV2086" s="7"/>
    </row>
    <row r="2087" spans="47:48" x14ac:dyDescent="0.25">
      <c r="AU2087" s="7"/>
      <c r="AV2087" s="7"/>
    </row>
    <row r="2088" spans="47:48" x14ac:dyDescent="0.25">
      <c r="AU2088" s="7"/>
      <c r="AV2088" s="7"/>
    </row>
    <row r="2089" spans="47:48" x14ac:dyDescent="0.25">
      <c r="AU2089" s="7"/>
      <c r="AV2089" s="7"/>
    </row>
    <row r="2090" spans="47:48" x14ac:dyDescent="0.25">
      <c r="AU2090" s="7"/>
      <c r="AV2090" s="7"/>
    </row>
    <row r="2091" spans="47:48" x14ac:dyDescent="0.25">
      <c r="AU2091" s="7"/>
      <c r="AV2091" s="7"/>
    </row>
    <row r="2092" spans="47:48" x14ac:dyDescent="0.25">
      <c r="AU2092" s="7"/>
      <c r="AV2092" s="7"/>
    </row>
    <row r="2093" spans="47:48" x14ac:dyDescent="0.25">
      <c r="AU2093" s="7"/>
      <c r="AV2093" s="7"/>
    </row>
    <row r="2094" spans="47:48" x14ac:dyDescent="0.25">
      <c r="AU2094" s="7"/>
      <c r="AV2094" s="7"/>
    </row>
    <row r="2095" spans="47:48" x14ac:dyDescent="0.25">
      <c r="AU2095" s="7"/>
      <c r="AV2095" s="7"/>
    </row>
    <row r="2096" spans="47:48" x14ac:dyDescent="0.25">
      <c r="AU2096" s="7"/>
      <c r="AV2096" s="7"/>
    </row>
    <row r="2097" spans="47:48" x14ac:dyDescent="0.25">
      <c r="AU2097" s="7"/>
      <c r="AV2097" s="7"/>
    </row>
    <row r="2098" spans="47:48" x14ac:dyDescent="0.25">
      <c r="AU2098" s="7"/>
      <c r="AV2098" s="7"/>
    </row>
    <row r="2099" spans="47:48" x14ac:dyDescent="0.25">
      <c r="AU2099" s="7"/>
      <c r="AV2099" s="7"/>
    </row>
    <row r="2100" spans="47:48" x14ac:dyDescent="0.25">
      <c r="AU2100" s="7"/>
      <c r="AV2100" s="7"/>
    </row>
    <row r="2101" spans="47:48" x14ac:dyDescent="0.25">
      <c r="AU2101" s="7"/>
      <c r="AV2101" s="7"/>
    </row>
    <row r="2102" spans="47:48" x14ac:dyDescent="0.25">
      <c r="AU2102" s="7"/>
      <c r="AV2102" s="7"/>
    </row>
    <row r="2103" spans="47:48" x14ac:dyDescent="0.25">
      <c r="AU2103" s="7"/>
      <c r="AV2103" s="7"/>
    </row>
    <row r="2104" spans="47:48" x14ac:dyDescent="0.25">
      <c r="AU2104" s="7"/>
      <c r="AV2104" s="7"/>
    </row>
    <row r="2105" spans="47:48" x14ac:dyDescent="0.25">
      <c r="AU2105" s="7"/>
      <c r="AV2105" s="7"/>
    </row>
    <row r="2106" spans="47:48" x14ac:dyDescent="0.25">
      <c r="AU2106" s="7"/>
      <c r="AV2106" s="7"/>
    </row>
    <row r="2107" spans="47:48" x14ac:dyDescent="0.25">
      <c r="AU2107" s="7"/>
      <c r="AV2107" s="7"/>
    </row>
    <row r="2108" spans="47:48" x14ac:dyDescent="0.25">
      <c r="AU2108" s="7"/>
      <c r="AV2108" s="7"/>
    </row>
    <row r="2109" spans="47:48" x14ac:dyDescent="0.25">
      <c r="AU2109" s="7"/>
      <c r="AV2109" s="7"/>
    </row>
    <row r="2110" spans="47:48" x14ac:dyDescent="0.25">
      <c r="AU2110" s="7"/>
      <c r="AV2110" s="7"/>
    </row>
    <row r="2111" spans="47:48" x14ac:dyDescent="0.25">
      <c r="AU2111" s="7"/>
      <c r="AV2111" s="7"/>
    </row>
    <row r="2112" spans="47:48" x14ac:dyDescent="0.25">
      <c r="AU2112" s="7"/>
      <c r="AV2112" s="7"/>
    </row>
    <row r="2113" spans="47:48" x14ac:dyDescent="0.25">
      <c r="AU2113" s="7"/>
      <c r="AV2113" s="7"/>
    </row>
    <row r="2114" spans="47:48" x14ac:dyDescent="0.25">
      <c r="AU2114" s="7"/>
      <c r="AV2114" s="7"/>
    </row>
    <row r="2115" spans="47:48" x14ac:dyDescent="0.25">
      <c r="AU2115" s="7"/>
      <c r="AV2115" s="7"/>
    </row>
    <row r="2116" spans="47:48" x14ac:dyDescent="0.25">
      <c r="AU2116" s="7"/>
      <c r="AV2116" s="7"/>
    </row>
    <row r="2117" spans="47:48" x14ac:dyDescent="0.25">
      <c r="AU2117" s="7"/>
      <c r="AV2117" s="7"/>
    </row>
    <row r="2118" spans="47:48" x14ac:dyDescent="0.25">
      <c r="AU2118" s="7"/>
      <c r="AV2118" s="7"/>
    </row>
    <row r="2119" spans="47:48" x14ac:dyDescent="0.25">
      <c r="AU2119" s="7"/>
      <c r="AV2119" s="7"/>
    </row>
    <row r="2120" spans="47:48" x14ac:dyDescent="0.25">
      <c r="AU2120" s="7"/>
      <c r="AV2120" s="7"/>
    </row>
    <row r="2121" spans="47:48" x14ac:dyDescent="0.25">
      <c r="AU2121" s="7"/>
      <c r="AV2121" s="7"/>
    </row>
    <row r="2122" spans="47:48" x14ac:dyDescent="0.25">
      <c r="AU2122" s="7"/>
      <c r="AV2122" s="7"/>
    </row>
    <row r="2123" spans="47:48" x14ac:dyDescent="0.25">
      <c r="AU2123" s="7"/>
      <c r="AV2123" s="7"/>
    </row>
    <row r="2124" spans="47:48" x14ac:dyDescent="0.25">
      <c r="AU2124" s="7"/>
      <c r="AV2124" s="7"/>
    </row>
    <row r="2125" spans="47:48" x14ac:dyDescent="0.25">
      <c r="AU2125" s="7"/>
      <c r="AV2125" s="7"/>
    </row>
    <row r="2126" spans="47:48" x14ac:dyDescent="0.25">
      <c r="AU2126" s="7"/>
      <c r="AV2126" s="7"/>
    </row>
    <row r="2127" spans="47:48" x14ac:dyDescent="0.25">
      <c r="AU2127" s="7"/>
      <c r="AV2127" s="7"/>
    </row>
    <row r="2128" spans="47:48" x14ac:dyDescent="0.25">
      <c r="AU2128" s="7"/>
      <c r="AV2128" s="7"/>
    </row>
    <row r="2129" spans="47:48" x14ac:dyDescent="0.25">
      <c r="AU2129" s="7"/>
      <c r="AV2129" s="7"/>
    </row>
    <row r="2130" spans="47:48" x14ac:dyDescent="0.25">
      <c r="AU2130" s="7"/>
      <c r="AV2130" s="7"/>
    </row>
    <row r="2131" spans="47:48" x14ac:dyDescent="0.25">
      <c r="AU2131" s="7"/>
      <c r="AV2131" s="7"/>
    </row>
    <row r="2132" spans="47:48" x14ac:dyDescent="0.25">
      <c r="AU2132" s="7"/>
      <c r="AV2132" s="7"/>
    </row>
    <row r="2133" spans="47:48" x14ac:dyDescent="0.25">
      <c r="AU2133" s="7"/>
      <c r="AV2133" s="7"/>
    </row>
    <row r="2134" spans="47:48" x14ac:dyDescent="0.25">
      <c r="AU2134" s="7"/>
      <c r="AV2134" s="7"/>
    </row>
    <row r="2135" spans="47:48" x14ac:dyDescent="0.25">
      <c r="AU2135" s="7"/>
      <c r="AV2135" s="7"/>
    </row>
    <row r="2136" spans="47:48" x14ac:dyDescent="0.25">
      <c r="AU2136" s="7"/>
      <c r="AV2136" s="7"/>
    </row>
    <row r="2137" spans="47:48" x14ac:dyDescent="0.25">
      <c r="AU2137" s="7"/>
      <c r="AV2137" s="7"/>
    </row>
    <row r="2138" spans="47:48" x14ac:dyDescent="0.25">
      <c r="AU2138" s="7"/>
      <c r="AV2138" s="7"/>
    </row>
    <row r="2139" spans="47:48" x14ac:dyDescent="0.25">
      <c r="AU2139" s="7"/>
      <c r="AV2139" s="7"/>
    </row>
    <row r="2140" spans="47:48" x14ac:dyDescent="0.25">
      <c r="AU2140" s="7"/>
      <c r="AV2140" s="7"/>
    </row>
    <row r="2141" spans="47:48" x14ac:dyDescent="0.25">
      <c r="AU2141" s="7"/>
      <c r="AV2141" s="7"/>
    </row>
    <row r="2142" spans="47:48" x14ac:dyDescent="0.25">
      <c r="AU2142" s="7"/>
      <c r="AV2142" s="7"/>
    </row>
    <row r="2143" spans="47:48" x14ac:dyDescent="0.25">
      <c r="AU2143" s="7"/>
      <c r="AV2143" s="7"/>
    </row>
    <row r="2144" spans="47:48" x14ac:dyDescent="0.25">
      <c r="AU2144" s="7"/>
      <c r="AV2144" s="7"/>
    </row>
    <row r="2145" spans="47:48" x14ac:dyDescent="0.25">
      <c r="AU2145" s="7"/>
      <c r="AV2145" s="7"/>
    </row>
    <row r="2146" spans="47:48" x14ac:dyDescent="0.25">
      <c r="AU2146" s="7"/>
      <c r="AV2146" s="7"/>
    </row>
    <row r="2147" spans="47:48" x14ac:dyDescent="0.25">
      <c r="AU2147" s="7"/>
      <c r="AV2147" s="7"/>
    </row>
    <row r="2148" spans="47:48" x14ac:dyDescent="0.25">
      <c r="AU2148" s="7"/>
      <c r="AV2148" s="7"/>
    </row>
    <row r="2149" spans="47:48" x14ac:dyDescent="0.25">
      <c r="AU2149" s="7"/>
      <c r="AV2149" s="7"/>
    </row>
    <row r="2150" spans="47:48" x14ac:dyDescent="0.25">
      <c r="AU2150" s="7"/>
      <c r="AV2150" s="7"/>
    </row>
    <row r="2151" spans="47:48" x14ac:dyDescent="0.25">
      <c r="AU2151" s="7"/>
      <c r="AV2151" s="7"/>
    </row>
    <row r="2152" spans="47:48" x14ac:dyDescent="0.25">
      <c r="AU2152" s="7"/>
      <c r="AV2152" s="7"/>
    </row>
    <row r="2153" spans="47:48" x14ac:dyDescent="0.25">
      <c r="AU2153" s="7"/>
      <c r="AV2153" s="7"/>
    </row>
    <row r="2154" spans="47:48" x14ac:dyDescent="0.25">
      <c r="AU2154" s="7"/>
      <c r="AV2154" s="7"/>
    </row>
    <row r="2155" spans="47:48" x14ac:dyDescent="0.25">
      <c r="AU2155" s="7"/>
      <c r="AV2155" s="7"/>
    </row>
    <row r="2156" spans="47:48" x14ac:dyDescent="0.25">
      <c r="AU2156" s="7"/>
      <c r="AV2156" s="7"/>
    </row>
    <row r="2157" spans="47:48" x14ac:dyDescent="0.25">
      <c r="AU2157" s="7"/>
      <c r="AV2157" s="7"/>
    </row>
    <row r="2158" spans="47:48" x14ac:dyDescent="0.25">
      <c r="AU2158" s="7"/>
      <c r="AV2158" s="7"/>
    </row>
    <row r="2159" spans="47:48" x14ac:dyDescent="0.25">
      <c r="AU2159" s="7"/>
      <c r="AV2159" s="7"/>
    </row>
    <row r="2160" spans="47:48" x14ac:dyDescent="0.25">
      <c r="AU2160" s="7"/>
      <c r="AV2160" s="7"/>
    </row>
    <row r="2161" spans="47:48" x14ac:dyDescent="0.25">
      <c r="AU2161" s="7"/>
      <c r="AV2161" s="7"/>
    </row>
    <row r="2162" spans="47:48" x14ac:dyDescent="0.25">
      <c r="AU2162" s="7"/>
      <c r="AV2162" s="7"/>
    </row>
    <row r="2163" spans="47:48" x14ac:dyDescent="0.25">
      <c r="AU2163" s="7"/>
      <c r="AV2163" s="7"/>
    </row>
    <row r="2164" spans="47:48" x14ac:dyDescent="0.25">
      <c r="AU2164" s="7"/>
      <c r="AV2164" s="7"/>
    </row>
    <row r="2165" spans="47:48" x14ac:dyDescent="0.25">
      <c r="AU2165" s="7"/>
      <c r="AV2165" s="7"/>
    </row>
    <row r="2166" spans="47:48" x14ac:dyDescent="0.25">
      <c r="AU2166" s="7"/>
      <c r="AV2166" s="7"/>
    </row>
    <row r="2167" spans="47:48" x14ac:dyDescent="0.25">
      <c r="AU2167" s="7"/>
      <c r="AV2167" s="7"/>
    </row>
    <row r="2168" spans="47:48" x14ac:dyDescent="0.25">
      <c r="AU2168" s="7"/>
      <c r="AV2168" s="7"/>
    </row>
    <row r="2169" spans="47:48" x14ac:dyDescent="0.25">
      <c r="AU2169" s="7"/>
      <c r="AV2169" s="7"/>
    </row>
    <row r="2170" spans="47:48" x14ac:dyDescent="0.25">
      <c r="AU2170" s="7"/>
      <c r="AV2170" s="7"/>
    </row>
    <row r="2171" spans="47:48" x14ac:dyDescent="0.25">
      <c r="AU2171" s="7"/>
      <c r="AV2171" s="7"/>
    </row>
    <row r="2172" spans="47:48" x14ac:dyDescent="0.25">
      <c r="AU2172" s="7"/>
      <c r="AV2172" s="7"/>
    </row>
    <row r="2173" spans="47:48" x14ac:dyDescent="0.25">
      <c r="AU2173" s="7"/>
      <c r="AV2173" s="7"/>
    </row>
    <row r="2174" spans="47:48" x14ac:dyDescent="0.25">
      <c r="AU2174" s="7"/>
      <c r="AV2174" s="7"/>
    </row>
    <row r="2175" spans="47:48" x14ac:dyDescent="0.25">
      <c r="AU2175" s="7"/>
      <c r="AV2175" s="7"/>
    </row>
    <row r="2176" spans="47:48" x14ac:dyDescent="0.25">
      <c r="AU2176" s="7"/>
      <c r="AV2176" s="7"/>
    </row>
    <row r="2177" spans="47:48" x14ac:dyDescent="0.25">
      <c r="AU2177" s="7"/>
      <c r="AV2177" s="7"/>
    </row>
    <row r="2178" spans="47:48" x14ac:dyDescent="0.25">
      <c r="AU2178" s="7"/>
      <c r="AV2178" s="7"/>
    </row>
    <row r="2179" spans="47:48" x14ac:dyDescent="0.25">
      <c r="AU2179" s="7"/>
      <c r="AV2179" s="7"/>
    </row>
    <row r="2180" spans="47:48" x14ac:dyDescent="0.25">
      <c r="AU2180" s="7"/>
      <c r="AV2180" s="7"/>
    </row>
    <row r="2181" spans="47:48" x14ac:dyDescent="0.25">
      <c r="AU2181" s="7"/>
      <c r="AV2181" s="7"/>
    </row>
    <row r="2182" spans="47:48" x14ac:dyDescent="0.25">
      <c r="AU2182" s="7"/>
      <c r="AV2182" s="7"/>
    </row>
    <row r="2183" spans="47:48" x14ac:dyDescent="0.25">
      <c r="AU2183" s="7"/>
      <c r="AV2183" s="7"/>
    </row>
    <row r="2184" spans="47:48" x14ac:dyDescent="0.25">
      <c r="AU2184" s="7"/>
      <c r="AV2184" s="7"/>
    </row>
    <row r="2185" spans="47:48" x14ac:dyDescent="0.25">
      <c r="AU2185" s="7"/>
      <c r="AV2185" s="7"/>
    </row>
    <row r="2186" spans="47:48" x14ac:dyDescent="0.25">
      <c r="AU2186" s="7"/>
      <c r="AV2186" s="7"/>
    </row>
    <row r="2187" spans="47:48" x14ac:dyDescent="0.25">
      <c r="AU2187" s="7"/>
      <c r="AV2187" s="7"/>
    </row>
    <row r="2188" spans="47:48" x14ac:dyDescent="0.25">
      <c r="AU2188" s="7"/>
      <c r="AV2188" s="7"/>
    </row>
    <row r="2189" spans="47:48" x14ac:dyDescent="0.25">
      <c r="AU2189" s="7"/>
      <c r="AV2189" s="7"/>
    </row>
    <row r="2190" spans="47:48" x14ac:dyDescent="0.25">
      <c r="AU2190" s="7"/>
      <c r="AV2190" s="7"/>
    </row>
    <row r="2191" spans="47:48" x14ac:dyDescent="0.25">
      <c r="AU2191" s="7"/>
      <c r="AV2191" s="7"/>
    </row>
    <row r="2192" spans="47:48" x14ac:dyDescent="0.25">
      <c r="AU2192" s="7"/>
      <c r="AV2192" s="7"/>
    </row>
    <row r="2193" spans="47:48" x14ac:dyDescent="0.25">
      <c r="AU2193" s="7"/>
      <c r="AV2193" s="7"/>
    </row>
    <row r="2194" spans="47:48" x14ac:dyDescent="0.25">
      <c r="AU2194" s="7"/>
      <c r="AV2194" s="7"/>
    </row>
    <row r="2195" spans="47:48" x14ac:dyDescent="0.25">
      <c r="AU2195" s="7"/>
      <c r="AV2195" s="7"/>
    </row>
    <row r="2196" spans="47:48" x14ac:dyDescent="0.25">
      <c r="AU2196" s="7"/>
      <c r="AV2196" s="7"/>
    </row>
    <row r="2197" spans="47:48" x14ac:dyDescent="0.25">
      <c r="AU2197" s="7"/>
      <c r="AV2197" s="7"/>
    </row>
    <row r="2198" spans="47:48" x14ac:dyDescent="0.25">
      <c r="AU2198" s="7"/>
      <c r="AV2198" s="7"/>
    </row>
    <row r="2199" spans="47:48" x14ac:dyDescent="0.25">
      <c r="AU2199" s="7"/>
      <c r="AV2199" s="7"/>
    </row>
    <row r="2200" spans="47:48" x14ac:dyDescent="0.25">
      <c r="AU2200" s="7"/>
      <c r="AV2200" s="7"/>
    </row>
    <row r="2201" spans="47:48" x14ac:dyDescent="0.25">
      <c r="AU2201" s="7"/>
      <c r="AV2201" s="7"/>
    </row>
    <row r="2202" spans="47:48" x14ac:dyDescent="0.25">
      <c r="AU2202" s="7"/>
      <c r="AV2202" s="7"/>
    </row>
    <row r="2203" spans="47:48" x14ac:dyDescent="0.25">
      <c r="AU2203" s="7"/>
      <c r="AV2203" s="7"/>
    </row>
    <row r="2204" spans="47:48" x14ac:dyDescent="0.25">
      <c r="AU2204" s="7"/>
      <c r="AV2204" s="7"/>
    </row>
    <row r="2205" spans="47:48" x14ac:dyDescent="0.25">
      <c r="AU2205" s="7"/>
      <c r="AV2205" s="7"/>
    </row>
    <row r="2206" spans="47:48" x14ac:dyDescent="0.25">
      <c r="AU2206" s="7"/>
      <c r="AV2206" s="7"/>
    </row>
    <row r="2207" spans="47:48" x14ac:dyDescent="0.25">
      <c r="AU2207" s="7"/>
      <c r="AV2207" s="7"/>
    </row>
    <row r="2208" spans="47:48" x14ac:dyDescent="0.25">
      <c r="AU2208" s="7"/>
      <c r="AV2208" s="7"/>
    </row>
    <row r="2209" spans="47:48" x14ac:dyDescent="0.25">
      <c r="AU2209" s="7"/>
      <c r="AV2209" s="7"/>
    </row>
    <row r="2210" spans="47:48" x14ac:dyDescent="0.25">
      <c r="AU2210" s="7"/>
      <c r="AV2210" s="7"/>
    </row>
    <row r="2211" spans="47:48" x14ac:dyDescent="0.25">
      <c r="AU2211" s="7"/>
      <c r="AV2211" s="7"/>
    </row>
    <row r="2212" spans="47:48" x14ac:dyDescent="0.25">
      <c r="AU2212" s="7"/>
      <c r="AV2212" s="7"/>
    </row>
    <row r="2213" spans="47:48" x14ac:dyDescent="0.25">
      <c r="AU2213" s="7"/>
      <c r="AV2213" s="7"/>
    </row>
    <row r="2214" spans="47:48" x14ac:dyDescent="0.25">
      <c r="AU2214" s="7"/>
      <c r="AV2214" s="7"/>
    </row>
    <row r="2215" spans="47:48" x14ac:dyDescent="0.25">
      <c r="AU2215" s="7"/>
      <c r="AV2215" s="7"/>
    </row>
    <row r="2216" spans="47:48" x14ac:dyDescent="0.25">
      <c r="AU2216" s="7"/>
      <c r="AV2216" s="7"/>
    </row>
    <row r="2217" spans="47:48" x14ac:dyDescent="0.25">
      <c r="AU2217" s="7"/>
      <c r="AV2217" s="7"/>
    </row>
    <row r="2218" spans="47:48" x14ac:dyDescent="0.25">
      <c r="AU2218" s="7"/>
      <c r="AV2218" s="7"/>
    </row>
    <row r="2219" spans="47:48" x14ac:dyDescent="0.25">
      <c r="AU2219" s="7"/>
      <c r="AV2219" s="7"/>
    </row>
    <row r="2220" spans="47:48" x14ac:dyDescent="0.25">
      <c r="AU2220" s="7"/>
      <c r="AV2220" s="7"/>
    </row>
    <row r="2221" spans="47:48" x14ac:dyDescent="0.25">
      <c r="AU2221" s="7"/>
      <c r="AV2221" s="7"/>
    </row>
    <row r="2222" spans="47:48" x14ac:dyDescent="0.25">
      <c r="AU2222" s="7"/>
      <c r="AV2222" s="7"/>
    </row>
    <row r="2223" spans="47:48" x14ac:dyDescent="0.25">
      <c r="AU2223" s="7"/>
      <c r="AV2223" s="7"/>
    </row>
    <row r="2224" spans="47:48" x14ac:dyDescent="0.25">
      <c r="AU2224" s="7"/>
      <c r="AV2224" s="7"/>
    </row>
    <row r="2225" spans="47:48" x14ac:dyDescent="0.25">
      <c r="AU2225" s="7"/>
      <c r="AV2225" s="7"/>
    </row>
    <row r="2226" spans="47:48" x14ac:dyDescent="0.25">
      <c r="AU2226" s="7"/>
      <c r="AV2226" s="7"/>
    </row>
    <row r="2227" spans="47:48" x14ac:dyDescent="0.25">
      <c r="AU2227" s="7"/>
      <c r="AV2227" s="7"/>
    </row>
    <row r="2228" spans="47:48" x14ac:dyDescent="0.25">
      <c r="AU2228" s="7"/>
      <c r="AV2228" s="7"/>
    </row>
    <row r="2229" spans="47:48" x14ac:dyDescent="0.25">
      <c r="AU2229" s="7"/>
      <c r="AV2229" s="7"/>
    </row>
    <row r="2230" spans="47:48" x14ac:dyDescent="0.25">
      <c r="AU2230" s="7"/>
      <c r="AV2230" s="7"/>
    </row>
    <row r="2231" spans="47:48" x14ac:dyDescent="0.25">
      <c r="AU2231" s="7"/>
      <c r="AV2231" s="7"/>
    </row>
    <row r="2232" spans="47:48" x14ac:dyDescent="0.25">
      <c r="AU2232" s="7"/>
      <c r="AV2232" s="7"/>
    </row>
    <row r="2233" spans="47:48" x14ac:dyDescent="0.25">
      <c r="AU2233" s="7"/>
      <c r="AV2233" s="7"/>
    </row>
    <row r="2234" spans="47:48" x14ac:dyDescent="0.25">
      <c r="AU2234" s="7"/>
      <c r="AV2234" s="7"/>
    </row>
    <row r="2235" spans="47:48" x14ac:dyDescent="0.25">
      <c r="AU2235" s="7"/>
      <c r="AV2235" s="7"/>
    </row>
    <row r="2236" spans="47:48" x14ac:dyDescent="0.25">
      <c r="AU2236" s="7"/>
      <c r="AV2236" s="7"/>
    </row>
    <row r="2237" spans="47:48" x14ac:dyDescent="0.25">
      <c r="AU2237" s="7"/>
      <c r="AV2237" s="7"/>
    </row>
    <row r="2238" spans="47:48" x14ac:dyDescent="0.25">
      <c r="AU2238" s="7"/>
      <c r="AV2238" s="7"/>
    </row>
    <row r="2239" spans="47:48" x14ac:dyDescent="0.25">
      <c r="AU2239" s="7"/>
      <c r="AV2239" s="7"/>
    </row>
    <row r="2240" spans="47:48" x14ac:dyDescent="0.25">
      <c r="AU2240" s="7"/>
      <c r="AV2240" s="7"/>
    </row>
    <row r="2241" spans="47:48" x14ac:dyDescent="0.25">
      <c r="AU2241" s="7"/>
      <c r="AV2241" s="7"/>
    </row>
    <row r="2242" spans="47:48" x14ac:dyDescent="0.25">
      <c r="AU2242" s="7"/>
      <c r="AV2242" s="7"/>
    </row>
    <row r="2243" spans="47:48" x14ac:dyDescent="0.25">
      <c r="AU2243" s="7"/>
      <c r="AV2243" s="7"/>
    </row>
    <row r="2244" spans="47:48" x14ac:dyDescent="0.25">
      <c r="AU2244" s="7"/>
      <c r="AV2244" s="7"/>
    </row>
    <row r="2245" spans="47:48" x14ac:dyDescent="0.25">
      <c r="AU2245" s="7"/>
      <c r="AV2245" s="7"/>
    </row>
    <row r="2246" spans="47:48" x14ac:dyDescent="0.25">
      <c r="AU2246" s="7"/>
      <c r="AV2246" s="7"/>
    </row>
    <row r="2247" spans="47:48" x14ac:dyDescent="0.25">
      <c r="AU2247" s="7"/>
      <c r="AV2247" s="7"/>
    </row>
    <row r="2248" spans="47:48" x14ac:dyDescent="0.25">
      <c r="AU2248" s="7"/>
      <c r="AV2248" s="7"/>
    </row>
    <row r="2249" spans="47:48" x14ac:dyDescent="0.25">
      <c r="AU2249" s="7"/>
      <c r="AV2249" s="7"/>
    </row>
    <row r="2250" spans="47:48" x14ac:dyDescent="0.25">
      <c r="AU2250" s="7"/>
      <c r="AV2250" s="7"/>
    </row>
    <row r="2251" spans="47:48" x14ac:dyDescent="0.25">
      <c r="AU2251" s="7"/>
      <c r="AV2251" s="7"/>
    </row>
    <row r="2252" spans="47:48" x14ac:dyDescent="0.25">
      <c r="AU2252" s="7"/>
      <c r="AV2252" s="7"/>
    </row>
    <row r="2253" spans="47:48" x14ac:dyDescent="0.25">
      <c r="AU2253" s="7"/>
      <c r="AV2253" s="7"/>
    </row>
    <row r="2254" spans="47:48" x14ac:dyDescent="0.25">
      <c r="AU2254" s="7"/>
      <c r="AV2254" s="7"/>
    </row>
    <row r="2255" spans="47:48" x14ac:dyDescent="0.25">
      <c r="AU2255" s="7"/>
      <c r="AV2255" s="7"/>
    </row>
    <row r="2256" spans="47:48" x14ac:dyDescent="0.25">
      <c r="AU2256" s="7"/>
      <c r="AV2256" s="7"/>
    </row>
    <row r="2257" spans="47:48" x14ac:dyDescent="0.25">
      <c r="AU2257" s="7"/>
      <c r="AV2257" s="7"/>
    </row>
    <row r="2258" spans="47:48" x14ac:dyDescent="0.25">
      <c r="AU2258" s="7"/>
      <c r="AV2258" s="7"/>
    </row>
    <row r="2259" spans="47:48" x14ac:dyDescent="0.25">
      <c r="AU2259" s="7"/>
      <c r="AV2259" s="7"/>
    </row>
    <row r="2260" spans="47:48" x14ac:dyDescent="0.25">
      <c r="AU2260" s="7"/>
      <c r="AV2260" s="7"/>
    </row>
    <row r="2261" spans="47:48" x14ac:dyDescent="0.25">
      <c r="AU2261" s="7"/>
      <c r="AV2261" s="7"/>
    </row>
    <row r="2262" spans="47:48" x14ac:dyDescent="0.25">
      <c r="AU2262" s="7"/>
      <c r="AV2262" s="7"/>
    </row>
    <row r="2263" spans="47:48" x14ac:dyDescent="0.25">
      <c r="AU2263" s="7"/>
      <c r="AV2263" s="7"/>
    </row>
    <row r="2264" spans="47:48" x14ac:dyDescent="0.25">
      <c r="AU2264" s="7"/>
      <c r="AV2264" s="7"/>
    </row>
    <row r="2265" spans="47:48" x14ac:dyDescent="0.25">
      <c r="AU2265" s="7"/>
      <c r="AV2265" s="7"/>
    </row>
    <row r="2266" spans="47:48" x14ac:dyDescent="0.25">
      <c r="AU2266" s="7"/>
      <c r="AV2266" s="7"/>
    </row>
    <row r="2267" spans="47:48" x14ac:dyDescent="0.25">
      <c r="AU2267" s="7"/>
      <c r="AV2267" s="7"/>
    </row>
    <row r="2268" spans="47:48" x14ac:dyDescent="0.25">
      <c r="AU2268" s="7"/>
      <c r="AV2268" s="7"/>
    </row>
    <row r="2269" spans="47:48" x14ac:dyDescent="0.25">
      <c r="AU2269" s="7"/>
      <c r="AV2269" s="7"/>
    </row>
    <row r="2270" spans="47:48" x14ac:dyDescent="0.25">
      <c r="AU2270" s="7"/>
      <c r="AV2270" s="7"/>
    </row>
    <row r="2271" spans="47:48" x14ac:dyDescent="0.25">
      <c r="AU2271" s="7"/>
      <c r="AV2271" s="7"/>
    </row>
    <row r="2272" spans="47:48" x14ac:dyDescent="0.25">
      <c r="AU2272" s="7"/>
      <c r="AV2272" s="7"/>
    </row>
    <row r="2273" spans="47:48" x14ac:dyDescent="0.25">
      <c r="AU2273" s="7"/>
      <c r="AV2273" s="7"/>
    </row>
    <row r="2274" spans="47:48" x14ac:dyDescent="0.25">
      <c r="AU2274" s="7"/>
      <c r="AV2274" s="7"/>
    </row>
    <row r="2275" spans="47:48" x14ac:dyDescent="0.25">
      <c r="AU2275" s="7"/>
      <c r="AV2275" s="7"/>
    </row>
    <row r="2276" spans="47:48" x14ac:dyDescent="0.25">
      <c r="AU2276" s="7"/>
      <c r="AV2276" s="7"/>
    </row>
    <row r="2277" spans="47:48" x14ac:dyDescent="0.25">
      <c r="AU2277" s="7"/>
      <c r="AV2277" s="7"/>
    </row>
    <row r="2278" spans="47:48" x14ac:dyDescent="0.25">
      <c r="AU2278" s="7"/>
      <c r="AV2278" s="7"/>
    </row>
    <row r="2279" spans="47:48" x14ac:dyDescent="0.25">
      <c r="AU2279" s="7"/>
      <c r="AV2279" s="7"/>
    </row>
    <row r="2280" spans="47:48" x14ac:dyDescent="0.25">
      <c r="AU2280" s="7"/>
      <c r="AV2280" s="7"/>
    </row>
    <row r="2281" spans="47:48" x14ac:dyDescent="0.25">
      <c r="AU2281" s="7"/>
      <c r="AV2281" s="7"/>
    </row>
    <row r="2282" spans="47:48" x14ac:dyDescent="0.25">
      <c r="AU2282" s="7"/>
      <c r="AV2282" s="7"/>
    </row>
    <row r="2283" spans="47:48" x14ac:dyDescent="0.25">
      <c r="AU2283" s="7"/>
      <c r="AV2283" s="7"/>
    </row>
    <row r="2284" spans="47:48" x14ac:dyDescent="0.25">
      <c r="AU2284" s="7"/>
      <c r="AV2284" s="7"/>
    </row>
    <row r="2285" spans="47:48" x14ac:dyDescent="0.25">
      <c r="AU2285" s="7"/>
      <c r="AV2285" s="7"/>
    </row>
    <row r="2286" spans="47:48" x14ac:dyDescent="0.25">
      <c r="AU2286" s="7"/>
      <c r="AV2286" s="7"/>
    </row>
    <row r="2287" spans="47:48" x14ac:dyDescent="0.25">
      <c r="AU2287" s="7"/>
      <c r="AV2287" s="7"/>
    </row>
    <row r="2288" spans="47:48" x14ac:dyDescent="0.25">
      <c r="AU2288" s="7"/>
      <c r="AV2288" s="7"/>
    </row>
    <row r="2289" spans="47:48" x14ac:dyDescent="0.25">
      <c r="AU2289" s="7"/>
      <c r="AV2289" s="7"/>
    </row>
    <row r="2290" spans="47:48" x14ac:dyDescent="0.25">
      <c r="AU2290" s="7"/>
      <c r="AV2290" s="7"/>
    </row>
    <row r="2291" spans="47:48" x14ac:dyDescent="0.25">
      <c r="AU2291" s="7"/>
      <c r="AV2291" s="7"/>
    </row>
    <row r="2292" spans="47:48" x14ac:dyDescent="0.25">
      <c r="AU2292" s="7"/>
      <c r="AV2292" s="7"/>
    </row>
    <row r="2293" spans="47:48" x14ac:dyDescent="0.25">
      <c r="AU2293" s="7"/>
      <c r="AV2293" s="7"/>
    </row>
    <row r="2294" spans="47:48" x14ac:dyDescent="0.25">
      <c r="AU2294" s="7"/>
      <c r="AV2294" s="7"/>
    </row>
    <row r="2295" spans="47:48" x14ac:dyDescent="0.25">
      <c r="AU2295" s="7"/>
      <c r="AV2295" s="7"/>
    </row>
    <row r="2296" spans="47:48" x14ac:dyDescent="0.25">
      <c r="AU2296" s="7"/>
      <c r="AV2296" s="7"/>
    </row>
    <row r="2297" spans="47:48" x14ac:dyDescent="0.25">
      <c r="AU2297" s="7"/>
      <c r="AV2297" s="7"/>
    </row>
    <row r="2298" spans="47:48" x14ac:dyDescent="0.25">
      <c r="AU2298" s="7"/>
      <c r="AV2298" s="7"/>
    </row>
    <row r="2299" spans="47:48" x14ac:dyDescent="0.25">
      <c r="AU2299" s="7"/>
      <c r="AV2299" s="7"/>
    </row>
    <row r="2300" spans="47:48" x14ac:dyDescent="0.25">
      <c r="AU2300" s="7"/>
      <c r="AV2300" s="7"/>
    </row>
    <row r="2301" spans="47:48" x14ac:dyDescent="0.25">
      <c r="AU2301" s="7"/>
      <c r="AV2301" s="7"/>
    </row>
    <row r="2302" spans="47:48" x14ac:dyDescent="0.25">
      <c r="AU2302" s="7"/>
      <c r="AV2302" s="7"/>
    </row>
    <row r="2303" spans="47:48" x14ac:dyDescent="0.25">
      <c r="AU2303" s="7"/>
      <c r="AV2303" s="7"/>
    </row>
    <row r="2304" spans="47:48" x14ac:dyDescent="0.25">
      <c r="AU2304" s="7"/>
      <c r="AV2304" s="7"/>
    </row>
    <row r="2305" spans="47:48" x14ac:dyDescent="0.25">
      <c r="AU2305" s="7"/>
      <c r="AV2305" s="7"/>
    </row>
    <row r="2306" spans="47:48" x14ac:dyDescent="0.25">
      <c r="AU2306" s="7"/>
      <c r="AV2306" s="7"/>
    </row>
    <row r="2307" spans="47:48" x14ac:dyDescent="0.25">
      <c r="AU2307" s="7"/>
      <c r="AV2307" s="7"/>
    </row>
    <row r="2308" spans="47:48" x14ac:dyDescent="0.25">
      <c r="AU2308" s="7"/>
      <c r="AV2308" s="7"/>
    </row>
    <row r="2309" spans="47:48" x14ac:dyDescent="0.25">
      <c r="AU2309" s="7"/>
      <c r="AV2309" s="7"/>
    </row>
    <row r="2310" spans="47:48" x14ac:dyDescent="0.25">
      <c r="AU2310" s="7"/>
      <c r="AV2310" s="7"/>
    </row>
    <row r="2311" spans="47:48" x14ac:dyDescent="0.25">
      <c r="AU2311" s="7"/>
      <c r="AV2311" s="7"/>
    </row>
    <row r="2312" spans="47:48" x14ac:dyDescent="0.25">
      <c r="AU2312" s="7"/>
      <c r="AV2312" s="7"/>
    </row>
    <row r="2313" spans="47:48" x14ac:dyDescent="0.25">
      <c r="AU2313" s="7"/>
      <c r="AV2313" s="7"/>
    </row>
    <row r="2314" spans="47:48" x14ac:dyDescent="0.25">
      <c r="AU2314" s="7"/>
      <c r="AV2314" s="7"/>
    </row>
    <row r="2315" spans="47:48" x14ac:dyDescent="0.25">
      <c r="AU2315" s="7"/>
      <c r="AV2315" s="7"/>
    </row>
    <row r="2316" spans="47:48" x14ac:dyDescent="0.25">
      <c r="AU2316" s="7"/>
      <c r="AV2316" s="7"/>
    </row>
    <row r="2317" spans="47:48" x14ac:dyDescent="0.25">
      <c r="AU2317" s="7"/>
      <c r="AV2317" s="7"/>
    </row>
    <row r="2318" spans="47:48" x14ac:dyDescent="0.25">
      <c r="AU2318" s="7"/>
      <c r="AV2318" s="7"/>
    </row>
    <row r="2319" spans="47:48" x14ac:dyDescent="0.25">
      <c r="AU2319" s="7"/>
      <c r="AV2319" s="7"/>
    </row>
    <row r="2320" spans="47:48" x14ac:dyDescent="0.25">
      <c r="AU2320" s="7"/>
      <c r="AV2320" s="7"/>
    </row>
    <row r="2321" spans="47:48" x14ac:dyDescent="0.25">
      <c r="AU2321" s="7"/>
      <c r="AV2321" s="7"/>
    </row>
    <row r="2322" spans="47:48" x14ac:dyDescent="0.25">
      <c r="AU2322" s="7"/>
      <c r="AV2322" s="7"/>
    </row>
    <row r="2323" spans="47:48" x14ac:dyDescent="0.25">
      <c r="AU2323" s="7"/>
      <c r="AV2323" s="7"/>
    </row>
    <row r="2324" spans="47:48" x14ac:dyDescent="0.25">
      <c r="AU2324" s="7"/>
      <c r="AV2324" s="7"/>
    </row>
    <row r="2325" spans="47:48" x14ac:dyDescent="0.25">
      <c r="AU2325" s="7"/>
      <c r="AV2325" s="7"/>
    </row>
    <row r="2326" spans="47:48" x14ac:dyDescent="0.25">
      <c r="AU2326" s="7"/>
      <c r="AV2326" s="7"/>
    </row>
    <row r="2327" spans="47:48" x14ac:dyDescent="0.25">
      <c r="AU2327" s="7"/>
      <c r="AV2327" s="7"/>
    </row>
    <row r="2328" spans="47:48" x14ac:dyDescent="0.25">
      <c r="AU2328" s="7"/>
      <c r="AV2328" s="7"/>
    </row>
    <row r="2329" spans="47:48" x14ac:dyDescent="0.25">
      <c r="AU2329" s="7"/>
      <c r="AV2329" s="7"/>
    </row>
    <row r="2330" spans="47:48" x14ac:dyDescent="0.25">
      <c r="AU2330" s="7"/>
      <c r="AV2330" s="7"/>
    </row>
    <row r="2331" spans="47:48" x14ac:dyDescent="0.25">
      <c r="AU2331" s="7"/>
      <c r="AV2331" s="7"/>
    </row>
    <row r="2332" spans="47:48" x14ac:dyDescent="0.25">
      <c r="AU2332" s="7"/>
      <c r="AV2332" s="7"/>
    </row>
    <row r="2333" spans="47:48" x14ac:dyDescent="0.25">
      <c r="AU2333" s="7"/>
      <c r="AV2333" s="7"/>
    </row>
    <row r="2334" spans="47:48" x14ac:dyDescent="0.25">
      <c r="AU2334" s="7"/>
      <c r="AV2334" s="7"/>
    </row>
    <row r="2335" spans="47:48" x14ac:dyDescent="0.25">
      <c r="AU2335" s="7"/>
      <c r="AV2335" s="7"/>
    </row>
    <row r="2336" spans="47:48" x14ac:dyDescent="0.25">
      <c r="AU2336" s="7"/>
      <c r="AV2336" s="7"/>
    </row>
    <row r="2337" spans="47:48" x14ac:dyDescent="0.25">
      <c r="AU2337" s="7"/>
      <c r="AV2337" s="7"/>
    </row>
    <row r="2338" spans="47:48" x14ac:dyDescent="0.25">
      <c r="AU2338" s="7"/>
      <c r="AV2338" s="7"/>
    </row>
    <row r="2339" spans="47:48" x14ac:dyDescent="0.25">
      <c r="AU2339" s="7"/>
      <c r="AV2339" s="7"/>
    </row>
    <row r="2340" spans="47:48" x14ac:dyDescent="0.25">
      <c r="AU2340" s="7"/>
      <c r="AV2340" s="7"/>
    </row>
    <row r="2341" spans="47:48" x14ac:dyDescent="0.25">
      <c r="AU2341" s="7"/>
      <c r="AV2341" s="7"/>
    </row>
    <row r="2342" spans="47:48" x14ac:dyDescent="0.25">
      <c r="AU2342" s="7"/>
      <c r="AV2342" s="7"/>
    </row>
    <row r="2343" spans="47:48" x14ac:dyDescent="0.25">
      <c r="AU2343" s="7"/>
      <c r="AV2343" s="7"/>
    </row>
    <row r="2344" spans="47:48" x14ac:dyDescent="0.25">
      <c r="AU2344" s="7"/>
      <c r="AV2344" s="7"/>
    </row>
    <row r="2345" spans="47:48" x14ac:dyDescent="0.25">
      <c r="AU2345" s="7"/>
      <c r="AV2345" s="7"/>
    </row>
    <row r="2346" spans="47:48" x14ac:dyDescent="0.25">
      <c r="AU2346" s="7"/>
      <c r="AV2346" s="7"/>
    </row>
    <row r="2347" spans="47:48" x14ac:dyDescent="0.25">
      <c r="AU2347" s="7"/>
      <c r="AV2347" s="7"/>
    </row>
    <row r="2348" spans="47:48" x14ac:dyDescent="0.25">
      <c r="AU2348" s="7"/>
      <c r="AV2348" s="7"/>
    </row>
    <row r="2349" spans="47:48" x14ac:dyDescent="0.25">
      <c r="AU2349" s="7"/>
      <c r="AV2349" s="7"/>
    </row>
    <row r="2350" spans="47:48" x14ac:dyDescent="0.25">
      <c r="AU2350" s="7"/>
      <c r="AV2350" s="7"/>
    </row>
    <row r="2351" spans="47:48" x14ac:dyDescent="0.25">
      <c r="AU2351" s="7"/>
      <c r="AV2351" s="7"/>
    </row>
    <row r="2352" spans="47:48" x14ac:dyDescent="0.25">
      <c r="AU2352" s="7"/>
      <c r="AV2352" s="7"/>
    </row>
    <row r="2353" spans="47:48" x14ac:dyDescent="0.25">
      <c r="AU2353" s="7"/>
      <c r="AV2353" s="7"/>
    </row>
    <row r="2354" spans="47:48" x14ac:dyDescent="0.25">
      <c r="AU2354" s="7"/>
      <c r="AV2354" s="7"/>
    </row>
    <row r="2355" spans="47:48" x14ac:dyDescent="0.25">
      <c r="AU2355" s="7"/>
      <c r="AV2355" s="7"/>
    </row>
    <row r="2356" spans="47:48" x14ac:dyDescent="0.25">
      <c r="AU2356" s="7"/>
      <c r="AV2356" s="7"/>
    </row>
    <row r="2357" spans="47:48" x14ac:dyDescent="0.25">
      <c r="AU2357" s="7"/>
      <c r="AV2357" s="7"/>
    </row>
    <row r="2358" spans="47:48" x14ac:dyDescent="0.25">
      <c r="AU2358" s="7"/>
      <c r="AV2358" s="7"/>
    </row>
    <row r="2359" spans="47:48" x14ac:dyDescent="0.25">
      <c r="AU2359" s="7"/>
      <c r="AV2359" s="7"/>
    </row>
    <row r="2360" spans="47:48" x14ac:dyDescent="0.25">
      <c r="AU2360" s="7"/>
      <c r="AV2360" s="7"/>
    </row>
    <row r="2361" spans="47:48" x14ac:dyDescent="0.25">
      <c r="AU2361" s="7"/>
      <c r="AV2361" s="7"/>
    </row>
    <row r="2362" spans="47:48" x14ac:dyDescent="0.25">
      <c r="AU2362" s="7"/>
      <c r="AV2362" s="7"/>
    </row>
    <row r="2363" spans="47:48" x14ac:dyDescent="0.25">
      <c r="AU2363" s="7"/>
      <c r="AV2363" s="7"/>
    </row>
    <row r="2364" spans="47:48" x14ac:dyDescent="0.25">
      <c r="AU2364" s="7"/>
      <c r="AV2364" s="7"/>
    </row>
    <row r="2365" spans="47:48" x14ac:dyDescent="0.25">
      <c r="AU2365" s="7"/>
      <c r="AV2365" s="7"/>
    </row>
    <row r="2366" spans="47:48" x14ac:dyDescent="0.25">
      <c r="AU2366" s="7"/>
      <c r="AV2366" s="7"/>
    </row>
    <row r="2367" spans="47:48" x14ac:dyDescent="0.25">
      <c r="AU2367" s="7"/>
      <c r="AV2367" s="7"/>
    </row>
    <row r="2368" spans="47:48" x14ac:dyDescent="0.25">
      <c r="AU2368" s="7"/>
      <c r="AV2368" s="7"/>
    </row>
    <row r="2369" spans="47:48" x14ac:dyDescent="0.25">
      <c r="AU2369" s="7"/>
      <c r="AV2369" s="7"/>
    </row>
    <row r="2370" spans="47:48" x14ac:dyDescent="0.25">
      <c r="AU2370" s="7"/>
      <c r="AV2370" s="7"/>
    </row>
    <row r="2371" spans="47:48" x14ac:dyDescent="0.25">
      <c r="AU2371" s="7"/>
      <c r="AV2371" s="7"/>
    </row>
    <row r="2372" spans="47:48" x14ac:dyDescent="0.25">
      <c r="AU2372" s="7"/>
      <c r="AV2372" s="7"/>
    </row>
    <row r="2373" spans="47:48" x14ac:dyDescent="0.25">
      <c r="AU2373" s="7"/>
      <c r="AV2373" s="7"/>
    </row>
    <row r="2374" spans="47:48" x14ac:dyDescent="0.25">
      <c r="AU2374" s="7"/>
      <c r="AV2374" s="7"/>
    </row>
    <row r="2375" spans="47:48" x14ac:dyDescent="0.25">
      <c r="AU2375" s="7"/>
      <c r="AV2375" s="7"/>
    </row>
    <row r="2376" spans="47:48" x14ac:dyDescent="0.25">
      <c r="AU2376" s="7"/>
      <c r="AV2376" s="7"/>
    </row>
    <row r="2377" spans="47:48" x14ac:dyDescent="0.25">
      <c r="AU2377" s="7"/>
      <c r="AV2377" s="7"/>
    </row>
    <row r="2378" spans="47:48" x14ac:dyDescent="0.25">
      <c r="AU2378" s="7"/>
      <c r="AV2378" s="7"/>
    </row>
    <row r="2379" spans="47:48" x14ac:dyDescent="0.25">
      <c r="AU2379" s="7"/>
      <c r="AV2379" s="7"/>
    </row>
    <row r="2380" spans="47:48" x14ac:dyDescent="0.25">
      <c r="AU2380" s="7"/>
      <c r="AV2380" s="7"/>
    </row>
    <row r="2381" spans="47:48" x14ac:dyDescent="0.25">
      <c r="AU2381" s="7"/>
      <c r="AV2381" s="7"/>
    </row>
    <row r="2382" spans="47:48" x14ac:dyDescent="0.25">
      <c r="AU2382" s="7"/>
      <c r="AV2382" s="7"/>
    </row>
    <row r="2383" spans="47:48" x14ac:dyDescent="0.25">
      <c r="AU2383" s="7"/>
      <c r="AV2383" s="7"/>
    </row>
    <row r="2384" spans="47:48" x14ac:dyDescent="0.25">
      <c r="AU2384" s="7"/>
      <c r="AV2384" s="7"/>
    </row>
    <row r="2385" spans="47:48" x14ac:dyDescent="0.25">
      <c r="AU2385" s="7"/>
      <c r="AV2385" s="7"/>
    </row>
    <row r="2386" spans="47:48" x14ac:dyDescent="0.25">
      <c r="AU2386" s="7"/>
      <c r="AV2386" s="7"/>
    </row>
    <row r="2387" spans="47:48" x14ac:dyDescent="0.25">
      <c r="AU2387" s="7"/>
      <c r="AV2387" s="7"/>
    </row>
    <row r="2388" spans="47:48" x14ac:dyDescent="0.25">
      <c r="AU2388" s="7"/>
      <c r="AV2388" s="7"/>
    </row>
    <row r="2389" spans="47:48" x14ac:dyDescent="0.25">
      <c r="AU2389" s="7"/>
      <c r="AV2389" s="7"/>
    </row>
    <row r="2390" spans="47:48" x14ac:dyDescent="0.25">
      <c r="AU2390" s="7"/>
      <c r="AV2390" s="7"/>
    </row>
    <row r="2391" spans="47:48" x14ac:dyDescent="0.25">
      <c r="AU2391" s="7"/>
      <c r="AV2391" s="7"/>
    </row>
    <row r="2392" spans="47:48" x14ac:dyDescent="0.25">
      <c r="AU2392" s="7"/>
      <c r="AV2392" s="7"/>
    </row>
    <row r="2393" spans="47:48" x14ac:dyDescent="0.25">
      <c r="AU2393" s="7"/>
      <c r="AV2393" s="7"/>
    </row>
    <row r="2394" spans="47:48" x14ac:dyDescent="0.25">
      <c r="AU2394" s="7"/>
      <c r="AV2394" s="7"/>
    </row>
    <row r="2395" spans="47:48" x14ac:dyDescent="0.25">
      <c r="AU2395" s="7"/>
      <c r="AV2395" s="7"/>
    </row>
    <row r="2396" spans="47:48" x14ac:dyDescent="0.25">
      <c r="AU2396" s="7"/>
      <c r="AV2396" s="7"/>
    </row>
    <row r="2397" spans="47:48" x14ac:dyDescent="0.25">
      <c r="AU2397" s="7"/>
      <c r="AV2397" s="7"/>
    </row>
    <row r="2398" spans="47:48" x14ac:dyDescent="0.25">
      <c r="AU2398" s="7"/>
      <c r="AV2398" s="7"/>
    </row>
    <row r="2399" spans="47:48" x14ac:dyDescent="0.25">
      <c r="AU2399" s="7"/>
      <c r="AV2399" s="7"/>
    </row>
    <row r="2400" spans="47:48" x14ac:dyDescent="0.25">
      <c r="AU2400" s="7"/>
      <c r="AV2400" s="7"/>
    </row>
    <row r="2401" spans="47:48" x14ac:dyDescent="0.25">
      <c r="AU2401" s="7"/>
      <c r="AV2401" s="7"/>
    </row>
    <row r="2402" spans="47:48" x14ac:dyDescent="0.25">
      <c r="AU2402" s="7"/>
      <c r="AV2402" s="7"/>
    </row>
    <row r="2403" spans="47:48" x14ac:dyDescent="0.25">
      <c r="AU2403" s="7"/>
      <c r="AV2403" s="7"/>
    </row>
    <row r="2404" spans="47:48" x14ac:dyDescent="0.25">
      <c r="AU2404" s="7"/>
      <c r="AV2404" s="7"/>
    </row>
    <row r="2405" spans="47:48" x14ac:dyDescent="0.25">
      <c r="AU2405" s="7"/>
      <c r="AV2405" s="7"/>
    </row>
    <row r="2406" spans="47:48" x14ac:dyDescent="0.25">
      <c r="AU2406" s="7"/>
      <c r="AV2406" s="7"/>
    </row>
    <row r="2407" spans="47:48" x14ac:dyDescent="0.25">
      <c r="AU2407" s="7"/>
      <c r="AV2407" s="7"/>
    </row>
    <row r="2408" spans="47:48" x14ac:dyDescent="0.25">
      <c r="AU2408" s="7"/>
      <c r="AV2408" s="7"/>
    </row>
    <row r="2409" spans="47:48" x14ac:dyDescent="0.25">
      <c r="AU2409" s="7"/>
      <c r="AV2409" s="7"/>
    </row>
    <row r="2410" spans="47:48" x14ac:dyDescent="0.25">
      <c r="AU2410" s="7"/>
      <c r="AV2410" s="7"/>
    </row>
    <row r="2411" spans="47:48" x14ac:dyDescent="0.25">
      <c r="AU2411" s="7"/>
      <c r="AV2411" s="7"/>
    </row>
    <row r="2412" spans="47:48" x14ac:dyDescent="0.25">
      <c r="AU2412" s="7"/>
      <c r="AV2412" s="7"/>
    </row>
    <row r="2413" spans="47:48" x14ac:dyDescent="0.25">
      <c r="AU2413" s="7"/>
      <c r="AV2413" s="7"/>
    </row>
    <row r="2414" spans="47:48" x14ac:dyDescent="0.25">
      <c r="AU2414" s="7"/>
      <c r="AV2414" s="7"/>
    </row>
    <row r="2415" spans="47:48" x14ac:dyDescent="0.25">
      <c r="AU2415" s="7"/>
      <c r="AV2415" s="7"/>
    </row>
    <row r="2416" spans="47:48" x14ac:dyDescent="0.25">
      <c r="AU2416" s="7"/>
      <c r="AV2416" s="7"/>
    </row>
    <row r="2417" spans="47:48" x14ac:dyDescent="0.25">
      <c r="AU2417" s="7"/>
      <c r="AV2417" s="7"/>
    </row>
    <row r="2418" spans="47:48" x14ac:dyDescent="0.25">
      <c r="AU2418" s="7"/>
      <c r="AV2418" s="7"/>
    </row>
    <row r="2419" spans="47:48" x14ac:dyDescent="0.25">
      <c r="AU2419" s="7"/>
      <c r="AV2419" s="7"/>
    </row>
    <row r="2420" spans="47:48" x14ac:dyDescent="0.25">
      <c r="AU2420" s="7"/>
      <c r="AV2420" s="7"/>
    </row>
    <row r="2421" spans="47:48" x14ac:dyDescent="0.25">
      <c r="AU2421" s="7"/>
      <c r="AV2421" s="7"/>
    </row>
    <row r="2422" spans="47:48" x14ac:dyDescent="0.25">
      <c r="AU2422" s="7"/>
      <c r="AV2422" s="7"/>
    </row>
    <row r="2423" spans="47:48" x14ac:dyDescent="0.25">
      <c r="AU2423" s="7"/>
      <c r="AV2423" s="7"/>
    </row>
    <row r="2424" spans="47:48" x14ac:dyDescent="0.25">
      <c r="AU2424" s="7"/>
      <c r="AV2424" s="7"/>
    </row>
    <row r="2425" spans="47:48" x14ac:dyDescent="0.25">
      <c r="AU2425" s="7"/>
      <c r="AV2425" s="7"/>
    </row>
    <row r="2426" spans="47:48" x14ac:dyDescent="0.25">
      <c r="AU2426" s="7"/>
      <c r="AV2426" s="7"/>
    </row>
    <row r="2427" spans="47:48" x14ac:dyDescent="0.25">
      <c r="AU2427" s="7"/>
      <c r="AV2427" s="7"/>
    </row>
    <row r="2428" spans="47:48" x14ac:dyDescent="0.25">
      <c r="AU2428" s="7"/>
      <c r="AV2428" s="7"/>
    </row>
    <row r="2429" spans="47:48" x14ac:dyDescent="0.25">
      <c r="AU2429" s="7"/>
      <c r="AV2429" s="7"/>
    </row>
    <row r="2430" spans="47:48" x14ac:dyDescent="0.25">
      <c r="AU2430" s="7"/>
      <c r="AV2430" s="7"/>
    </row>
    <row r="2431" spans="47:48" x14ac:dyDescent="0.25">
      <c r="AU2431" s="7"/>
      <c r="AV2431" s="7"/>
    </row>
    <row r="2432" spans="47:48" x14ac:dyDescent="0.25">
      <c r="AU2432" s="7"/>
      <c r="AV2432" s="7"/>
    </row>
    <row r="2433" spans="47:48" x14ac:dyDescent="0.25">
      <c r="AU2433" s="7"/>
      <c r="AV2433" s="7"/>
    </row>
    <row r="2434" spans="47:48" x14ac:dyDescent="0.25">
      <c r="AU2434" s="7"/>
      <c r="AV2434" s="7"/>
    </row>
    <row r="2435" spans="47:48" x14ac:dyDescent="0.25">
      <c r="AU2435" s="7"/>
      <c r="AV2435" s="7"/>
    </row>
    <row r="2436" spans="47:48" x14ac:dyDescent="0.25">
      <c r="AU2436" s="7"/>
      <c r="AV2436" s="7"/>
    </row>
    <row r="2437" spans="47:48" x14ac:dyDescent="0.25">
      <c r="AU2437" s="7"/>
      <c r="AV2437" s="7"/>
    </row>
    <row r="2438" spans="47:48" x14ac:dyDescent="0.25">
      <c r="AU2438" s="7"/>
      <c r="AV2438" s="7"/>
    </row>
    <row r="2439" spans="47:48" x14ac:dyDescent="0.25">
      <c r="AU2439" s="7"/>
      <c r="AV2439" s="7"/>
    </row>
    <row r="2440" spans="47:48" x14ac:dyDescent="0.25">
      <c r="AU2440" s="7"/>
      <c r="AV2440" s="7"/>
    </row>
    <row r="2441" spans="47:48" x14ac:dyDescent="0.25">
      <c r="AU2441" s="7"/>
      <c r="AV2441" s="7"/>
    </row>
    <row r="2442" spans="47:48" x14ac:dyDescent="0.25">
      <c r="AU2442" s="7"/>
      <c r="AV2442" s="7"/>
    </row>
    <row r="2443" spans="47:48" x14ac:dyDescent="0.25">
      <c r="AU2443" s="7"/>
      <c r="AV2443" s="7"/>
    </row>
    <row r="2444" spans="47:48" x14ac:dyDescent="0.25">
      <c r="AU2444" s="7"/>
      <c r="AV2444" s="7"/>
    </row>
    <row r="2445" spans="47:48" x14ac:dyDescent="0.25">
      <c r="AU2445" s="7"/>
      <c r="AV2445" s="7"/>
    </row>
    <row r="2446" spans="47:48" x14ac:dyDescent="0.25">
      <c r="AU2446" s="7"/>
      <c r="AV2446" s="7"/>
    </row>
    <row r="2447" spans="47:48" x14ac:dyDescent="0.25">
      <c r="AU2447" s="7"/>
      <c r="AV2447" s="7"/>
    </row>
    <row r="2448" spans="47:48" x14ac:dyDescent="0.25">
      <c r="AU2448" s="7"/>
      <c r="AV2448" s="7"/>
    </row>
    <row r="2449" spans="47:48" x14ac:dyDescent="0.25">
      <c r="AU2449" s="7"/>
      <c r="AV2449" s="7"/>
    </row>
    <row r="2450" spans="47:48" x14ac:dyDescent="0.25">
      <c r="AU2450" s="7"/>
      <c r="AV2450" s="7"/>
    </row>
    <row r="2451" spans="47:48" x14ac:dyDescent="0.25">
      <c r="AU2451" s="7"/>
      <c r="AV2451" s="7"/>
    </row>
    <row r="2452" spans="47:48" x14ac:dyDescent="0.25">
      <c r="AU2452" s="7"/>
      <c r="AV2452" s="7"/>
    </row>
    <row r="2453" spans="47:48" x14ac:dyDescent="0.25">
      <c r="AU2453" s="7"/>
      <c r="AV2453" s="7"/>
    </row>
    <row r="2454" spans="47:48" x14ac:dyDescent="0.25">
      <c r="AU2454" s="7"/>
      <c r="AV2454" s="7"/>
    </row>
    <row r="2455" spans="47:48" x14ac:dyDescent="0.25">
      <c r="AU2455" s="7"/>
      <c r="AV2455" s="7"/>
    </row>
    <row r="2456" spans="47:48" x14ac:dyDescent="0.25">
      <c r="AU2456" s="7"/>
      <c r="AV2456" s="7"/>
    </row>
    <row r="2457" spans="47:48" x14ac:dyDescent="0.25">
      <c r="AU2457" s="7"/>
      <c r="AV2457" s="7"/>
    </row>
    <row r="2458" spans="47:48" x14ac:dyDescent="0.25">
      <c r="AU2458" s="7"/>
      <c r="AV2458" s="7"/>
    </row>
    <row r="2459" spans="47:48" x14ac:dyDescent="0.25">
      <c r="AU2459" s="7"/>
      <c r="AV2459" s="7"/>
    </row>
    <row r="2460" spans="47:48" x14ac:dyDescent="0.25">
      <c r="AU2460" s="7"/>
      <c r="AV2460" s="7"/>
    </row>
    <row r="2461" spans="47:48" x14ac:dyDescent="0.25">
      <c r="AU2461" s="7"/>
      <c r="AV2461" s="7"/>
    </row>
    <row r="2462" spans="47:48" x14ac:dyDescent="0.25">
      <c r="AU2462" s="7"/>
      <c r="AV2462" s="7"/>
    </row>
    <row r="2463" spans="47:48" x14ac:dyDescent="0.25">
      <c r="AU2463" s="7"/>
      <c r="AV2463" s="7"/>
    </row>
    <row r="2464" spans="47:48" x14ac:dyDescent="0.25">
      <c r="AU2464" s="7"/>
      <c r="AV2464" s="7"/>
    </row>
    <row r="2465" spans="47:48" x14ac:dyDescent="0.25">
      <c r="AU2465" s="7"/>
      <c r="AV2465" s="7"/>
    </row>
    <row r="2466" spans="47:48" x14ac:dyDescent="0.25">
      <c r="AU2466" s="7"/>
      <c r="AV2466" s="7"/>
    </row>
    <row r="2467" spans="47:48" x14ac:dyDescent="0.25">
      <c r="AU2467" s="7"/>
      <c r="AV2467" s="7"/>
    </row>
    <row r="2468" spans="47:48" x14ac:dyDescent="0.25">
      <c r="AU2468" s="7"/>
      <c r="AV2468" s="7"/>
    </row>
    <row r="2469" spans="47:48" x14ac:dyDescent="0.25">
      <c r="AU2469" s="7"/>
      <c r="AV2469" s="7"/>
    </row>
    <row r="2470" spans="47:48" x14ac:dyDescent="0.25">
      <c r="AU2470" s="7"/>
      <c r="AV2470" s="7"/>
    </row>
    <row r="2471" spans="47:48" x14ac:dyDescent="0.25">
      <c r="AU2471" s="7"/>
      <c r="AV2471" s="7"/>
    </row>
    <row r="2472" spans="47:48" x14ac:dyDescent="0.25">
      <c r="AU2472" s="7"/>
      <c r="AV2472" s="7"/>
    </row>
    <row r="2473" spans="47:48" x14ac:dyDescent="0.25">
      <c r="AU2473" s="7"/>
      <c r="AV2473" s="7"/>
    </row>
    <row r="2474" spans="47:48" x14ac:dyDescent="0.25">
      <c r="AU2474" s="7"/>
      <c r="AV2474" s="7"/>
    </row>
    <row r="2475" spans="47:48" x14ac:dyDescent="0.25">
      <c r="AU2475" s="7"/>
      <c r="AV2475" s="7"/>
    </row>
    <row r="2476" spans="47:48" x14ac:dyDescent="0.25">
      <c r="AU2476" s="7"/>
      <c r="AV2476" s="7"/>
    </row>
    <row r="2477" spans="47:48" x14ac:dyDescent="0.25">
      <c r="AU2477" s="7"/>
      <c r="AV2477" s="7"/>
    </row>
    <row r="2478" spans="47:48" x14ac:dyDescent="0.25">
      <c r="AU2478" s="7"/>
      <c r="AV2478" s="7"/>
    </row>
    <row r="2479" spans="47:48" x14ac:dyDescent="0.25">
      <c r="AU2479" s="7"/>
      <c r="AV2479" s="7"/>
    </row>
    <row r="2480" spans="47:48" x14ac:dyDescent="0.25">
      <c r="AU2480" s="7"/>
      <c r="AV2480" s="7"/>
    </row>
    <row r="2481" spans="47:48" x14ac:dyDescent="0.25">
      <c r="AU2481" s="7"/>
      <c r="AV2481" s="7"/>
    </row>
    <row r="2482" spans="47:48" x14ac:dyDescent="0.25">
      <c r="AU2482" s="7"/>
      <c r="AV2482" s="7"/>
    </row>
    <row r="2483" spans="47:48" x14ac:dyDescent="0.25">
      <c r="AU2483" s="7"/>
      <c r="AV2483" s="7"/>
    </row>
    <row r="2484" spans="47:48" x14ac:dyDescent="0.25">
      <c r="AU2484" s="7"/>
      <c r="AV2484" s="7"/>
    </row>
    <row r="2485" spans="47:48" x14ac:dyDescent="0.25">
      <c r="AU2485" s="7"/>
      <c r="AV2485" s="7"/>
    </row>
    <row r="2486" spans="47:48" x14ac:dyDescent="0.25">
      <c r="AU2486" s="7"/>
      <c r="AV2486" s="7"/>
    </row>
    <row r="2487" spans="47:48" x14ac:dyDescent="0.25">
      <c r="AU2487" s="7"/>
      <c r="AV2487" s="7"/>
    </row>
    <row r="2488" spans="47:48" x14ac:dyDescent="0.25">
      <c r="AU2488" s="7"/>
      <c r="AV2488" s="7"/>
    </row>
    <row r="2489" spans="47:48" x14ac:dyDescent="0.25">
      <c r="AU2489" s="7"/>
      <c r="AV2489" s="7"/>
    </row>
    <row r="2490" spans="47:48" x14ac:dyDescent="0.25">
      <c r="AU2490" s="7"/>
      <c r="AV2490" s="7"/>
    </row>
    <row r="2491" spans="47:48" x14ac:dyDescent="0.25">
      <c r="AU2491" s="7"/>
      <c r="AV2491" s="7"/>
    </row>
    <row r="2492" spans="47:48" x14ac:dyDescent="0.25">
      <c r="AU2492" s="7"/>
      <c r="AV2492" s="7"/>
    </row>
    <row r="2493" spans="47:48" x14ac:dyDescent="0.25">
      <c r="AU2493" s="7"/>
      <c r="AV2493" s="7"/>
    </row>
    <row r="2494" spans="47:48" x14ac:dyDescent="0.25">
      <c r="AU2494" s="7"/>
      <c r="AV2494" s="7"/>
    </row>
    <row r="2495" spans="47:48" x14ac:dyDescent="0.25">
      <c r="AU2495" s="7"/>
      <c r="AV2495" s="7"/>
    </row>
    <row r="2496" spans="47:48" x14ac:dyDescent="0.25">
      <c r="AU2496" s="7"/>
      <c r="AV2496" s="7"/>
    </row>
    <row r="2497" spans="47:48" x14ac:dyDescent="0.25">
      <c r="AU2497" s="7"/>
      <c r="AV2497" s="7"/>
    </row>
    <row r="2498" spans="47:48" x14ac:dyDescent="0.25">
      <c r="AU2498" s="7"/>
      <c r="AV2498" s="7"/>
    </row>
    <row r="2499" spans="47:48" x14ac:dyDescent="0.25">
      <c r="AU2499" s="7"/>
      <c r="AV2499" s="7"/>
    </row>
    <row r="2500" spans="47:48" x14ac:dyDescent="0.25">
      <c r="AU2500" s="7"/>
      <c r="AV2500" s="7"/>
    </row>
    <row r="2501" spans="47:48" x14ac:dyDescent="0.25">
      <c r="AU2501" s="7"/>
      <c r="AV2501" s="7"/>
    </row>
    <row r="2502" spans="47:48" x14ac:dyDescent="0.25">
      <c r="AU2502" s="7"/>
      <c r="AV2502" s="7"/>
    </row>
    <row r="2503" spans="47:48" x14ac:dyDescent="0.25">
      <c r="AU2503" s="7"/>
      <c r="AV2503" s="7"/>
    </row>
    <row r="2504" spans="47:48" x14ac:dyDescent="0.25">
      <c r="AU2504" s="7"/>
      <c r="AV2504" s="7"/>
    </row>
    <row r="2505" spans="47:48" x14ac:dyDescent="0.25">
      <c r="AU2505" s="7"/>
      <c r="AV2505" s="7"/>
    </row>
    <row r="2506" spans="47:48" x14ac:dyDescent="0.25">
      <c r="AU2506" s="7"/>
      <c r="AV2506" s="7"/>
    </row>
    <row r="2507" spans="47:48" x14ac:dyDescent="0.25">
      <c r="AU2507" s="7"/>
      <c r="AV2507" s="7"/>
    </row>
    <row r="2508" spans="47:48" x14ac:dyDescent="0.25">
      <c r="AU2508" s="7"/>
      <c r="AV2508" s="7"/>
    </row>
    <row r="2509" spans="47:48" x14ac:dyDescent="0.25">
      <c r="AU2509" s="7"/>
      <c r="AV2509" s="7"/>
    </row>
    <row r="2510" spans="47:48" x14ac:dyDescent="0.25">
      <c r="AU2510" s="7"/>
      <c r="AV2510" s="7"/>
    </row>
    <row r="2511" spans="47:48" x14ac:dyDescent="0.25">
      <c r="AU2511" s="7"/>
      <c r="AV2511" s="7"/>
    </row>
    <row r="2512" spans="47:48" x14ac:dyDescent="0.25">
      <c r="AU2512" s="7"/>
      <c r="AV2512" s="7"/>
    </row>
    <row r="2513" spans="47:48" x14ac:dyDescent="0.25">
      <c r="AU2513" s="7"/>
      <c r="AV2513" s="7"/>
    </row>
    <row r="2514" spans="47:48" x14ac:dyDescent="0.25">
      <c r="AU2514" s="7"/>
      <c r="AV2514" s="7"/>
    </row>
    <row r="2515" spans="47:48" x14ac:dyDescent="0.25">
      <c r="AU2515" s="7"/>
      <c r="AV2515" s="7"/>
    </row>
    <row r="2516" spans="47:48" x14ac:dyDescent="0.25">
      <c r="AU2516" s="7"/>
      <c r="AV2516" s="7"/>
    </row>
    <row r="2517" spans="47:48" x14ac:dyDescent="0.25">
      <c r="AU2517" s="7"/>
      <c r="AV2517" s="7"/>
    </row>
    <row r="2518" spans="47:48" x14ac:dyDescent="0.25">
      <c r="AU2518" s="7"/>
      <c r="AV2518" s="7"/>
    </row>
    <row r="2519" spans="47:48" x14ac:dyDescent="0.25">
      <c r="AU2519" s="7"/>
      <c r="AV2519" s="7"/>
    </row>
    <row r="2520" spans="47:48" x14ac:dyDescent="0.25">
      <c r="AU2520" s="7"/>
      <c r="AV2520" s="7"/>
    </row>
    <row r="2521" spans="47:48" x14ac:dyDescent="0.25">
      <c r="AU2521" s="7"/>
      <c r="AV2521" s="7"/>
    </row>
    <row r="2522" spans="47:48" x14ac:dyDescent="0.25">
      <c r="AU2522" s="7"/>
      <c r="AV2522" s="7"/>
    </row>
    <row r="2523" spans="47:48" x14ac:dyDescent="0.25">
      <c r="AU2523" s="7"/>
      <c r="AV2523" s="7"/>
    </row>
    <row r="2524" spans="47:48" x14ac:dyDescent="0.25">
      <c r="AU2524" s="7"/>
      <c r="AV2524" s="7"/>
    </row>
    <row r="2525" spans="47:48" x14ac:dyDescent="0.25">
      <c r="AU2525" s="7"/>
      <c r="AV2525" s="7"/>
    </row>
    <row r="2526" spans="47:48" x14ac:dyDescent="0.25">
      <c r="AU2526" s="7"/>
      <c r="AV2526" s="7"/>
    </row>
    <row r="2527" spans="47:48" x14ac:dyDescent="0.25">
      <c r="AU2527" s="7"/>
      <c r="AV2527" s="7"/>
    </row>
    <row r="2528" spans="47:48" x14ac:dyDescent="0.25">
      <c r="AU2528" s="7"/>
      <c r="AV2528" s="7"/>
    </row>
    <row r="2529" spans="47:48" x14ac:dyDescent="0.25">
      <c r="AU2529" s="7"/>
      <c r="AV2529" s="7"/>
    </row>
    <row r="2530" spans="47:48" x14ac:dyDescent="0.25">
      <c r="AU2530" s="7"/>
      <c r="AV2530" s="7"/>
    </row>
    <row r="2531" spans="47:48" x14ac:dyDescent="0.25">
      <c r="AU2531" s="7"/>
      <c r="AV2531" s="7"/>
    </row>
    <row r="2532" spans="47:48" x14ac:dyDescent="0.25">
      <c r="AU2532" s="7"/>
      <c r="AV2532" s="7"/>
    </row>
    <row r="2533" spans="47:48" x14ac:dyDescent="0.25">
      <c r="AU2533" s="7"/>
      <c r="AV2533" s="7"/>
    </row>
    <row r="2534" spans="47:48" x14ac:dyDescent="0.25">
      <c r="AU2534" s="7"/>
      <c r="AV2534" s="7"/>
    </row>
    <row r="2535" spans="47:48" x14ac:dyDescent="0.25">
      <c r="AU2535" s="7"/>
      <c r="AV2535" s="7"/>
    </row>
    <row r="2536" spans="47:48" x14ac:dyDescent="0.25">
      <c r="AU2536" s="7"/>
      <c r="AV2536" s="7"/>
    </row>
    <row r="2537" spans="47:48" x14ac:dyDescent="0.25">
      <c r="AU2537" s="7"/>
      <c r="AV2537" s="7"/>
    </row>
    <row r="2538" spans="47:48" x14ac:dyDescent="0.25">
      <c r="AU2538" s="7"/>
      <c r="AV2538" s="7"/>
    </row>
    <row r="2539" spans="47:48" x14ac:dyDescent="0.25">
      <c r="AU2539" s="7"/>
      <c r="AV2539" s="7"/>
    </row>
    <row r="2540" spans="47:48" x14ac:dyDescent="0.25">
      <c r="AU2540" s="7"/>
      <c r="AV2540" s="7"/>
    </row>
    <row r="2541" spans="47:48" x14ac:dyDescent="0.25">
      <c r="AU2541" s="7"/>
      <c r="AV2541" s="7"/>
    </row>
    <row r="2542" spans="47:48" x14ac:dyDescent="0.25">
      <c r="AU2542" s="7"/>
      <c r="AV2542" s="7"/>
    </row>
    <row r="2543" spans="47:48" x14ac:dyDescent="0.25">
      <c r="AU2543" s="7"/>
      <c r="AV2543" s="7"/>
    </row>
    <row r="2544" spans="47:48" x14ac:dyDescent="0.25">
      <c r="AU2544" s="7"/>
      <c r="AV2544" s="7"/>
    </row>
    <row r="2545" spans="47:48" x14ac:dyDescent="0.25">
      <c r="AU2545" s="7"/>
      <c r="AV2545" s="7"/>
    </row>
    <row r="2546" spans="47:48" x14ac:dyDescent="0.25">
      <c r="AU2546" s="7"/>
      <c r="AV2546" s="7"/>
    </row>
    <row r="2547" spans="47:48" x14ac:dyDescent="0.25">
      <c r="AU2547" s="7"/>
      <c r="AV2547" s="7"/>
    </row>
    <row r="2548" spans="47:48" x14ac:dyDescent="0.25">
      <c r="AU2548" s="7"/>
      <c r="AV2548" s="7"/>
    </row>
    <row r="2549" spans="47:48" x14ac:dyDescent="0.25">
      <c r="AU2549" s="7"/>
      <c r="AV2549" s="7"/>
    </row>
    <row r="2550" spans="47:48" x14ac:dyDescent="0.25">
      <c r="AU2550" s="7"/>
      <c r="AV2550" s="7"/>
    </row>
    <row r="2551" spans="47:48" x14ac:dyDescent="0.25">
      <c r="AU2551" s="7"/>
      <c r="AV2551" s="7"/>
    </row>
    <row r="2552" spans="47:48" x14ac:dyDescent="0.25">
      <c r="AU2552" s="7"/>
      <c r="AV2552" s="7"/>
    </row>
    <row r="2553" spans="47:48" x14ac:dyDescent="0.25">
      <c r="AU2553" s="7"/>
      <c r="AV2553" s="7"/>
    </row>
    <row r="2554" spans="47:48" x14ac:dyDescent="0.25">
      <c r="AU2554" s="7"/>
      <c r="AV2554" s="7"/>
    </row>
    <row r="2555" spans="47:48" x14ac:dyDescent="0.25">
      <c r="AU2555" s="7"/>
      <c r="AV2555" s="7"/>
    </row>
    <row r="2556" spans="47:48" x14ac:dyDescent="0.25">
      <c r="AU2556" s="7"/>
      <c r="AV2556" s="7"/>
    </row>
    <row r="2557" spans="47:48" x14ac:dyDescent="0.25">
      <c r="AU2557" s="7"/>
      <c r="AV2557" s="7"/>
    </row>
    <row r="2558" spans="47:48" x14ac:dyDescent="0.25">
      <c r="AU2558" s="7"/>
      <c r="AV2558" s="7"/>
    </row>
    <row r="2559" spans="47:48" x14ac:dyDescent="0.25">
      <c r="AU2559" s="7"/>
      <c r="AV2559" s="7"/>
    </row>
    <row r="2560" spans="47:48" x14ac:dyDescent="0.25">
      <c r="AU2560" s="7"/>
      <c r="AV2560" s="7"/>
    </row>
    <row r="2561" spans="47:48" x14ac:dyDescent="0.25">
      <c r="AU2561" s="7"/>
      <c r="AV2561" s="7"/>
    </row>
    <row r="2562" spans="47:48" x14ac:dyDescent="0.25">
      <c r="AU2562" s="7"/>
      <c r="AV2562" s="7"/>
    </row>
    <row r="2563" spans="47:48" x14ac:dyDescent="0.25">
      <c r="AU2563" s="7"/>
      <c r="AV2563" s="7"/>
    </row>
    <row r="2564" spans="47:48" x14ac:dyDescent="0.25">
      <c r="AU2564" s="7"/>
      <c r="AV2564" s="7"/>
    </row>
    <row r="2565" spans="47:48" x14ac:dyDescent="0.25">
      <c r="AU2565" s="7"/>
      <c r="AV2565" s="7"/>
    </row>
    <row r="2566" spans="47:48" x14ac:dyDescent="0.25">
      <c r="AU2566" s="7"/>
      <c r="AV2566" s="7"/>
    </row>
    <row r="2567" spans="47:48" x14ac:dyDescent="0.25">
      <c r="AU2567" s="7"/>
      <c r="AV2567" s="7"/>
    </row>
    <row r="2568" spans="47:48" x14ac:dyDescent="0.25">
      <c r="AU2568" s="7"/>
      <c r="AV2568" s="7"/>
    </row>
    <row r="2569" spans="47:48" x14ac:dyDescent="0.25">
      <c r="AU2569" s="7"/>
      <c r="AV2569" s="7"/>
    </row>
    <row r="2570" spans="47:48" x14ac:dyDescent="0.25">
      <c r="AU2570" s="7"/>
      <c r="AV2570" s="7"/>
    </row>
    <row r="2571" spans="47:48" x14ac:dyDescent="0.25">
      <c r="AU2571" s="7"/>
      <c r="AV2571" s="7"/>
    </row>
    <row r="2572" spans="47:48" x14ac:dyDescent="0.25">
      <c r="AU2572" s="7"/>
      <c r="AV2572" s="7"/>
    </row>
    <row r="2573" spans="47:48" x14ac:dyDescent="0.25">
      <c r="AU2573" s="7"/>
      <c r="AV2573" s="7"/>
    </row>
    <row r="2574" spans="47:48" x14ac:dyDescent="0.25">
      <c r="AU2574" s="7"/>
      <c r="AV2574" s="7"/>
    </row>
    <row r="2575" spans="47:48" x14ac:dyDescent="0.25">
      <c r="AU2575" s="7"/>
      <c r="AV2575" s="7"/>
    </row>
    <row r="2576" spans="47:48" x14ac:dyDescent="0.25">
      <c r="AU2576" s="7"/>
      <c r="AV2576" s="7"/>
    </row>
    <row r="2577" spans="47:48" x14ac:dyDescent="0.25">
      <c r="AU2577" s="7"/>
      <c r="AV2577" s="7"/>
    </row>
    <row r="2578" spans="47:48" x14ac:dyDescent="0.25">
      <c r="AU2578" s="7"/>
      <c r="AV2578" s="7"/>
    </row>
    <row r="2579" spans="47:48" x14ac:dyDescent="0.25">
      <c r="AU2579" s="7"/>
      <c r="AV2579" s="7"/>
    </row>
    <row r="2580" spans="47:48" x14ac:dyDescent="0.25">
      <c r="AU2580" s="7"/>
      <c r="AV2580" s="7"/>
    </row>
    <row r="2581" spans="47:48" x14ac:dyDescent="0.25">
      <c r="AU2581" s="7"/>
      <c r="AV2581" s="7"/>
    </row>
    <row r="2582" spans="47:48" x14ac:dyDescent="0.25">
      <c r="AU2582" s="7"/>
      <c r="AV2582" s="7"/>
    </row>
    <row r="2583" spans="47:48" x14ac:dyDescent="0.25">
      <c r="AU2583" s="7"/>
      <c r="AV2583" s="7"/>
    </row>
    <row r="2584" spans="47:48" x14ac:dyDescent="0.25">
      <c r="AU2584" s="7"/>
      <c r="AV2584" s="7"/>
    </row>
    <row r="2585" spans="47:48" x14ac:dyDescent="0.25">
      <c r="AU2585" s="7"/>
      <c r="AV2585" s="7"/>
    </row>
    <row r="2586" spans="47:48" x14ac:dyDescent="0.25">
      <c r="AU2586" s="7"/>
      <c r="AV2586" s="7"/>
    </row>
    <row r="2587" spans="47:48" x14ac:dyDescent="0.25">
      <c r="AU2587" s="7"/>
      <c r="AV2587" s="7"/>
    </row>
    <row r="2588" spans="47:48" x14ac:dyDescent="0.25">
      <c r="AU2588" s="7"/>
      <c r="AV2588" s="7"/>
    </row>
    <row r="2589" spans="47:48" x14ac:dyDescent="0.25">
      <c r="AU2589" s="7"/>
      <c r="AV2589" s="7"/>
    </row>
    <row r="2590" spans="47:48" x14ac:dyDescent="0.25">
      <c r="AU2590" s="7"/>
      <c r="AV2590" s="7"/>
    </row>
    <row r="2591" spans="47:48" x14ac:dyDescent="0.25">
      <c r="AU2591" s="7"/>
      <c r="AV2591" s="7"/>
    </row>
    <row r="2592" spans="47:48" x14ac:dyDescent="0.25">
      <c r="AU2592" s="7"/>
      <c r="AV2592" s="7"/>
    </row>
    <row r="2593" spans="47:48" x14ac:dyDescent="0.25">
      <c r="AU2593" s="7"/>
      <c r="AV2593" s="7"/>
    </row>
    <row r="2594" spans="47:48" x14ac:dyDescent="0.25">
      <c r="AU2594" s="7"/>
      <c r="AV2594" s="7"/>
    </row>
    <row r="2595" spans="47:48" x14ac:dyDescent="0.25">
      <c r="AU2595" s="7"/>
      <c r="AV2595" s="7"/>
    </row>
    <row r="2596" spans="47:48" x14ac:dyDescent="0.25">
      <c r="AU2596" s="7"/>
      <c r="AV2596" s="7"/>
    </row>
    <row r="2597" spans="47:48" x14ac:dyDescent="0.25">
      <c r="AU2597" s="7"/>
      <c r="AV2597" s="7"/>
    </row>
    <row r="2598" spans="47:48" x14ac:dyDescent="0.25">
      <c r="AU2598" s="7"/>
      <c r="AV2598" s="7"/>
    </row>
    <row r="2599" spans="47:48" x14ac:dyDescent="0.25">
      <c r="AU2599" s="7"/>
      <c r="AV2599" s="7"/>
    </row>
    <row r="2600" spans="47:48" x14ac:dyDescent="0.25">
      <c r="AU2600" s="7"/>
      <c r="AV2600" s="7"/>
    </row>
    <row r="2601" spans="47:48" x14ac:dyDescent="0.25">
      <c r="AU2601" s="7"/>
      <c r="AV2601" s="7"/>
    </row>
    <row r="2602" spans="47:48" x14ac:dyDescent="0.25">
      <c r="AU2602" s="7"/>
      <c r="AV2602" s="7"/>
    </row>
    <row r="2603" spans="47:48" x14ac:dyDescent="0.25">
      <c r="AU2603" s="7"/>
      <c r="AV2603" s="7"/>
    </row>
    <row r="2604" spans="47:48" x14ac:dyDescent="0.25">
      <c r="AU2604" s="7"/>
      <c r="AV2604" s="7"/>
    </row>
    <row r="2605" spans="47:48" x14ac:dyDescent="0.25">
      <c r="AU2605" s="7"/>
      <c r="AV2605" s="7"/>
    </row>
    <row r="2606" spans="47:48" x14ac:dyDescent="0.25">
      <c r="AU2606" s="7"/>
      <c r="AV2606" s="7"/>
    </row>
    <row r="2607" spans="47:48" x14ac:dyDescent="0.25">
      <c r="AU2607" s="7"/>
      <c r="AV2607" s="7"/>
    </row>
    <row r="2608" spans="47:48" x14ac:dyDescent="0.25">
      <c r="AU2608" s="7"/>
      <c r="AV2608" s="7"/>
    </row>
    <row r="2609" spans="47:48" x14ac:dyDescent="0.25">
      <c r="AU2609" s="7"/>
      <c r="AV2609" s="7"/>
    </row>
    <row r="2610" spans="47:48" x14ac:dyDescent="0.25">
      <c r="AU2610" s="7"/>
      <c r="AV2610" s="7"/>
    </row>
    <row r="2611" spans="47:48" x14ac:dyDescent="0.25">
      <c r="AU2611" s="7"/>
      <c r="AV2611" s="7"/>
    </row>
    <row r="2612" spans="47:48" x14ac:dyDescent="0.25">
      <c r="AU2612" s="7"/>
      <c r="AV2612" s="7"/>
    </row>
    <row r="2613" spans="47:48" x14ac:dyDescent="0.25">
      <c r="AU2613" s="7"/>
      <c r="AV2613" s="7"/>
    </row>
    <row r="2614" spans="47:48" x14ac:dyDescent="0.25">
      <c r="AU2614" s="7"/>
      <c r="AV2614" s="7"/>
    </row>
    <row r="2615" spans="47:48" x14ac:dyDescent="0.25">
      <c r="AU2615" s="7"/>
      <c r="AV2615" s="7"/>
    </row>
    <row r="2616" spans="47:48" x14ac:dyDescent="0.25">
      <c r="AU2616" s="7"/>
      <c r="AV2616" s="7"/>
    </row>
    <row r="2617" spans="47:48" x14ac:dyDescent="0.25">
      <c r="AU2617" s="7"/>
      <c r="AV2617" s="7"/>
    </row>
    <row r="2618" spans="47:48" x14ac:dyDescent="0.25">
      <c r="AU2618" s="7"/>
      <c r="AV2618" s="7"/>
    </row>
    <row r="2619" spans="47:48" x14ac:dyDescent="0.25">
      <c r="AU2619" s="7"/>
      <c r="AV2619" s="7"/>
    </row>
    <row r="2620" spans="47:48" x14ac:dyDescent="0.25">
      <c r="AU2620" s="7"/>
      <c r="AV2620" s="7"/>
    </row>
    <row r="2621" spans="47:48" x14ac:dyDescent="0.25">
      <c r="AU2621" s="7"/>
      <c r="AV2621" s="7"/>
    </row>
    <row r="2622" spans="47:48" x14ac:dyDescent="0.25">
      <c r="AU2622" s="7"/>
      <c r="AV2622" s="7"/>
    </row>
    <row r="2623" spans="47:48" x14ac:dyDescent="0.25">
      <c r="AU2623" s="7"/>
      <c r="AV2623" s="7"/>
    </row>
    <row r="2624" spans="47:48" x14ac:dyDescent="0.25">
      <c r="AU2624" s="7"/>
      <c r="AV2624" s="7"/>
    </row>
    <row r="2625" spans="47:48" x14ac:dyDescent="0.25">
      <c r="AU2625" s="7"/>
      <c r="AV2625" s="7"/>
    </row>
    <row r="2626" spans="47:48" x14ac:dyDescent="0.25">
      <c r="AU2626" s="7"/>
      <c r="AV2626" s="7"/>
    </row>
    <row r="2627" spans="47:48" x14ac:dyDescent="0.25">
      <c r="AU2627" s="7"/>
      <c r="AV2627" s="7"/>
    </row>
    <row r="2628" spans="47:48" x14ac:dyDescent="0.25">
      <c r="AU2628" s="7"/>
      <c r="AV2628" s="7"/>
    </row>
    <row r="2629" spans="47:48" x14ac:dyDescent="0.25">
      <c r="AU2629" s="7"/>
      <c r="AV2629" s="7"/>
    </row>
    <row r="2630" spans="47:48" x14ac:dyDescent="0.25">
      <c r="AU2630" s="7"/>
      <c r="AV2630" s="7"/>
    </row>
    <row r="2631" spans="47:48" x14ac:dyDescent="0.25">
      <c r="AU2631" s="7"/>
      <c r="AV2631" s="7"/>
    </row>
    <row r="2632" spans="47:48" x14ac:dyDescent="0.25">
      <c r="AU2632" s="7"/>
      <c r="AV2632" s="7"/>
    </row>
    <row r="2633" spans="47:48" x14ac:dyDescent="0.25">
      <c r="AU2633" s="7"/>
      <c r="AV2633" s="7"/>
    </row>
    <row r="2634" spans="47:48" x14ac:dyDescent="0.25">
      <c r="AU2634" s="7"/>
      <c r="AV2634" s="7"/>
    </row>
    <row r="2635" spans="47:48" x14ac:dyDescent="0.25">
      <c r="AU2635" s="7"/>
      <c r="AV2635" s="7"/>
    </row>
    <row r="2636" spans="47:48" x14ac:dyDescent="0.25">
      <c r="AU2636" s="7"/>
      <c r="AV2636" s="7"/>
    </row>
    <row r="2637" spans="47:48" x14ac:dyDescent="0.25">
      <c r="AU2637" s="7"/>
      <c r="AV2637" s="7"/>
    </row>
    <row r="2638" spans="47:48" x14ac:dyDescent="0.25">
      <c r="AU2638" s="7"/>
      <c r="AV2638" s="7"/>
    </row>
    <row r="2639" spans="47:48" x14ac:dyDescent="0.25">
      <c r="AU2639" s="7"/>
      <c r="AV2639" s="7"/>
    </row>
    <row r="2640" spans="47:48" x14ac:dyDescent="0.25">
      <c r="AU2640" s="7"/>
      <c r="AV2640" s="7"/>
    </row>
    <row r="2641" spans="47:48" x14ac:dyDescent="0.25">
      <c r="AU2641" s="7"/>
      <c r="AV2641" s="7"/>
    </row>
    <row r="2642" spans="47:48" x14ac:dyDescent="0.25">
      <c r="AU2642" s="7"/>
      <c r="AV2642" s="7"/>
    </row>
    <row r="2643" spans="47:48" x14ac:dyDescent="0.25">
      <c r="AU2643" s="7"/>
      <c r="AV2643" s="7"/>
    </row>
    <row r="2644" spans="47:48" x14ac:dyDescent="0.25">
      <c r="AU2644" s="7"/>
      <c r="AV2644" s="7"/>
    </row>
    <row r="2645" spans="47:48" x14ac:dyDescent="0.25">
      <c r="AU2645" s="7"/>
      <c r="AV2645" s="7"/>
    </row>
    <row r="2646" spans="47:48" x14ac:dyDescent="0.25">
      <c r="AU2646" s="7"/>
      <c r="AV2646" s="7"/>
    </row>
    <row r="2647" spans="47:48" x14ac:dyDescent="0.25">
      <c r="AU2647" s="7"/>
      <c r="AV2647" s="7"/>
    </row>
    <row r="2648" spans="47:48" x14ac:dyDescent="0.25">
      <c r="AU2648" s="7"/>
      <c r="AV2648" s="7"/>
    </row>
    <row r="2649" spans="47:48" x14ac:dyDescent="0.25">
      <c r="AU2649" s="7"/>
      <c r="AV2649" s="7"/>
    </row>
    <row r="2650" spans="47:48" x14ac:dyDescent="0.25">
      <c r="AU2650" s="7"/>
      <c r="AV2650" s="7"/>
    </row>
    <row r="2651" spans="47:48" x14ac:dyDescent="0.25">
      <c r="AU2651" s="7"/>
      <c r="AV2651" s="7"/>
    </row>
    <row r="2652" spans="47:48" x14ac:dyDescent="0.25">
      <c r="AU2652" s="7"/>
      <c r="AV2652" s="7"/>
    </row>
    <row r="2653" spans="47:48" x14ac:dyDescent="0.25">
      <c r="AU2653" s="7"/>
      <c r="AV2653" s="7"/>
    </row>
    <row r="2654" spans="47:48" x14ac:dyDescent="0.25">
      <c r="AU2654" s="7"/>
      <c r="AV2654" s="7"/>
    </row>
    <row r="2655" spans="47:48" x14ac:dyDescent="0.25">
      <c r="AU2655" s="7"/>
      <c r="AV2655" s="7"/>
    </row>
    <row r="2656" spans="47:48" x14ac:dyDescent="0.25">
      <c r="AU2656" s="7"/>
      <c r="AV2656" s="7"/>
    </row>
    <row r="2657" spans="47:48" x14ac:dyDescent="0.25">
      <c r="AU2657" s="7"/>
      <c r="AV2657" s="7"/>
    </row>
    <row r="2658" spans="47:48" x14ac:dyDescent="0.25">
      <c r="AU2658" s="7"/>
      <c r="AV2658" s="7"/>
    </row>
    <row r="2659" spans="47:48" x14ac:dyDescent="0.25">
      <c r="AU2659" s="7"/>
      <c r="AV2659" s="7"/>
    </row>
    <row r="2660" spans="47:48" x14ac:dyDescent="0.25">
      <c r="AU2660" s="7"/>
      <c r="AV2660" s="7"/>
    </row>
    <row r="2661" spans="47:48" x14ac:dyDescent="0.25">
      <c r="AU2661" s="7"/>
      <c r="AV2661" s="7"/>
    </row>
    <row r="2662" spans="47:48" x14ac:dyDescent="0.25">
      <c r="AU2662" s="7"/>
      <c r="AV2662" s="7"/>
    </row>
    <row r="2663" spans="47:48" x14ac:dyDescent="0.25">
      <c r="AU2663" s="7"/>
      <c r="AV2663" s="7"/>
    </row>
    <row r="2664" spans="47:48" x14ac:dyDescent="0.25">
      <c r="AU2664" s="7"/>
      <c r="AV2664" s="7"/>
    </row>
    <row r="2665" spans="47:48" x14ac:dyDescent="0.25">
      <c r="AU2665" s="7"/>
      <c r="AV2665" s="7"/>
    </row>
    <row r="2666" spans="47:48" x14ac:dyDescent="0.25">
      <c r="AU2666" s="7"/>
      <c r="AV2666" s="7"/>
    </row>
    <row r="2667" spans="47:48" x14ac:dyDescent="0.25">
      <c r="AU2667" s="7"/>
      <c r="AV2667" s="7"/>
    </row>
    <row r="2668" spans="47:48" x14ac:dyDescent="0.25">
      <c r="AU2668" s="7"/>
      <c r="AV2668" s="7"/>
    </row>
    <row r="2669" spans="47:48" x14ac:dyDescent="0.25">
      <c r="AU2669" s="7"/>
      <c r="AV2669" s="7"/>
    </row>
    <row r="2670" spans="47:48" x14ac:dyDescent="0.25">
      <c r="AU2670" s="7"/>
      <c r="AV2670" s="7"/>
    </row>
    <row r="2671" spans="47:48" x14ac:dyDescent="0.25">
      <c r="AU2671" s="7"/>
      <c r="AV2671" s="7"/>
    </row>
    <row r="2672" spans="47:48" x14ac:dyDescent="0.25">
      <c r="AU2672" s="7"/>
      <c r="AV2672" s="7"/>
    </row>
    <row r="2673" spans="47:48" x14ac:dyDescent="0.25">
      <c r="AU2673" s="7"/>
      <c r="AV2673" s="7"/>
    </row>
    <row r="2674" spans="47:48" x14ac:dyDescent="0.25">
      <c r="AU2674" s="7"/>
      <c r="AV2674" s="7"/>
    </row>
    <row r="2675" spans="47:48" x14ac:dyDescent="0.25">
      <c r="AU2675" s="7"/>
      <c r="AV2675" s="7"/>
    </row>
    <row r="2676" spans="47:48" x14ac:dyDescent="0.25">
      <c r="AU2676" s="7"/>
      <c r="AV2676" s="7"/>
    </row>
    <row r="2677" spans="47:48" x14ac:dyDescent="0.25">
      <c r="AU2677" s="7"/>
      <c r="AV2677" s="7"/>
    </row>
    <row r="2678" spans="47:48" x14ac:dyDescent="0.25">
      <c r="AU2678" s="7"/>
      <c r="AV2678" s="7"/>
    </row>
    <row r="2679" spans="47:48" x14ac:dyDescent="0.25">
      <c r="AU2679" s="7"/>
      <c r="AV2679" s="7"/>
    </row>
    <row r="2680" spans="47:48" x14ac:dyDescent="0.25">
      <c r="AU2680" s="7"/>
      <c r="AV2680" s="7"/>
    </row>
    <row r="2681" spans="47:48" x14ac:dyDescent="0.25">
      <c r="AU2681" s="7"/>
      <c r="AV2681" s="7"/>
    </row>
    <row r="2682" spans="47:48" x14ac:dyDescent="0.25">
      <c r="AU2682" s="7"/>
      <c r="AV2682" s="7"/>
    </row>
    <row r="2683" spans="47:48" x14ac:dyDescent="0.25">
      <c r="AU2683" s="7"/>
      <c r="AV2683" s="7"/>
    </row>
    <row r="2684" spans="47:48" x14ac:dyDescent="0.25">
      <c r="AU2684" s="7"/>
      <c r="AV2684" s="7"/>
    </row>
    <row r="2685" spans="47:48" x14ac:dyDescent="0.25">
      <c r="AU2685" s="7"/>
      <c r="AV2685" s="7"/>
    </row>
    <row r="2686" spans="47:48" x14ac:dyDescent="0.25">
      <c r="AU2686" s="7"/>
      <c r="AV2686" s="7"/>
    </row>
    <row r="2687" spans="47:48" x14ac:dyDescent="0.25">
      <c r="AU2687" s="7"/>
      <c r="AV2687" s="7"/>
    </row>
    <row r="2688" spans="47:48" x14ac:dyDescent="0.25">
      <c r="AU2688" s="7"/>
      <c r="AV2688" s="7"/>
    </row>
    <row r="2689" spans="47:48" x14ac:dyDescent="0.25">
      <c r="AU2689" s="7"/>
      <c r="AV2689" s="7"/>
    </row>
    <row r="2690" spans="47:48" x14ac:dyDescent="0.25">
      <c r="AU2690" s="7"/>
      <c r="AV2690" s="7"/>
    </row>
    <row r="2691" spans="47:48" x14ac:dyDescent="0.25">
      <c r="AU2691" s="7"/>
      <c r="AV2691" s="7"/>
    </row>
    <row r="2692" spans="47:48" x14ac:dyDescent="0.25">
      <c r="AU2692" s="7"/>
      <c r="AV2692" s="7"/>
    </row>
    <row r="2693" spans="47:48" x14ac:dyDescent="0.25">
      <c r="AU2693" s="7"/>
      <c r="AV2693" s="7"/>
    </row>
    <row r="2694" spans="47:48" x14ac:dyDescent="0.25">
      <c r="AU2694" s="7"/>
      <c r="AV2694" s="7"/>
    </row>
    <row r="2695" spans="47:48" x14ac:dyDescent="0.25">
      <c r="AU2695" s="7"/>
      <c r="AV2695" s="7"/>
    </row>
    <row r="2696" spans="47:48" x14ac:dyDescent="0.25">
      <c r="AU2696" s="7"/>
      <c r="AV2696" s="7"/>
    </row>
    <row r="2697" spans="47:48" x14ac:dyDescent="0.25">
      <c r="AU2697" s="7"/>
      <c r="AV2697" s="7"/>
    </row>
    <row r="2698" spans="47:48" x14ac:dyDescent="0.25">
      <c r="AU2698" s="7"/>
      <c r="AV2698" s="7"/>
    </row>
    <row r="2699" spans="47:48" x14ac:dyDescent="0.25">
      <c r="AU2699" s="7"/>
      <c r="AV2699" s="7"/>
    </row>
    <row r="2700" spans="47:48" x14ac:dyDescent="0.25">
      <c r="AU2700" s="7"/>
      <c r="AV2700" s="7"/>
    </row>
    <row r="2701" spans="47:48" x14ac:dyDescent="0.25">
      <c r="AU2701" s="7"/>
      <c r="AV2701" s="7"/>
    </row>
    <row r="2702" spans="47:48" x14ac:dyDescent="0.25">
      <c r="AU2702" s="7"/>
      <c r="AV2702" s="7"/>
    </row>
    <row r="2703" spans="47:48" x14ac:dyDescent="0.25">
      <c r="AU2703" s="7"/>
      <c r="AV2703" s="7"/>
    </row>
    <row r="2704" spans="47:48" x14ac:dyDescent="0.25">
      <c r="AU2704" s="7"/>
      <c r="AV2704" s="7"/>
    </row>
    <row r="2705" spans="47:48" x14ac:dyDescent="0.25">
      <c r="AU2705" s="7"/>
      <c r="AV2705" s="7"/>
    </row>
    <row r="2706" spans="47:48" x14ac:dyDescent="0.25">
      <c r="AU2706" s="7"/>
      <c r="AV2706" s="7"/>
    </row>
    <row r="2707" spans="47:48" x14ac:dyDescent="0.25">
      <c r="AU2707" s="7"/>
      <c r="AV2707" s="7"/>
    </row>
    <row r="2708" spans="47:48" x14ac:dyDescent="0.25">
      <c r="AU2708" s="7"/>
      <c r="AV2708" s="7"/>
    </row>
    <row r="2709" spans="47:48" x14ac:dyDescent="0.25">
      <c r="AU2709" s="7"/>
      <c r="AV2709" s="7"/>
    </row>
    <row r="2710" spans="47:48" x14ac:dyDescent="0.25">
      <c r="AU2710" s="7"/>
      <c r="AV2710" s="7"/>
    </row>
    <row r="2711" spans="47:48" x14ac:dyDescent="0.25">
      <c r="AU2711" s="7"/>
      <c r="AV2711" s="7"/>
    </row>
    <row r="2712" spans="47:48" x14ac:dyDescent="0.25">
      <c r="AU2712" s="7"/>
      <c r="AV2712" s="7"/>
    </row>
    <row r="2713" spans="47:48" x14ac:dyDescent="0.25">
      <c r="AU2713" s="7"/>
      <c r="AV2713" s="7"/>
    </row>
    <row r="2714" spans="47:48" x14ac:dyDescent="0.25">
      <c r="AU2714" s="7"/>
      <c r="AV2714" s="7"/>
    </row>
    <row r="2715" spans="47:48" x14ac:dyDescent="0.25">
      <c r="AU2715" s="7"/>
      <c r="AV2715" s="7"/>
    </row>
    <row r="2716" spans="47:48" x14ac:dyDescent="0.25">
      <c r="AU2716" s="7"/>
      <c r="AV2716" s="7"/>
    </row>
    <row r="2717" spans="47:48" x14ac:dyDescent="0.25">
      <c r="AU2717" s="7"/>
      <c r="AV2717" s="7"/>
    </row>
    <row r="2718" spans="47:48" x14ac:dyDescent="0.25">
      <c r="AU2718" s="7"/>
      <c r="AV2718" s="7"/>
    </row>
    <row r="2719" spans="47:48" x14ac:dyDescent="0.25">
      <c r="AU2719" s="7"/>
      <c r="AV2719" s="7"/>
    </row>
    <row r="2720" spans="47:48" x14ac:dyDescent="0.25">
      <c r="AU2720" s="7"/>
      <c r="AV2720" s="7"/>
    </row>
    <row r="2721" spans="47:48" x14ac:dyDescent="0.25">
      <c r="AU2721" s="7"/>
      <c r="AV2721" s="7"/>
    </row>
    <row r="2722" spans="47:48" x14ac:dyDescent="0.25">
      <c r="AU2722" s="7"/>
      <c r="AV2722" s="7"/>
    </row>
    <row r="2723" spans="47:48" x14ac:dyDescent="0.25">
      <c r="AU2723" s="7"/>
      <c r="AV2723" s="7"/>
    </row>
    <row r="2724" spans="47:48" x14ac:dyDescent="0.25">
      <c r="AU2724" s="7"/>
      <c r="AV2724" s="7"/>
    </row>
    <row r="2725" spans="47:48" x14ac:dyDescent="0.25">
      <c r="AU2725" s="7"/>
      <c r="AV2725" s="7"/>
    </row>
    <row r="2726" spans="47:48" x14ac:dyDescent="0.25">
      <c r="AU2726" s="7"/>
      <c r="AV2726" s="7"/>
    </row>
    <row r="2727" spans="47:48" x14ac:dyDescent="0.25">
      <c r="AU2727" s="7"/>
      <c r="AV2727" s="7"/>
    </row>
    <row r="2728" spans="47:48" x14ac:dyDescent="0.25">
      <c r="AU2728" s="7"/>
      <c r="AV2728" s="7"/>
    </row>
    <row r="2729" spans="47:48" x14ac:dyDescent="0.25">
      <c r="AU2729" s="7"/>
      <c r="AV2729" s="7"/>
    </row>
    <row r="2730" spans="47:48" x14ac:dyDescent="0.25">
      <c r="AU2730" s="7"/>
      <c r="AV2730" s="7"/>
    </row>
    <row r="2731" spans="47:48" x14ac:dyDescent="0.25">
      <c r="AU2731" s="7"/>
      <c r="AV2731" s="7"/>
    </row>
    <row r="2732" spans="47:48" x14ac:dyDescent="0.25">
      <c r="AU2732" s="7"/>
      <c r="AV2732" s="7"/>
    </row>
    <row r="2733" spans="47:48" x14ac:dyDescent="0.25">
      <c r="AU2733" s="7"/>
      <c r="AV2733" s="7"/>
    </row>
    <row r="2734" spans="47:48" x14ac:dyDescent="0.25">
      <c r="AU2734" s="7"/>
      <c r="AV2734" s="7"/>
    </row>
    <row r="2735" spans="47:48" x14ac:dyDescent="0.25">
      <c r="AU2735" s="7"/>
      <c r="AV2735" s="7"/>
    </row>
    <row r="2736" spans="47:48" x14ac:dyDescent="0.25">
      <c r="AU2736" s="7"/>
      <c r="AV2736" s="7"/>
    </row>
    <row r="2737" spans="47:48" x14ac:dyDescent="0.25">
      <c r="AU2737" s="7"/>
      <c r="AV2737" s="7"/>
    </row>
    <row r="2738" spans="47:48" x14ac:dyDescent="0.25">
      <c r="AU2738" s="7"/>
      <c r="AV2738" s="7"/>
    </row>
    <row r="2739" spans="47:48" x14ac:dyDescent="0.25">
      <c r="AU2739" s="7"/>
      <c r="AV2739" s="7"/>
    </row>
    <row r="2740" spans="47:48" x14ac:dyDescent="0.25">
      <c r="AU2740" s="7"/>
      <c r="AV2740" s="7"/>
    </row>
    <row r="2741" spans="47:48" x14ac:dyDescent="0.25">
      <c r="AU2741" s="7"/>
      <c r="AV2741" s="7"/>
    </row>
    <row r="2742" spans="47:48" x14ac:dyDescent="0.25">
      <c r="AU2742" s="7"/>
      <c r="AV2742" s="7"/>
    </row>
    <row r="2743" spans="47:48" x14ac:dyDescent="0.25">
      <c r="AU2743" s="7"/>
      <c r="AV2743" s="7"/>
    </row>
    <row r="2744" spans="47:48" x14ac:dyDescent="0.25">
      <c r="AU2744" s="7"/>
      <c r="AV2744" s="7"/>
    </row>
    <row r="2745" spans="47:48" x14ac:dyDescent="0.25">
      <c r="AU2745" s="7"/>
      <c r="AV2745" s="7"/>
    </row>
    <row r="2746" spans="47:48" x14ac:dyDescent="0.25">
      <c r="AU2746" s="7"/>
      <c r="AV2746" s="7"/>
    </row>
    <row r="2747" spans="47:48" x14ac:dyDescent="0.25">
      <c r="AU2747" s="7"/>
      <c r="AV2747" s="7"/>
    </row>
    <row r="2748" spans="47:48" x14ac:dyDescent="0.25">
      <c r="AU2748" s="7"/>
      <c r="AV2748" s="7"/>
    </row>
    <row r="2749" spans="47:48" x14ac:dyDescent="0.25">
      <c r="AU2749" s="7"/>
      <c r="AV2749" s="7"/>
    </row>
    <row r="2750" spans="47:48" x14ac:dyDescent="0.25">
      <c r="AU2750" s="7"/>
      <c r="AV2750" s="7"/>
    </row>
    <row r="2751" spans="47:48" x14ac:dyDescent="0.25">
      <c r="AU2751" s="7"/>
      <c r="AV2751" s="7"/>
    </row>
    <row r="2752" spans="47:48" x14ac:dyDescent="0.25">
      <c r="AU2752" s="7"/>
      <c r="AV2752" s="7"/>
    </row>
    <row r="2753" spans="47:48" x14ac:dyDescent="0.25">
      <c r="AU2753" s="7"/>
      <c r="AV2753" s="7"/>
    </row>
    <row r="2754" spans="47:48" x14ac:dyDescent="0.25">
      <c r="AU2754" s="7"/>
      <c r="AV2754" s="7"/>
    </row>
    <row r="2755" spans="47:48" x14ac:dyDescent="0.25">
      <c r="AU2755" s="7"/>
      <c r="AV2755" s="7"/>
    </row>
    <row r="2756" spans="47:48" x14ac:dyDescent="0.25">
      <c r="AU2756" s="7"/>
      <c r="AV2756" s="7"/>
    </row>
    <row r="2757" spans="47:48" x14ac:dyDescent="0.25">
      <c r="AU2757" s="7"/>
      <c r="AV2757" s="7"/>
    </row>
    <row r="2758" spans="47:48" x14ac:dyDescent="0.25">
      <c r="AU2758" s="7"/>
      <c r="AV2758" s="7"/>
    </row>
    <row r="2759" spans="47:48" x14ac:dyDescent="0.25">
      <c r="AU2759" s="7"/>
      <c r="AV2759" s="7"/>
    </row>
    <row r="2760" spans="47:48" x14ac:dyDescent="0.25">
      <c r="AU2760" s="7"/>
      <c r="AV2760" s="7"/>
    </row>
    <row r="2761" spans="47:48" x14ac:dyDescent="0.25">
      <c r="AU2761" s="7"/>
      <c r="AV2761" s="7"/>
    </row>
    <row r="2762" spans="47:48" x14ac:dyDescent="0.25">
      <c r="AU2762" s="7"/>
      <c r="AV2762" s="7"/>
    </row>
    <row r="2763" spans="47:48" x14ac:dyDescent="0.25">
      <c r="AU2763" s="7"/>
      <c r="AV2763" s="7"/>
    </row>
    <row r="2764" spans="47:48" x14ac:dyDescent="0.25">
      <c r="AU2764" s="7"/>
      <c r="AV2764" s="7"/>
    </row>
    <row r="2765" spans="47:48" x14ac:dyDescent="0.25">
      <c r="AU2765" s="7"/>
      <c r="AV2765" s="7"/>
    </row>
    <row r="2766" spans="47:48" x14ac:dyDescent="0.25">
      <c r="AU2766" s="7"/>
      <c r="AV2766" s="7"/>
    </row>
    <row r="2767" spans="47:48" x14ac:dyDescent="0.25">
      <c r="AU2767" s="7"/>
      <c r="AV2767" s="7"/>
    </row>
    <row r="2768" spans="47:48" x14ac:dyDescent="0.25">
      <c r="AU2768" s="7"/>
      <c r="AV2768" s="7"/>
    </row>
    <row r="2769" spans="47:48" x14ac:dyDescent="0.25">
      <c r="AU2769" s="7"/>
      <c r="AV2769" s="7"/>
    </row>
    <row r="2770" spans="47:48" x14ac:dyDescent="0.25">
      <c r="AU2770" s="7"/>
      <c r="AV2770" s="7"/>
    </row>
    <row r="2771" spans="47:48" x14ac:dyDescent="0.25">
      <c r="AU2771" s="7"/>
      <c r="AV2771" s="7"/>
    </row>
    <row r="2772" spans="47:48" x14ac:dyDescent="0.25">
      <c r="AU2772" s="7"/>
      <c r="AV2772" s="7"/>
    </row>
    <row r="2773" spans="47:48" x14ac:dyDescent="0.25">
      <c r="AU2773" s="7"/>
      <c r="AV2773" s="7"/>
    </row>
    <row r="2774" spans="47:48" x14ac:dyDescent="0.25">
      <c r="AU2774" s="7"/>
      <c r="AV2774" s="7"/>
    </row>
    <row r="2775" spans="47:48" x14ac:dyDescent="0.25">
      <c r="AU2775" s="7"/>
      <c r="AV2775" s="7"/>
    </row>
    <row r="2776" spans="47:48" x14ac:dyDescent="0.25">
      <c r="AU2776" s="7"/>
      <c r="AV2776" s="7"/>
    </row>
    <row r="2777" spans="47:48" x14ac:dyDescent="0.25">
      <c r="AU2777" s="7"/>
      <c r="AV2777" s="7"/>
    </row>
    <row r="2778" spans="47:48" x14ac:dyDescent="0.25">
      <c r="AU2778" s="7"/>
      <c r="AV2778" s="7"/>
    </row>
    <row r="2779" spans="47:48" x14ac:dyDescent="0.25">
      <c r="AU2779" s="7"/>
      <c r="AV2779" s="7"/>
    </row>
    <row r="2780" spans="47:48" x14ac:dyDescent="0.25">
      <c r="AU2780" s="7"/>
      <c r="AV2780" s="7"/>
    </row>
    <row r="2781" spans="47:48" x14ac:dyDescent="0.25">
      <c r="AU2781" s="7"/>
      <c r="AV2781" s="7"/>
    </row>
    <row r="2782" spans="47:48" x14ac:dyDescent="0.25">
      <c r="AU2782" s="7"/>
      <c r="AV2782" s="7"/>
    </row>
    <row r="2783" spans="47:48" x14ac:dyDescent="0.25">
      <c r="AU2783" s="7"/>
      <c r="AV2783" s="7"/>
    </row>
    <row r="2784" spans="47:48" x14ac:dyDescent="0.25">
      <c r="AU2784" s="7"/>
      <c r="AV2784" s="7"/>
    </row>
    <row r="2785" spans="47:48" x14ac:dyDescent="0.25">
      <c r="AU2785" s="7"/>
      <c r="AV2785" s="7"/>
    </row>
    <row r="2786" spans="47:48" x14ac:dyDescent="0.25">
      <c r="AU2786" s="7"/>
      <c r="AV2786" s="7"/>
    </row>
    <row r="2787" spans="47:48" x14ac:dyDescent="0.25">
      <c r="AU2787" s="7"/>
      <c r="AV2787" s="7"/>
    </row>
    <row r="2788" spans="47:48" x14ac:dyDescent="0.25">
      <c r="AU2788" s="7"/>
      <c r="AV2788" s="7"/>
    </row>
    <row r="2789" spans="47:48" x14ac:dyDescent="0.25">
      <c r="AU2789" s="7"/>
      <c r="AV2789" s="7"/>
    </row>
    <row r="2790" spans="47:48" x14ac:dyDescent="0.25">
      <c r="AU2790" s="7"/>
      <c r="AV2790" s="7"/>
    </row>
    <row r="2791" spans="47:48" x14ac:dyDescent="0.25">
      <c r="AU2791" s="7"/>
      <c r="AV2791" s="7"/>
    </row>
    <row r="2792" spans="47:48" x14ac:dyDescent="0.25">
      <c r="AU2792" s="7"/>
      <c r="AV2792" s="7"/>
    </row>
    <row r="2793" spans="47:48" x14ac:dyDescent="0.25">
      <c r="AU2793" s="7"/>
      <c r="AV2793" s="7"/>
    </row>
    <row r="2794" spans="47:48" x14ac:dyDescent="0.25">
      <c r="AU2794" s="7"/>
      <c r="AV2794" s="7"/>
    </row>
    <row r="2795" spans="47:48" x14ac:dyDescent="0.25">
      <c r="AU2795" s="7"/>
      <c r="AV2795" s="7"/>
    </row>
    <row r="2796" spans="47:48" x14ac:dyDescent="0.25">
      <c r="AU2796" s="7"/>
      <c r="AV2796" s="7"/>
    </row>
    <row r="2797" spans="47:48" x14ac:dyDescent="0.25">
      <c r="AU2797" s="7"/>
      <c r="AV2797" s="7"/>
    </row>
    <row r="2798" spans="47:48" x14ac:dyDescent="0.25">
      <c r="AU2798" s="7"/>
      <c r="AV2798" s="7"/>
    </row>
    <row r="2799" spans="47:48" x14ac:dyDescent="0.25">
      <c r="AU2799" s="7"/>
      <c r="AV2799" s="7"/>
    </row>
    <row r="2800" spans="47:48" x14ac:dyDescent="0.25">
      <c r="AU2800" s="7"/>
      <c r="AV2800" s="7"/>
    </row>
    <row r="2801" spans="47:48" x14ac:dyDescent="0.25">
      <c r="AU2801" s="7"/>
      <c r="AV2801" s="7"/>
    </row>
    <row r="2802" spans="47:48" x14ac:dyDescent="0.25">
      <c r="AU2802" s="7"/>
      <c r="AV2802" s="7"/>
    </row>
    <row r="2803" spans="47:48" x14ac:dyDescent="0.25">
      <c r="AU2803" s="7"/>
      <c r="AV2803" s="7"/>
    </row>
    <row r="2804" spans="47:48" x14ac:dyDescent="0.25">
      <c r="AU2804" s="7"/>
      <c r="AV2804" s="7"/>
    </row>
    <row r="2805" spans="47:48" x14ac:dyDescent="0.25">
      <c r="AU2805" s="7"/>
      <c r="AV2805" s="7"/>
    </row>
    <row r="2806" spans="47:48" x14ac:dyDescent="0.25">
      <c r="AU2806" s="7"/>
      <c r="AV2806" s="7"/>
    </row>
    <row r="2807" spans="47:48" x14ac:dyDescent="0.25">
      <c r="AU2807" s="7"/>
      <c r="AV2807" s="7"/>
    </row>
    <row r="2808" spans="47:48" x14ac:dyDescent="0.25">
      <c r="AU2808" s="7"/>
      <c r="AV2808" s="7"/>
    </row>
    <row r="2809" spans="47:48" x14ac:dyDescent="0.25">
      <c r="AU2809" s="7"/>
      <c r="AV2809" s="7"/>
    </row>
    <row r="2810" spans="47:48" x14ac:dyDescent="0.25">
      <c r="AU2810" s="7"/>
      <c r="AV2810" s="7"/>
    </row>
    <row r="2811" spans="47:48" x14ac:dyDescent="0.25">
      <c r="AU2811" s="7"/>
      <c r="AV2811" s="7"/>
    </row>
    <row r="2812" spans="47:48" x14ac:dyDescent="0.25">
      <c r="AU2812" s="7"/>
      <c r="AV2812" s="7"/>
    </row>
    <row r="2813" spans="47:48" x14ac:dyDescent="0.25">
      <c r="AU2813" s="7"/>
      <c r="AV2813" s="7"/>
    </row>
    <row r="2814" spans="47:48" x14ac:dyDescent="0.25">
      <c r="AU2814" s="7"/>
      <c r="AV2814" s="7"/>
    </row>
    <row r="2815" spans="47:48" x14ac:dyDescent="0.25">
      <c r="AU2815" s="7"/>
      <c r="AV2815" s="7"/>
    </row>
    <row r="2816" spans="47:48" x14ac:dyDescent="0.25">
      <c r="AU2816" s="7"/>
      <c r="AV2816" s="7"/>
    </row>
    <row r="2817" spans="47:48" x14ac:dyDescent="0.25">
      <c r="AU2817" s="7"/>
      <c r="AV2817" s="7"/>
    </row>
    <row r="2818" spans="47:48" x14ac:dyDescent="0.25">
      <c r="AU2818" s="7"/>
      <c r="AV2818" s="7"/>
    </row>
    <row r="2819" spans="47:48" x14ac:dyDescent="0.25">
      <c r="AU2819" s="7"/>
      <c r="AV2819" s="7"/>
    </row>
    <row r="2820" spans="47:48" x14ac:dyDescent="0.25">
      <c r="AU2820" s="7"/>
      <c r="AV2820" s="7"/>
    </row>
    <row r="2821" spans="47:48" x14ac:dyDescent="0.25">
      <c r="AU2821" s="7"/>
      <c r="AV2821" s="7"/>
    </row>
    <row r="2822" spans="47:48" x14ac:dyDescent="0.25">
      <c r="AU2822" s="7"/>
      <c r="AV2822" s="7"/>
    </row>
    <row r="2823" spans="47:48" x14ac:dyDescent="0.25">
      <c r="AU2823" s="7"/>
      <c r="AV2823" s="7"/>
    </row>
    <row r="2824" spans="47:48" x14ac:dyDescent="0.25">
      <c r="AU2824" s="7"/>
      <c r="AV2824" s="7"/>
    </row>
    <row r="2825" spans="47:48" x14ac:dyDescent="0.25">
      <c r="AU2825" s="7"/>
      <c r="AV2825" s="7"/>
    </row>
    <row r="2826" spans="47:48" x14ac:dyDescent="0.25">
      <c r="AU2826" s="7"/>
      <c r="AV2826" s="7"/>
    </row>
    <row r="2827" spans="47:48" x14ac:dyDescent="0.25">
      <c r="AU2827" s="7"/>
      <c r="AV2827" s="7"/>
    </row>
    <row r="2828" spans="47:48" x14ac:dyDescent="0.25">
      <c r="AU2828" s="7"/>
      <c r="AV2828" s="7"/>
    </row>
    <row r="2829" spans="47:48" x14ac:dyDescent="0.25">
      <c r="AU2829" s="7"/>
      <c r="AV2829" s="7"/>
    </row>
    <row r="2830" spans="47:48" x14ac:dyDescent="0.25">
      <c r="AU2830" s="7"/>
      <c r="AV2830" s="7"/>
    </row>
    <row r="2831" spans="47:48" x14ac:dyDescent="0.25">
      <c r="AU2831" s="7"/>
      <c r="AV2831" s="7"/>
    </row>
    <row r="2832" spans="47:48" x14ac:dyDescent="0.25">
      <c r="AU2832" s="7"/>
      <c r="AV2832" s="7"/>
    </row>
    <row r="2833" spans="47:48" x14ac:dyDescent="0.25">
      <c r="AU2833" s="7"/>
      <c r="AV2833" s="7"/>
    </row>
    <row r="2834" spans="47:48" x14ac:dyDescent="0.25">
      <c r="AU2834" s="7"/>
      <c r="AV2834" s="7"/>
    </row>
    <row r="2835" spans="47:48" x14ac:dyDescent="0.25">
      <c r="AU2835" s="7"/>
      <c r="AV2835" s="7"/>
    </row>
    <row r="2836" spans="47:48" x14ac:dyDescent="0.25">
      <c r="AU2836" s="7"/>
      <c r="AV2836" s="7"/>
    </row>
    <row r="2837" spans="47:48" x14ac:dyDescent="0.25">
      <c r="AU2837" s="7"/>
      <c r="AV2837" s="7"/>
    </row>
    <row r="2838" spans="47:48" x14ac:dyDescent="0.25">
      <c r="AU2838" s="7"/>
      <c r="AV2838" s="7"/>
    </row>
    <row r="2839" spans="47:48" x14ac:dyDescent="0.25">
      <c r="AU2839" s="7"/>
      <c r="AV2839" s="7"/>
    </row>
    <row r="2840" spans="47:48" x14ac:dyDescent="0.25">
      <c r="AU2840" s="7"/>
      <c r="AV2840" s="7"/>
    </row>
    <row r="2841" spans="47:48" x14ac:dyDescent="0.25">
      <c r="AU2841" s="7"/>
      <c r="AV2841" s="7"/>
    </row>
    <row r="2842" spans="47:48" x14ac:dyDescent="0.25">
      <c r="AU2842" s="7"/>
      <c r="AV2842" s="7"/>
    </row>
    <row r="2843" spans="47:48" x14ac:dyDescent="0.25">
      <c r="AU2843" s="7"/>
      <c r="AV2843" s="7"/>
    </row>
    <row r="2844" spans="47:48" x14ac:dyDescent="0.25">
      <c r="AU2844" s="7"/>
      <c r="AV2844" s="7"/>
    </row>
    <row r="2845" spans="47:48" x14ac:dyDescent="0.25">
      <c r="AU2845" s="7"/>
      <c r="AV2845" s="7"/>
    </row>
    <row r="2846" spans="47:48" x14ac:dyDescent="0.25">
      <c r="AU2846" s="7"/>
      <c r="AV2846" s="7"/>
    </row>
    <row r="2847" spans="47:48" x14ac:dyDescent="0.25">
      <c r="AU2847" s="7"/>
      <c r="AV2847" s="7"/>
    </row>
    <row r="2848" spans="47:48" x14ac:dyDescent="0.25">
      <c r="AU2848" s="7"/>
      <c r="AV2848" s="7"/>
    </row>
    <row r="2849" spans="47:48" x14ac:dyDescent="0.25">
      <c r="AU2849" s="7"/>
      <c r="AV2849" s="7"/>
    </row>
    <row r="2850" spans="47:48" x14ac:dyDescent="0.25">
      <c r="AU2850" s="7"/>
      <c r="AV2850" s="7"/>
    </row>
    <row r="2851" spans="47:48" x14ac:dyDescent="0.25">
      <c r="AU2851" s="7"/>
      <c r="AV2851" s="7"/>
    </row>
    <row r="2852" spans="47:48" x14ac:dyDescent="0.25">
      <c r="AU2852" s="7"/>
      <c r="AV2852" s="7"/>
    </row>
    <row r="2853" spans="47:48" x14ac:dyDescent="0.25">
      <c r="AU2853" s="7"/>
      <c r="AV2853" s="7"/>
    </row>
    <row r="2854" spans="47:48" x14ac:dyDescent="0.25">
      <c r="AU2854" s="7"/>
      <c r="AV2854" s="7"/>
    </row>
    <row r="2855" spans="47:48" x14ac:dyDescent="0.25">
      <c r="AU2855" s="7"/>
      <c r="AV2855" s="7"/>
    </row>
    <row r="2856" spans="47:48" x14ac:dyDescent="0.25">
      <c r="AU2856" s="7"/>
      <c r="AV2856" s="7"/>
    </row>
    <row r="2857" spans="47:48" x14ac:dyDescent="0.25">
      <c r="AU2857" s="7"/>
      <c r="AV2857" s="7"/>
    </row>
    <row r="2858" spans="47:48" x14ac:dyDescent="0.25">
      <c r="AU2858" s="7"/>
      <c r="AV2858" s="7"/>
    </row>
    <row r="2859" spans="47:48" x14ac:dyDescent="0.25">
      <c r="AU2859" s="7"/>
      <c r="AV2859" s="7"/>
    </row>
    <row r="2860" spans="47:48" x14ac:dyDescent="0.25">
      <c r="AU2860" s="7"/>
      <c r="AV2860" s="7"/>
    </row>
    <row r="2861" spans="47:48" x14ac:dyDescent="0.25">
      <c r="AU2861" s="7"/>
      <c r="AV2861" s="7"/>
    </row>
    <row r="2862" spans="47:48" x14ac:dyDescent="0.25">
      <c r="AU2862" s="7"/>
      <c r="AV2862" s="7"/>
    </row>
    <row r="2863" spans="47:48" x14ac:dyDescent="0.25">
      <c r="AU2863" s="7"/>
      <c r="AV2863" s="7"/>
    </row>
    <row r="2864" spans="47:48" x14ac:dyDescent="0.25">
      <c r="AU2864" s="7"/>
      <c r="AV2864" s="7"/>
    </row>
    <row r="2865" spans="47:48" x14ac:dyDescent="0.25">
      <c r="AU2865" s="7"/>
      <c r="AV2865" s="7"/>
    </row>
    <row r="2866" spans="47:48" x14ac:dyDescent="0.25">
      <c r="AU2866" s="7"/>
      <c r="AV2866" s="7"/>
    </row>
    <row r="2867" spans="47:48" x14ac:dyDescent="0.25">
      <c r="AU2867" s="7"/>
      <c r="AV2867" s="7"/>
    </row>
    <row r="2868" spans="47:48" x14ac:dyDescent="0.25">
      <c r="AU2868" s="7"/>
      <c r="AV2868" s="7"/>
    </row>
    <row r="2869" spans="47:48" x14ac:dyDescent="0.25">
      <c r="AU2869" s="7"/>
      <c r="AV2869" s="7"/>
    </row>
    <row r="2870" spans="47:48" x14ac:dyDescent="0.25">
      <c r="AU2870" s="7"/>
      <c r="AV2870" s="7"/>
    </row>
    <row r="2871" spans="47:48" x14ac:dyDescent="0.25">
      <c r="AU2871" s="7"/>
      <c r="AV2871" s="7"/>
    </row>
    <row r="2872" spans="47:48" x14ac:dyDescent="0.25">
      <c r="AU2872" s="7"/>
      <c r="AV2872" s="7"/>
    </row>
    <row r="2873" spans="47:48" x14ac:dyDescent="0.25">
      <c r="AU2873" s="7"/>
      <c r="AV2873" s="7"/>
    </row>
    <row r="2874" spans="47:48" x14ac:dyDescent="0.25">
      <c r="AU2874" s="7"/>
      <c r="AV2874" s="7"/>
    </row>
    <row r="2875" spans="47:48" x14ac:dyDescent="0.25">
      <c r="AU2875" s="7"/>
      <c r="AV2875" s="7"/>
    </row>
    <row r="2876" spans="47:48" x14ac:dyDescent="0.25">
      <c r="AU2876" s="7"/>
      <c r="AV2876" s="7"/>
    </row>
    <row r="2877" spans="47:48" x14ac:dyDescent="0.25">
      <c r="AU2877" s="7"/>
      <c r="AV2877" s="7"/>
    </row>
    <row r="2878" spans="47:48" x14ac:dyDescent="0.25">
      <c r="AU2878" s="7"/>
      <c r="AV2878" s="7"/>
    </row>
    <row r="2879" spans="47:48" x14ac:dyDescent="0.25">
      <c r="AU2879" s="7"/>
      <c r="AV2879" s="7"/>
    </row>
    <row r="2880" spans="47:48" x14ac:dyDescent="0.25">
      <c r="AU2880" s="7"/>
      <c r="AV2880" s="7"/>
    </row>
    <row r="2881" spans="47:48" x14ac:dyDescent="0.25">
      <c r="AU2881" s="7"/>
      <c r="AV2881" s="7"/>
    </row>
    <row r="2882" spans="47:48" x14ac:dyDescent="0.25">
      <c r="AU2882" s="7"/>
      <c r="AV2882" s="7"/>
    </row>
    <row r="2883" spans="47:48" x14ac:dyDescent="0.25">
      <c r="AU2883" s="7"/>
      <c r="AV2883" s="7"/>
    </row>
    <row r="2884" spans="47:48" x14ac:dyDescent="0.25">
      <c r="AU2884" s="7"/>
      <c r="AV2884" s="7"/>
    </row>
    <row r="2885" spans="47:48" x14ac:dyDescent="0.25">
      <c r="AU2885" s="7"/>
      <c r="AV2885" s="7"/>
    </row>
    <row r="2886" spans="47:48" x14ac:dyDescent="0.25">
      <c r="AU2886" s="7"/>
      <c r="AV2886" s="7"/>
    </row>
    <row r="2887" spans="47:48" x14ac:dyDescent="0.25">
      <c r="AU2887" s="7"/>
      <c r="AV2887" s="7"/>
    </row>
    <row r="2888" spans="47:48" x14ac:dyDescent="0.25">
      <c r="AU2888" s="7"/>
      <c r="AV2888" s="7"/>
    </row>
    <row r="2889" spans="47:48" x14ac:dyDescent="0.25">
      <c r="AU2889" s="7"/>
      <c r="AV2889" s="7"/>
    </row>
    <row r="2890" spans="47:48" x14ac:dyDescent="0.25">
      <c r="AU2890" s="7"/>
      <c r="AV2890" s="7"/>
    </row>
    <row r="2891" spans="47:48" x14ac:dyDescent="0.25">
      <c r="AU2891" s="7"/>
      <c r="AV2891" s="7"/>
    </row>
    <row r="2892" spans="47:48" x14ac:dyDescent="0.25">
      <c r="AU2892" s="7"/>
      <c r="AV2892" s="7"/>
    </row>
    <row r="2893" spans="47:48" x14ac:dyDescent="0.25">
      <c r="AU2893" s="7"/>
      <c r="AV2893" s="7"/>
    </row>
    <row r="2894" spans="47:48" x14ac:dyDescent="0.25">
      <c r="AU2894" s="7"/>
      <c r="AV2894" s="7"/>
    </row>
    <row r="2895" spans="47:48" x14ac:dyDescent="0.25">
      <c r="AU2895" s="7"/>
      <c r="AV2895" s="7"/>
    </row>
    <row r="2896" spans="47:48" x14ac:dyDescent="0.25">
      <c r="AU2896" s="7"/>
      <c r="AV2896" s="7"/>
    </row>
    <row r="2897" spans="47:48" x14ac:dyDescent="0.25">
      <c r="AU2897" s="7"/>
      <c r="AV2897" s="7"/>
    </row>
    <row r="2898" spans="47:48" x14ac:dyDescent="0.25">
      <c r="AU2898" s="7"/>
      <c r="AV2898" s="7"/>
    </row>
    <row r="2899" spans="47:48" x14ac:dyDescent="0.25">
      <c r="AU2899" s="7"/>
      <c r="AV2899" s="7"/>
    </row>
    <row r="2900" spans="47:48" x14ac:dyDescent="0.25">
      <c r="AU2900" s="7"/>
      <c r="AV2900" s="7"/>
    </row>
    <row r="2901" spans="47:48" x14ac:dyDescent="0.25">
      <c r="AU2901" s="7"/>
      <c r="AV2901" s="7"/>
    </row>
    <row r="2902" spans="47:48" x14ac:dyDescent="0.25">
      <c r="AU2902" s="7"/>
      <c r="AV2902" s="7"/>
    </row>
    <row r="2903" spans="47:48" x14ac:dyDescent="0.25">
      <c r="AU2903" s="7"/>
      <c r="AV2903" s="7"/>
    </row>
    <row r="2904" spans="47:48" x14ac:dyDescent="0.25">
      <c r="AU2904" s="7"/>
      <c r="AV2904" s="7"/>
    </row>
    <row r="2905" spans="47:48" x14ac:dyDescent="0.25">
      <c r="AU2905" s="7"/>
      <c r="AV2905" s="7"/>
    </row>
    <row r="2906" spans="47:48" x14ac:dyDescent="0.25">
      <c r="AU2906" s="7"/>
      <c r="AV2906" s="7"/>
    </row>
    <row r="2907" spans="47:48" x14ac:dyDescent="0.25">
      <c r="AU2907" s="7"/>
      <c r="AV2907" s="7"/>
    </row>
    <row r="2908" spans="47:48" x14ac:dyDescent="0.25">
      <c r="AU2908" s="7"/>
      <c r="AV2908" s="7"/>
    </row>
    <row r="2909" spans="47:48" x14ac:dyDescent="0.25">
      <c r="AU2909" s="7"/>
      <c r="AV2909" s="7"/>
    </row>
    <row r="2910" spans="47:48" x14ac:dyDescent="0.25">
      <c r="AU2910" s="7"/>
      <c r="AV2910" s="7"/>
    </row>
    <row r="2911" spans="47:48" x14ac:dyDescent="0.25">
      <c r="AU2911" s="7"/>
      <c r="AV2911" s="7"/>
    </row>
    <row r="2912" spans="47:48" x14ac:dyDescent="0.25">
      <c r="AU2912" s="7"/>
      <c r="AV2912" s="7"/>
    </row>
    <row r="2913" spans="47:48" x14ac:dyDescent="0.25">
      <c r="AU2913" s="7"/>
      <c r="AV2913" s="7"/>
    </row>
    <row r="2914" spans="47:48" x14ac:dyDescent="0.25">
      <c r="AU2914" s="7"/>
      <c r="AV2914" s="7"/>
    </row>
    <row r="2915" spans="47:48" x14ac:dyDescent="0.25">
      <c r="AU2915" s="7"/>
      <c r="AV2915" s="7"/>
    </row>
    <row r="2916" spans="47:48" x14ac:dyDescent="0.25">
      <c r="AU2916" s="7"/>
      <c r="AV2916" s="7"/>
    </row>
    <row r="2917" spans="47:48" x14ac:dyDescent="0.25">
      <c r="AU2917" s="7"/>
      <c r="AV2917" s="7"/>
    </row>
    <row r="2918" spans="47:48" x14ac:dyDescent="0.25">
      <c r="AU2918" s="7"/>
      <c r="AV2918" s="7"/>
    </row>
    <row r="2919" spans="47:48" x14ac:dyDescent="0.25">
      <c r="AU2919" s="7"/>
      <c r="AV2919" s="7"/>
    </row>
    <row r="2920" spans="47:48" x14ac:dyDescent="0.25">
      <c r="AU2920" s="7"/>
      <c r="AV2920" s="7"/>
    </row>
    <row r="2921" spans="47:48" x14ac:dyDescent="0.25">
      <c r="AU2921" s="7"/>
      <c r="AV2921" s="7"/>
    </row>
    <row r="2922" spans="47:48" x14ac:dyDescent="0.25">
      <c r="AU2922" s="7"/>
      <c r="AV2922" s="7"/>
    </row>
    <row r="2923" spans="47:48" x14ac:dyDescent="0.25">
      <c r="AU2923" s="7"/>
      <c r="AV2923" s="7"/>
    </row>
    <row r="2924" spans="47:48" x14ac:dyDescent="0.25">
      <c r="AU2924" s="7"/>
      <c r="AV2924" s="7"/>
    </row>
    <row r="2925" spans="47:48" x14ac:dyDescent="0.25">
      <c r="AU2925" s="7"/>
      <c r="AV2925" s="7"/>
    </row>
    <row r="2926" spans="47:48" x14ac:dyDescent="0.25">
      <c r="AU2926" s="7"/>
      <c r="AV2926" s="7"/>
    </row>
    <row r="2927" spans="47:48" x14ac:dyDescent="0.25">
      <c r="AU2927" s="7"/>
      <c r="AV2927" s="7"/>
    </row>
    <row r="2928" spans="47:48" x14ac:dyDescent="0.25">
      <c r="AU2928" s="7"/>
      <c r="AV2928" s="7"/>
    </row>
    <row r="2929" spans="47:48" x14ac:dyDescent="0.25">
      <c r="AU2929" s="7"/>
      <c r="AV2929" s="7"/>
    </row>
    <row r="2930" spans="47:48" x14ac:dyDescent="0.25">
      <c r="AU2930" s="7"/>
      <c r="AV2930" s="7"/>
    </row>
    <row r="2931" spans="47:48" x14ac:dyDescent="0.25">
      <c r="AU2931" s="7"/>
      <c r="AV2931" s="7"/>
    </row>
    <row r="2932" spans="47:48" x14ac:dyDescent="0.25">
      <c r="AU2932" s="7"/>
      <c r="AV2932" s="7"/>
    </row>
    <row r="2933" spans="47:48" x14ac:dyDescent="0.25">
      <c r="AU2933" s="7"/>
      <c r="AV2933" s="7"/>
    </row>
    <row r="2934" spans="47:48" x14ac:dyDescent="0.25">
      <c r="AU2934" s="7"/>
      <c r="AV2934" s="7"/>
    </row>
    <row r="2935" spans="47:48" x14ac:dyDescent="0.25">
      <c r="AU2935" s="7"/>
      <c r="AV2935" s="7"/>
    </row>
    <row r="2936" spans="47:48" x14ac:dyDescent="0.25">
      <c r="AU2936" s="7"/>
      <c r="AV2936" s="7"/>
    </row>
    <row r="2937" spans="47:48" x14ac:dyDescent="0.25">
      <c r="AU2937" s="7"/>
      <c r="AV2937" s="7"/>
    </row>
    <row r="2938" spans="47:48" x14ac:dyDescent="0.25">
      <c r="AU2938" s="7"/>
      <c r="AV2938" s="7"/>
    </row>
    <row r="2939" spans="47:48" x14ac:dyDescent="0.25">
      <c r="AU2939" s="7"/>
      <c r="AV2939" s="7"/>
    </row>
    <row r="2940" spans="47:48" x14ac:dyDescent="0.25">
      <c r="AU2940" s="7"/>
      <c r="AV2940" s="7"/>
    </row>
    <row r="2941" spans="47:48" x14ac:dyDescent="0.25">
      <c r="AU2941" s="7"/>
      <c r="AV2941" s="7"/>
    </row>
    <row r="2942" spans="47:48" x14ac:dyDescent="0.25">
      <c r="AU2942" s="7"/>
      <c r="AV2942" s="7"/>
    </row>
    <row r="2943" spans="47:48" x14ac:dyDescent="0.25">
      <c r="AU2943" s="7"/>
      <c r="AV2943" s="7"/>
    </row>
    <row r="2944" spans="47:48" x14ac:dyDescent="0.25">
      <c r="AU2944" s="7"/>
      <c r="AV2944" s="7"/>
    </row>
    <row r="2945" spans="47:48" x14ac:dyDescent="0.25">
      <c r="AU2945" s="7"/>
      <c r="AV2945" s="7"/>
    </row>
    <row r="2946" spans="47:48" x14ac:dyDescent="0.25">
      <c r="AU2946" s="7"/>
      <c r="AV2946" s="7"/>
    </row>
    <row r="2947" spans="47:48" x14ac:dyDescent="0.25">
      <c r="AU2947" s="7"/>
      <c r="AV2947" s="7"/>
    </row>
    <row r="2948" spans="47:48" x14ac:dyDescent="0.25">
      <c r="AU2948" s="7"/>
      <c r="AV2948" s="7"/>
    </row>
    <row r="2949" spans="47:48" x14ac:dyDescent="0.25">
      <c r="AU2949" s="7"/>
      <c r="AV2949" s="7"/>
    </row>
    <row r="2950" spans="47:48" x14ac:dyDescent="0.25">
      <c r="AU2950" s="7"/>
      <c r="AV2950" s="7"/>
    </row>
    <row r="2951" spans="47:48" x14ac:dyDescent="0.25">
      <c r="AU2951" s="7"/>
      <c r="AV2951" s="7"/>
    </row>
    <row r="2952" spans="47:48" x14ac:dyDescent="0.25">
      <c r="AU2952" s="7"/>
      <c r="AV2952" s="7"/>
    </row>
    <row r="2953" spans="47:48" x14ac:dyDescent="0.25">
      <c r="AU2953" s="7"/>
      <c r="AV2953" s="7"/>
    </row>
    <row r="2954" spans="47:48" x14ac:dyDescent="0.25">
      <c r="AU2954" s="7"/>
      <c r="AV2954" s="7"/>
    </row>
    <row r="2955" spans="47:48" x14ac:dyDescent="0.25">
      <c r="AU2955" s="7"/>
      <c r="AV2955" s="7"/>
    </row>
    <row r="2956" spans="47:48" x14ac:dyDescent="0.25">
      <c r="AU2956" s="7"/>
      <c r="AV2956" s="7"/>
    </row>
    <row r="2957" spans="47:48" x14ac:dyDescent="0.25">
      <c r="AU2957" s="7"/>
      <c r="AV2957" s="7"/>
    </row>
    <row r="2958" spans="47:48" x14ac:dyDescent="0.25">
      <c r="AU2958" s="7"/>
      <c r="AV2958" s="7"/>
    </row>
    <row r="2959" spans="47:48" x14ac:dyDescent="0.25">
      <c r="AU2959" s="7"/>
      <c r="AV2959" s="7"/>
    </row>
    <row r="2960" spans="47:48" x14ac:dyDescent="0.25">
      <c r="AU2960" s="7"/>
      <c r="AV2960" s="7"/>
    </row>
    <row r="2961" spans="47:48" x14ac:dyDescent="0.25">
      <c r="AU2961" s="7"/>
      <c r="AV2961" s="7"/>
    </row>
    <row r="2962" spans="47:48" x14ac:dyDescent="0.25">
      <c r="AU2962" s="7"/>
      <c r="AV2962" s="7"/>
    </row>
    <row r="2963" spans="47:48" x14ac:dyDescent="0.25">
      <c r="AU2963" s="7"/>
      <c r="AV2963" s="7"/>
    </row>
    <row r="2964" spans="47:48" x14ac:dyDescent="0.25">
      <c r="AU2964" s="7"/>
      <c r="AV2964" s="7"/>
    </row>
    <row r="2965" spans="47:48" x14ac:dyDescent="0.25">
      <c r="AU2965" s="7"/>
      <c r="AV2965" s="7"/>
    </row>
    <row r="2966" spans="47:48" x14ac:dyDescent="0.25">
      <c r="AU2966" s="7"/>
      <c r="AV2966" s="7"/>
    </row>
    <row r="2967" spans="47:48" x14ac:dyDescent="0.25">
      <c r="AU2967" s="7"/>
      <c r="AV2967" s="7"/>
    </row>
    <row r="2968" spans="47:48" x14ac:dyDescent="0.25">
      <c r="AU2968" s="7"/>
      <c r="AV2968" s="7"/>
    </row>
    <row r="2969" spans="47:48" x14ac:dyDescent="0.25">
      <c r="AU2969" s="7"/>
      <c r="AV2969" s="7"/>
    </row>
    <row r="2970" spans="47:48" x14ac:dyDescent="0.25">
      <c r="AU2970" s="7"/>
      <c r="AV2970" s="7"/>
    </row>
    <row r="2971" spans="47:48" x14ac:dyDescent="0.25">
      <c r="AU2971" s="7"/>
      <c r="AV2971" s="7"/>
    </row>
    <row r="2972" spans="47:48" x14ac:dyDescent="0.25">
      <c r="AU2972" s="7"/>
      <c r="AV2972" s="7"/>
    </row>
    <row r="2973" spans="47:48" x14ac:dyDescent="0.25">
      <c r="AU2973" s="7"/>
      <c r="AV2973" s="7"/>
    </row>
    <row r="2974" spans="47:48" x14ac:dyDescent="0.25">
      <c r="AU2974" s="7"/>
      <c r="AV2974" s="7"/>
    </row>
    <row r="2975" spans="47:48" x14ac:dyDescent="0.25">
      <c r="AU2975" s="7"/>
      <c r="AV2975" s="7"/>
    </row>
    <row r="2976" spans="47:48" x14ac:dyDescent="0.25">
      <c r="AU2976" s="7"/>
      <c r="AV2976" s="7"/>
    </row>
    <row r="2977" spans="47:48" x14ac:dyDescent="0.25">
      <c r="AU2977" s="7"/>
      <c r="AV2977" s="7"/>
    </row>
    <row r="2978" spans="47:48" x14ac:dyDescent="0.25">
      <c r="AU2978" s="7"/>
      <c r="AV2978" s="7"/>
    </row>
    <row r="2979" spans="47:48" x14ac:dyDescent="0.25">
      <c r="AU2979" s="7"/>
      <c r="AV2979" s="7"/>
    </row>
    <row r="2980" spans="47:48" x14ac:dyDescent="0.25">
      <c r="AU2980" s="7"/>
      <c r="AV2980" s="7"/>
    </row>
    <row r="2981" spans="47:48" x14ac:dyDescent="0.25">
      <c r="AU2981" s="7"/>
      <c r="AV2981" s="7"/>
    </row>
    <row r="2982" spans="47:48" x14ac:dyDescent="0.25">
      <c r="AU2982" s="7"/>
      <c r="AV2982" s="7"/>
    </row>
    <row r="2983" spans="47:48" x14ac:dyDescent="0.25">
      <c r="AU2983" s="7"/>
      <c r="AV2983" s="7"/>
    </row>
    <row r="2984" spans="47:48" x14ac:dyDescent="0.25">
      <c r="AU2984" s="7"/>
      <c r="AV2984" s="7"/>
    </row>
    <row r="2985" spans="47:48" x14ac:dyDescent="0.25">
      <c r="AU2985" s="7"/>
      <c r="AV2985" s="7"/>
    </row>
    <row r="2986" spans="47:48" x14ac:dyDescent="0.25">
      <c r="AU2986" s="7"/>
      <c r="AV2986" s="7"/>
    </row>
    <row r="2987" spans="47:48" x14ac:dyDescent="0.25">
      <c r="AU2987" s="7"/>
      <c r="AV2987" s="7"/>
    </row>
    <row r="2988" spans="47:48" x14ac:dyDescent="0.25">
      <c r="AU2988" s="7"/>
      <c r="AV2988" s="7"/>
    </row>
    <row r="2989" spans="47:48" x14ac:dyDescent="0.25">
      <c r="AU2989" s="7"/>
      <c r="AV2989" s="7"/>
    </row>
    <row r="2990" spans="47:48" x14ac:dyDescent="0.25">
      <c r="AU2990" s="7"/>
      <c r="AV2990" s="7"/>
    </row>
    <row r="2991" spans="47:48" x14ac:dyDescent="0.25">
      <c r="AU2991" s="7"/>
      <c r="AV2991" s="7"/>
    </row>
    <row r="2992" spans="47:48" x14ac:dyDescent="0.25">
      <c r="AU2992" s="7"/>
      <c r="AV2992" s="7"/>
    </row>
    <row r="2993" spans="47:48" x14ac:dyDescent="0.25">
      <c r="AU2993" s="7"/>
      <c r="AV2993" s="7"/>
    </row>
    <row r="2994" spans="47:48" x14ac:dyDescent="0.25">
      <c r="AU2994" s="7"/>
      <c r="AV2994" s="7"/>
    </row>
    <row r="2995" spans="47:48" x14ac:dyDescent="0.25">
      <c r="AU2995" s="7"/>
      <c r="AV2995" s="7"/>
    </row>
    <row r="2996" spans="47:48" x14ac:dyDescent="0.25">
      <c r="AU2996" s="7"/>
      <c r="AV2996" s="7"/>
    </row>
    <row r="2997" spans="47:48" x14ac:dyDescent="0.25">
      <c r="AU2997" s="7"/>
      <c r="AV2997" s="7"/>
    </row>
    <row r="2998" spans="47:48" x14ac:dyDescent="0.25">
      <c r="AU2998" s="7"/>
      <c r="AV2998" s="7"/>
    </row>
    <row r="2999" spans="47:48" x14ac:dyDescent="0.25">
      <c r="AU2999" s="7"/>
      <c r="AV2999" s="7"/>
    </row>
    <row r="3000" spans="47:48" x14ac:dyDescent="0.25">
      <c r="AU3000" s="7"/>
      <c r="AV3000" s="7"/>
    </row>
    <row r="3001" spans="47:48" x14ac:dyDescent="0.25">
      <c r="AU3001" s="7"/>
      <c r="AV3001" s="7"/>
    </row>
    <row r="3002" spans="47:48" x14ac:dyDescent="0.25">
      <c r="AU3002" s="7"/>
      <c r="AV3002" s="7"/>
    </row>
    <row r="3003" spans="47:48" x14ac:dyDescent="0.25">
      <c r="AU3003" s="7"/>
      <c r="AV3003" s="7"/>
    </row>
    <row r="3004" spans="47:48" x14ac:dyDescent="0.25">
      <c r="AU3004" s="7"/>
      <c r="AV3004" s="7"/>
    </row>
    <row r="3005" spans="47:48" x14ac:dyDescent="0.25">
      <c r="AU3005" s="7"/>
      <c r="AV3005" s="7"/>
    </row>
    <row r="3006" spans="47:48" x14ac:dyDescent="0.25">
      <c r="AU3006" s="7"/>
      <c r="AV3006" s="7"/>
    </row>
    <row r="3007" spans="47:48" x14ac:dyDescent="0.25">
      <c r="AU3007" s="7"/>
      <c r="AV3007" s="7"/>
    </row>
    <row r="3008" spans="47:48" x14ac:dyDescent="0.25">
      <c r="AU3008" s="7"/>
      <c r="AV3008" s="7"/>
    </row>
    <row r="3009" spans="47:48" x14ac:dyDescent="0.25">
      <c r="AU3009" s="7"/>
      <c r="AV3009" s="7"/>
    </row>
    <row r="3010" spans="47:48" x14ac:dyDescent="0.25">
      <c r="AU3010" s="7"/>
      <c r="AV3010" s="7"/>
    </row>
    <row r="3011" spans="47:48" x14ac:dyDescent="0.25">
      <c r="AU3011" s="7"/>
      <c r="AV3011" s="7"/>
    </row>
    <row r="3012" spans="47:48" x14ac:dyDescent="0.25">
      <c r="AU3012" s="7"/>
      <c r="AV3012" s="7"/>
    </row>
    <row r="3013" spans="47:48" x14ac:dyDescent="0.25">
      <c r="AU3013" s="7"/>
      <c r="AV3013" s="7"/>
    </row>
    <row r="3014" spans="47:48" x14ac:dyDescent="0.25">
      <c r="AU3014" s="7"/>
      <c r="AV3014" s="7"/>
    </row>
    <row r="3015" spans="47:48" x14ac:dyDescent="0.25">
      <c r="AU3015" s="7"/>
      <c r="AV3015" s="7"/>
    </row>
    <row r="3016" spans="47:48" x14ac:dyDescent="0.25">
      <c r="AU3016" s="7"/>
      <c r="AV3016" s="7"/>
    </row>
    <row r="3017" spans="47:48" x14ac:dyDescent="0.25">
      <c r="AU3017" s="7"/>
      <c r="AV3017" s="7"/>
    </row>
    <row r="3018" spans="47:48" x14ac:dyDescent="0.25">
      <c r="AU3018" s="7"/>
      <c r="AV3018" s="7"/>
    </row>
    <row r="3019" spans="47:48" x14ac:dyDescent="0.25">
      <c r="AU3019" s="7"/>
      <c r="AV3019" s="7"/>
    </row>
    <row r="3020" spans="47:48" x14ac:dyDescent="0.25">
      <c r="AU3020" s="7"/>
      <c r="AV3020" s="7"/>
    </row>
    <row r="3021" spans="47:48" x14ac:dyDescent="0.25">
      <c r="AU3021" s="7"/>
      <c r="AV3021" s="7"/>
    </row>
    <row r="3022" spans="47:48" x14ac:dyDescent="0.25">
      <c r="AU3022" s="7"/>
      <c r="AV3022" s="7"/>
    </row>
    <row r="3023" spans="47:48" x14ac:dyDescent="0.25">
      <c r="AU3023" s="7"/>
      <c r="AV3023" s="7"/>
    </row>
    <row r="3024" spans="47:48" x14ac:dyDescent="0.25">
      <c r="AU3024" s="7"/>
      <c r="AV3024" s="7"/>
    </row>
    <row r="3025" spans="47:48" x14ac:dyDescent="0.25">
      <c r="AU3025" s="7"/>
      <c r="AV3025" s="7"/>
    </row>
    <row r="3026" spans="47:48" x14ac:dyDescent="0.25">
      <c r="AU3026" s="7"/>
      <c r="AV3026" s="7"/>
    </row>
    <row r="3027" spans="47:48" x14ac:dyDescent="0.25">
      <c r="AU3027" s="7"/>
      <c r="AV3027" s="7"/>
    </row>
    <row r="3028" spans="47:48" x14ac:dyDescent="0.25">
      <c r="AU3028" s="7"/>
      <c r="AV3028" s="7"/>
    </row>
    <row r="3029" spans="47:48" x14ac:dyDescent="0.25">
      <c r="AU3029" s="7"/>
      <c r="AV3029" s="7"/>
    </row>
    <row r="3030" spans="47:48" x14ac:dyDescent="0.25">
      <c r="AU3030" s="7"/>
      <c r="AV3030" s="7"/>
    </row>
    <row r="3031" spans="47:48" x14ac:dyDescent="0.25">
      <c r="AU3031" s="7"/>
      <c r="AV3031" s="7"/>
    </row>
    <row r="3032" spans="47:48" x14ac:dyDescent="0.25">
      <c r="AU3032" s="7"/>
      <c r="AV3032" s="7"/>
    </row>
    <row r="3033" spans="47:48" x14ac:dyDescent="0.25">
      <c r="AU3033" s="7"/>
      <c r="AV3033" s="7"/>
    </row>
    <row r="3034" spans="47:48" x14ac:dyDescent="0.25">
      <c r="AU3034" s="7"/>
      <c r="AV3034" s="7"/>
    </row>
    <row r="3035" spans="47:48" x14ac:dyDescent="0.25">
      <c r="AU3035" s="7"/>
      <c r="AV3035" s="7"/>
    </row>
    <row r="3036" spans="47:48" x14ac:dyDescent="0.25">
      <c r="AU3036" s="7"/>
      <c r="AV3036" s="7"/>
    </row>
    <row r="3037" spans="47:48" x14ac:dyDescent="0.25">
      <c r="AU3037" s="7"/>
      <c r="AV3037" s="7"/>
    </row>
    <row r="3038" spans="47:48" x14ac:dyDescent="0.25">
      <c r="AU3038" s="7"/>
      <c r="AV3038" s="7"/>
    </row>
    <row r="3039" spans="47:48" x14ac:dyDescent="0.25">
      <c r="AU3039" s="7"/>
      <c r="AV3039" s="7"/>
    </row>
    <row r="3040" spans="47:48" x14ac:dyDescent="0.25">
      <c r="AU3040" s="7"/>
      <c r="AV3040" s="7"/>
    </row>
    <row r="3041" spans="47:48" x14ac:dyDescent="0.25">
      <c r="AU3041" s="7"/>
      <c r="AV3041" s="7"/>
    </row>
    <row r="3042" spans="47:48" x14ac:dyDescent="0.25">
      <c r="AU3042" s="7"/>
      <c r="AV3042" s="7"/>
    </row>
    <row r="3043" spans="47:48" x14ac:dyDescent="0.25">
      <c r="AU3043" s="7"/>
      <c r="AV3043" s="7"/>
    </row>
    <row r="3044" spans="47:48" x14ac:dyDescent="0.25">
      <c r="AU3044" s="7"/>
      <c r="AV3044" s="7"/>
    </row>
    <row r="3045" spans="47:48" x14ac:dyDescent="0.25">
      <c r="AU3045" s="7"/>
      <c r="AV3045" s="7"/>
    </row>
    <row r="3046" spans="47:48" x14ac:dyDescent="0.25">
      <c r="AU3046" s="7"/>
      <c r="AV3046" s="7"/>
    </row>
    <row r="3047" spans="47:48" x14ac:dyDescent="0.25">
      <c r="AU3047" s="7"/>
      <c r="AV3047" s="7"/>
    </row>
    <row r="3048" spans="47:48" x14ac:dyDescent="0.25">
      <c r="AU3048" s="7"/>
      <c r="AV3048" s="7"/>
    </row>
    <row r="3049" spans="47:48" x14ac:dyDescent="0.25">
      <c r="AU3049" s="7"/>
      <c r="AV3049" s="7"/>
    </row>
    <row r="3050" spans="47:48" x14ac:dyDescent="0.25">
      <c r="AU3050" s="7"/>
      <c r="AV3050" s="7"/>
    </row>
    <row r="3051" spans="47:48" x14ac:dyDescent="0.25">
      <c r="AU3051" s="7"/>
      <c r="AV3051" s="7"/>
    </row>
    <row r="3052" spans="47:48" x14ac:dyDescent="0.25">
      <c r="AU3052" s="7"/>
      <c r="AV3052" s="7"/>
    </row>
    <row r="3053" spans="47:48" x14ac:dyDescent="0.25">
      <c r="AU3053" s="7"/>
      <c r="AV3053" s="7"/>
    </row>
    <row r="3054" spans="47:48" x14ac:dyDescent="0.25">
      <c r="AU3054" s="7"/>
      <c r="AV3054" s="7"/>
    </row>
    <row r="3055" spans="47:48" x14ac:dyDescent="0.25">
      <c r="AU3055" s="7"/>
      <c r="AV3055" s="7"/>
    </row>
    <row r="3056" spans="47:48" x14ac:dyDescent="0.25">
      <c r="AU3056" s="7"/>
      <c r="AV3056" s="7"/>
    </row>
    <row r="3057" spans="47:48" x14ac:dyDescent="0.25">
      <c r="AU3057" s="7"/>
      <c r="AV3057" s="7"/>
    </row>
    <row r="3058" spans="47:48" x14ac:dyDescent="0.25">
      <c r="AU3058" s="7"/>
      <c r="AV3058" s="7"/>
    </row>
    <row r="3059" spans="47:48" x14ac:dyDescent="0.25">
      <c r="AU3059" s="7"/>
      <c r="AV3059" s="7"/>
    </row>
    <row r="3060" spans="47:48" x14ac:dyDescent="0.25">
      <c r="AU3060" s="7"/>
      <c r="AV3060" s="7"/>
    </row>
    <row r="3061" spans="47:48" x14ac:dyDescent="0.25">
      <c r="AU3061" s="7"/>
      <c r="AV3061" s="7"/>
    </row>
    <row r="3062" spans="47:48" x14ac:dyDescent="0.25">
      <c r="AU3062" s="7"/>
      <c r="AV3062" s="7"/>
    </row>
    <row r="3063" spans="47:48" x14ac:dyDescent="0.25">
      <c r="AU3063" s="7"/>
      <c r="AV3063" s="7"/>
    </row>
    <row r="3064" spans="47:48" x14ac:dyDescent="0.25">
      <c r="AU3064" s="7"/>
      <c r="AV3064" s="7"/>
    </row>
    <row r="3065" spans="47:48" x14ac:dyDescent="0.25">
      <c r="AU3065" s="7"/>
      <c r="AV3065" s="7"/>
    </row>
    <row r="3066" spans="47:48" x14ac:dyDescent="0.25">
      <c r="AU3066" s="7"/>
      <c r="AV3066" s="7"/>
    </row>
    <row r="3067" spans="47:48" x14ac:dyDescent="0.25">
      <c r="AU3067" s="7"/>
      <c r="AV3067" s="7"/>
    </row>
    <row r="3068" spans="47:48" x14ac:dyDescent="0.25">
      <c r="AU3068" s="7"/>
      <c r="AV3068" s="7"/>
    </row>
    <row r="3069" spans="47:48" x14ac:dyDescent="0.25">
      <c r="AU3069" s="7"/>
      <c r="AV3069" s="7"/>
    </row>
    <row r="3070" spans="47:48" x14ac:dyDescent="0.25">
      <c r="AU3070" s="7"/>
      <c r="AV3070" s="7"/>
    </row>
    <row r="3071" spans="47:48" x14ac:dyDescent="0.25">
      <c r="AU3071" s="7"/>
      <c r="AV3071" s="7"/>
    </row>
    <row r="3072" spans="47:48" x14ac:dyDescent="0.25">
      <c r="AU3072" s="7"/>
      <c r="AV3072" s="7"/>
    </row>
    <row r="3073" spans="47:48" x14ac:dyDescent="0.25">
      <c r="AU3073" s="7"/>
      <c r="AV3073" s="7"/>
    </row>
    <row r="3074" spans="47:48" x14ac:dyDescent="0.25">
      <c r="AU3074" s="7"/>
      <c r="AV3074" s="7"/>
    </row>
    <row r="3075" spans="47:48" x14ac:dyDescent="0.25">
      <c r="AU3075" s="7"/>
      <c r="AV3075" s="7"/>
    </row>
    <row r="3076" spans="47:48" x14ac:dyDescent="0.25">
      <c r="AU3076" s="7"/>
      <c r="AV3076" s="7"/>
    </row>
    <row r="3077" spans="47:48" x14ac:dyDescent="0.25">
      <c r="AU3077" s="7"/>
      <c r="AV3077" s="7"/>
    </row>
    <row r="3078" spans="47:48" x14ac:dyDescent="0.25">
      <c r="AU3078" s="7"/>
      <c r="AV3078" s="7"/>
    </row>
    <row r="3079" spans="47:48" x14ac:dyDescent="0.25">
      <c r="AU3079" s="7"/>
      <c r="AV3079" s="7"/>
    </row>
    <row r="3080" spans="47:48" x14ac:dyDescent="0.25">
      <c r="AU3080" s="7"/>
      <c r="AV3080" s="7"/>
    </row>
    <row r="3081" spans="47:48" x14ac:dyDescent="0.25">
      <c r="AU3081" s="7"/>
      <c r="AV3081" s="7"/>
    </row>
    <row r="3082" spans="47:48" x14ac:dyDescent="0.25">
      <c r="AU3082" s="7"/>
      <c r="AV3082" s="7"/>
    </row>
    <row r="3083" spans="47:48" x14ac:dyDescent="0.25">
      <c r="AU3083" s="7"/>
      <c r="AV3083" s="7"/>
    </row>
    <row r="3084" spans="47:48" x14ac:dyDescent="0.25">
      <c r="AU3084" s="7"/>
      <c r="AV3084" s="7"/>
    </row>
    <row r="3085" spans="47:48" x14ac:dyDescent="0.25">
      <c r="AU3085" s="7"/>
      <c r="AV3085" s="7"/>
    </row>
    <row r="3086" spans="47:48" x14ac:dyDescent="0.25">
      <c r="AU3086" s="7"/>
      <c r="AV3086" s="7"/>
    </row>
    <row r="3087" spans="47:48" x14ac:dyDescent="0.25">
      <c r="AU3087" s="7"/>
      <c r="AV3087" s="7"/>
    </row>
    <row r="3088" spans="47:48" x14ac:dyDescent="0.25">
      <c r="AU3088" s="7"/>
      <c r="AV3088" s="7"/>
    </row>
    <row r="3089" spans="47:48" x14ac:dyDescent="0.25">
      <c r="AU3089" s="7"/>
      <c r="AV3089" s="7"/>
    </row>
    <row r="3090" spans="47:48" x14ac:dyDescent="0.25">
      <c r="AU3090" s="7"/>
      <c r="AV3090" s="7"/>
    </row>
    <row r="3091" spans="47:48" x14ac:dyDescent="0.25">
      <c r="AU3091" s="7"/>
      <c r="AV3091" s="7"/>
    </row>
    <row r="3092" spans="47:48" x14ac:dyDescent="0.25">
      <c r="AU3092" s="7"/>
      <c r="AV3092" s="7"/>
    </row>
    <row r="3093" spans="47:48" x14ac:dyDescent="0.25">
      <c r="AU3093" s="7"/>
      <c r="AV3093" s="7"/>
    </row>
    <row r="3094" spans="47:48" x14ac:dyDescent="0.25">
      <c r="AU3094" s="7"/>
      <c r="AV3094" s="7"/>
    </row>
    <row r="3095" spans="47:48" x14ac:dyDescent="0.25">
      <c r="AU3095" s="7"/>
      <c r="AV3095" s="7"/>
    </row>
    <row r="3096" spans="47:48" x14ac:dyDescent="0.25">
      <c r="AU3096" s="7"/>
      <c r="AV3096" s="7"/>
    </row>
    <row r="3097" spans="47:48" x14ac:dyDescent="0.25">
      <c r="AU3097" s="7"/>
      <c r="AV3097" s="7"/>
    </row>
    <row r="3098" spans="47:48" x14ac:dyDescent="0.25">
      <c r="AU3098" s="7"/>
      <c r="AV3098" s="7"/>
    </row>
    <row r="3099" spans="47:48" x14ac:dyDescent="0.25">
      <c r="AU3099" s="7"/>
      <c r="AV3099" s="7"/>
    </row>
    <row r="3100" spans="47:48" x14ac:dyDescent="0.25">
      <c r="AU3100" s="7"/>
      <c r="AV3100" s="7"/>
    </row>
    <row r="3101" spans="47:48" x14ac:dyDescent="0.25">
      <c r="AU3101" s="7"/>
      <c r="AV3101" s="7"/>
    </row>
    <row r="3102" spans="47:48" x14ac:dyDescent="0.25">
      <c r="AU3102" s="7"/>
      <c r="AV3102" s="7"/>
    </row>
    <row r="3103" spans="47:48" x14ac:dyDescent="0.25">
      <c r="AU3103" s="7"/>
      <c r="AV3103" s="7"/>
    </row>
    <row r="3104" spans="47:48" x14ac:dyDescent="0.25">
      <c r="AU3104" s="7"/>
      <c r="AV3104" s="7"/>
    </row>
    <row r="3105" spans="47:48" x14ac:dyDescent="0.25">
      <c r="AU3105" s="7"/>
      <c r="AV3105" s="7"/>
    </row>
    <row r="3106" spans="47:48" x14ac:dyDescent="0.25">
      <c r="AU3106" s="7"/>
      <c r="AV3106" s="7"/>
    </row>
    <row r="3107" spans="47:48" x14ac:dyDescent="0.25">
      <c r="AU3107" s="7"/>
      <c r="AV3107" s="7"/>
    </row>
    <row r="3108" spans="47:48" x14ac:dyDescent="0.25">
      <c r="AU3108" s="7"/>
      <c r="AV3108" s="7"/>
    </row>
    <row r="3109" spans="47:48" x14ac:dyDescent="0.25">
      <c r="AU3109" s="7"/>
      <c r="AV3109" s="7"/>
    </row>
    <row r="3110" spans="47:48" x14ac:dyDescent="0.25">
      <c r="AU3110" s="7"/>
      <c r="AV3110" s="7"/>
    </row>
    <row r="3111" spans="47:48" x14ac:dyDescent="0.25">
      <c r="AU3111" s="7"/>
      <c r="AV3111" s="7"/>
    </row>
    <row r="3112" spans="47:48" x14ac:dyDescent="0.25">
      <c r="AU3112" s="7"/>
      <c r="AV3112" s="7"/>
    </row>
    <row r="3113" spans="47:48" x14ac:dyDescent="0.25">
      <c r="AU3113" s="7"/>
      <c r="AV3113" s="7"/>
    </row>
    <row r="3114" spans="47:48" x14ac:dyDescent="0.25">
      <c r="AU3114" s="7"/>
      <c r="AV3114" s="7"/>
    </row>
    <row r="3115" spans="47:48" x14ac:dyDescent="0.25">
      <c r="AU3115" s="7"/>
      <c r="AV3115" s="7"/>
    </row>
    <row r="3116" spans="47:48" x14ac:dyDescent="0.25">
      <c r="AU3116" s="7"/>
      <c r="AV3116" s="7"/>
    </row>
    <row r="3117" spans="47:48" x14ac:dyDescent="0.25">
      <c r="AU3117" s="7"/>
      <c r="AV3117" s="7"/>
    </row>
    <row r="3118" spans="47:48" x14ac:dyDescent="0.25">
      <c r="AU3118" s="7"/>
      <c r="AV3118" s="7"/>
    </row>
    <row r="3119" spans="47:48" x14ac:dyDescent="0.25">
      <c r="AU3119" s="7"/>
      <c r="AV3119" s="7"/>
    </row>
    <row r="3120" spans="47:48" x14ac:dyDescent="0.25">
      <c r="AU3120" s="7"/>
      <c r="AV3120" s="7"/>
    </row>
    <row r="3121" spans="47:48" x14ac:dyDescent="0.25">
      <c r="AU3121" s="7"/>
      <c r="AV3121" s="7"/>
    </row>
    <row r="3122" spans="47:48" x14ac:dyDescent="0.25">
      <c r="AU3122" s="7"/>
      <c r="AV3122" s="7"/>
    </row>
    <row r="3123" spans="47:48" x14ac:dyDescent="0.25">
      <c r="AU3123" s="7"/>
      <c r="AV3123" s="7"/>
    </row>
    <row r="3124" spans="47:48" x14ac:dyDescent="0.25">
      <c r="AU3124" s="7"/>
      <c r="AV3124" s="7"/>
    </row>
    <row r="3125" spans="47:48" x14ac:dyDescent="0.25">
      <c r="AU3125" s="7"/>
      <c r="AV3125" s="7"/>
    </row>
    <row r="3126" spans="47:48" x14ac:dyDescent="0.25">
      <c r="AU3126" s="7"/>
      <c r="AV3126" s="7"/>
    </row>
    <row r="3127" spans="47:48" x14ac:dyDescent="0.25">
      <c r="AU3127" s="7"/>
      <c r="AV3127" s="7"/>
    </row>
    <row r="3128" spans="47:48" x14ac:dyDescent="0.25">
      <c r="AU3128" s="7"/>
      <c r="AV3128" s="7"/>
    </row>
    <row r="3129" spans="47:48" x14ac:dyDescent="0.25">
      <c r="AU3129" s="7"/>
      <c r="AV3129" s="7"/>
    </row>
    <row r="3130" spans="47:48" x14ac:dyDescent="0.25">
      <c r="AU3130" s="7"/>
      <c r="AV3130" s="7"/>
    </row>
    <row r="3131" spans="47:48" x14ac:dyDescent="0.25">
      <c r="AU3131" s="7"/>
      <c r="AV3131" s="7"/>
    </row>
    <row r="3132" spans="47:48" x14ac:dyDescent="0.25">
      <c r="AU3132" s="7"/>
      <c r="AV3132" s="7"/>
    </row>
    <row r="3133" spans="47:48" x14ac:dyDescent="0.25">
      <c r="AU3133" s="7"/>
      <c r="AV3133" s="7"/>
    </row>
    <row r="3134" spans="47:48" x14ac:dyDescent="0.25">
      <c r="AU3134" s="7"/>
      <c r="AV3134" s="7"/>
    </row>
    <row r="3135" spans="47:48" x14ac:dyDescent="0.25">
      <c r="AU3135" s="7"/>
      <c r="AV3135" s="7"/>
    </row>
    <row r="3136" spans="47:48" x14ac:dyDescent="0.25">
      <c r="AU3136" s="7"/>
      <c r="AV3136" s="7"/>
    </row>
    <row r="3137" spans="47:48" x14ac:dyDescent="0.25">
      <c r="AU3137" s="7"/>
      <c r="AV3137" s="7"/>
    </row>
    <row r="3138" spans="47:48" x14ac:dyDescent="0.25">
      <c r="AU3138" s="7"/>
      <c r="AV3138" s="7"/>
    </row>
    <row r="3139" spans="47:48" x14ac:dyDescent="0.25">
      <c r="AU3139" s="7"/>
      <c r="AV3139" s="7"/>
    </row>
    <row r="3140" spans="47:48" x14ac:dyDescent="0.25">
      <c r="AU3140" s="7"/>
      <c r="AV3140" s="7"/>
    </row>
    <row r="3141" spans="47:48" x14ac:dyDescent="0.25">
      <c r="AU3141" s="7"/>
      <c r="AV3141" s="7"/>
    </row>
    <row r="3142" spans="47:48" x14ac:dyDescent="0.25">
      <c r="AU3142" s="7"/>
      <c r="AV3142" s="7"/>
    </row>
    <row r="3143" spans="47:48" x14ac:dyDescent="0.25">
      <c r="AU3143" s="7"/>
      <c r="AV3143" s="7"/>
    </row>
    <row r="3144" spans="47:48" x14ac:dyDescent="0.25">
      <c r="AU3144" s="7"/>
      <c r="AV3144" s="7"/>
    </row>
    <row r="3145" spans="47:48" x14ac:dyDescent="0.25">
      <c r="AU3145" s="7"/>
      <c r="AV3145" s="7"/>
    </row>
    <row r="3146" spans="47:48" x14ac:dyDescent="0.25">
      <c r="AU3146" s="7"/>
      <c r="AV3146" s="7"/>
    </row>
    <row r="3147" spans="47:48" x14ac:dyDescent="0.25">
      <c r="AU3147" s="7"/>
      <c r="AV3147" s="7"/>
    </row>
    <row r="3148" spans="47:48" x14ac:dyDescent="0.25">
      <c r="AU3148" s="7"/>
      <c r="AV3148" s="7"/>
    </row>
    <row r="3149" spans="47:48" x14ac:dyDescent="0.25">
      <c r="AU3149" s="7"/>
      <c r="AV3149" s="7"/>
    </row>
    <row r="3150" spans="47:48" x14ac:dyDescent="0.25">
      <c r="AU3150" s="7"/>
      <c r="AV3150" s="7"/>
    </row>
    <row r="3151" spans="47:48" x14ac:dyDescent="0.25">
      <c r="AU3151" s="7"/>
      <c r="AV3151" s="7"/>
    </row>
    <row r="3152" spans="47:48" x14ac:dyDescent="0.25">
      <c r="AU3152" s="7"/>
      <c r="AV3152" s="7"/>
    </row>
    <row r="3153" spans="47:48" x14ac:dyDescent="0.25">
      <c r="AU3153" s="7"/>
      <c r="AV3153" s="7"/>
    </row>
    <row r="3154" spans="47:48" x14ac:dyDescent="0.25">
      <c r="AU3154" s="7"/>
      <c r="AV3154" s="7"/>
    </row>
    <row r="3155" spans="47:48" x14ac:dyDescent="0.25">
      <c r="AU3155" s="7"/>
      <c r="AV3155" s="7"/>
    </row>
    <row r="3156" spans="47:48" x14ac:dyDescent="0.25">
      <c r="AU3156" s="7"/>
      <c r="AV3156" s="7"/>
    </row>
    <row r="3157" spans="47:48" x14ac:dyDescent="0.25">
      <c r="AU3157" s="7"/>
      <c r="AV3157" s="7"/>
    </row>
    <row r="3158" spans="47:48" x14ac:dyDescent="0.25">
      <c r="AU3158" s="7"/>
      <c r="AV3158" s="7"/>
    </row>
    <row r="3159" spans="47:48" x14ac:dyDescent="0.25">
      <c r="AU3159" s="7"/>
      <c r="AV3159" s="7"/>
    </row>
    <row r="3160" spans="47:48" x14ac:dyDescent="0.25">
      <c r="AU3160" s="7"/>
      <c r="AV3160" s="7"/>
    </row>
    <row r="3161" spans="47:48" x14ac:dyDescent="0.25">
      <c r="AU3161" s="7"/>
      <c r="AV3161" s="7"/>
    </row>
    <row r="3162" spans="47:48" x14ac:dyDescent="0.25">
      <c r="AU3162" s="7"/>
      <c r="AV3162" s="7"/>
    </row>
    <row r="3163" spans="47:48" x14ac:dyDescent="0.25">
      <c r="AU3163" s="7"/>
      <c r="AV3163" s="7"/>
    </row>
    <row r="3164" spans="47:48" x14ac:dyDescent="0.25">
      <c r="AU3164" s="7"/>
      <c r="AV3164" s="7"/>
    </row>
    <row r="3165" spans="47:48" x14ac:dyDescent="0.25">
      <c r="AU3165" s="7"/>
      <c r="AV3165" s="7"/>
    </row>
    <row r="3166" spans="47:48" x14ac:dyDescent="0.25">
      <c r="AU3166" s="7"/>
      <c r="AV3166" s="7"/>
    </row>
    <row r="3167" spans="47:48" x14ac:dyDescent="0.25">
      <c r="AU3167" s="7"/>
      <c r="AV3167" s="7"/>
    </row>
    <row r="3168" spans="47:48" x14ac:dyDescent="0.25">
      <c r="AU3168" s="7"/>
      <c r="AV3168" s="7"/>
    </row>
    <row r="3169" spans="47:48" x14ac:dyDescent="0.25">
      <c r="AU3169" s="7"/>
      <c r="AV3169" s="7"/>
    </row>
    <row r="3170" spans="47:48" x14ac:dyDescent="0.25">
      <c r="AU3170" s="7"/>
      <c r="AV3170" s="7"/>
    </row>
    <row r="3171" spans="47:48" x14ac:dyDescent="0.25">
      <c r="AU3171" s="7"/>
      <c r="AV3171" s="7"/>
    </row>
    <row r="3172" spans="47:48" x14ac:dyDescent="0.25">
      <c r="AU3172" s="7"/>
      <c r="AV3172" s="7"/>
    </row>
    <row r="3173" spans="47:48" x14ac:dyDescent="0.25">
      <c r="AU3173" s="7"/>
      <c r="AV3173" s="7"/>
    </row>
    <row r="3174" spans="47:48" x14ac:dyDescent="0.25">
      <c r="AU3174" s="7"/>
      <c r="AV3174" s="7"/>
    </row>
    <row r="3175" spans="47:48" x14ac:dyDescent="0.25">
      <c r="AU3175" s="7"/>
      <c r="AV3175" s="7"/>
    </row>
    <row r="3176" spans="47:48" x14ac:dyDescent="0.25">
      <c r="AU3176" s="7"/>
      <c r="AV3176" s="7"/>
    </row>
    <row r="3177" spans="47:48" x14ac:dyDescent="0.25">
      <c r="AU3177" s="7"/>
      <c r="AV3177" s="7"/>
    </row>
    <row r="3178" spans="47:48" x14ac:dyDescent="0.25">
      <c r="AU3178" s="7"/>
      <c r="AV3178" s="7"/>
    </row>
    <row r="3179" spans="47:48" x14ac:dyDescent="0.25">
      <c r="AU3179" s="7"/>
      <c r="AV3179" s="7"/>
    </row>
    <row r="3180" spans="47:48" x14ac:dyDescent="0.25">
      <c r="AU3180" s="7"/>
      <c r="AV3180" s="7"/>
    </row>
    <row r="3181" spans="47:48" x14ac:dyDescent="0.25">
      <c r="AU3181" s="7"/>
      <c r="AV3181" s="7"/>
    </row>
    <row r="3182" spans="47:48" x14ac:dyDescent="0.25">
      <c r="AU3182" s="7"/>
      <c r="AV3182" s="7"/>
    </row>
    <row r="3183" spans="47:48" x14ac:dyDescent="0.25">
      <c r="AU3183" s="7"/>
      <c r="AV3183" s="7"/>
    </row>
    <row r="3184" spans="47:48" x14ac:dyDescent="0.25">
      <c r="AU3184" s="7"/>
      <c r="AV3184" s="7"/>
    </row>
    <row r="3185" spans="47:48" x14ac:dyDescent="0.25">
      <c r="AU3185" s="7"/>
      <c r="AV3185" s="7"/>
    </row>
    <row r="3186" spans="47:48" x14ac:dyDescent="0.25">
      <c r="AU3186" s="7"/>
      <c r="AV3186" s="7"/>
    </row>
    <row r="3187" spans="47:48" x14ac:dyDescent="0.25">
      <c r="AU3187" s="7"/>
      <c r="AV3187" s="7"/>
    </row>
    <row r="3188" spans="47:48" x14ac:dyDescent="0.25">
      <c r="AU3188" s="7"/>
      <c r="AV3188" s="7"/>
    </row>
    <row r="3189" spans="47:48" x14ac:dyDescent="0.25">
      <c r="AU3189" s="7"/>
      <c r="AV3189" s="7"/>
    </row>
    <row r="3190" spans="47:48" x14ac:dyDescent="0.25">
      <c r="AU3190" s="7"/>
      <c r="AV3190" s="7"/>
    </row>
    <row r="3191" spans="47:48" x14ac:dyDescent="0.25">
      <c r="AU3191" s="7"/>
      <c r="AV3191" s="7"/>
    </row>
    <row r="3192" spans="47:48" x14ac:dyDescent="0.25">
      <c r="AU3192" s="7"/>
      <c r="AV3192" s="7"/>
    </row>
    <row r="3193" spans="47:48" x14ac:dyDescent="0.25">
      <c r="AU3193" s="7"/>
      <c r="AV3193" s="7"/>
    </row>
    <row r="3194" spans="47:48" x14ac:dyDescent="0.25">
      <c r="AU3194" s="7"/>
      <c r="AV3194" s="7"/>
    </row>
    <row r="3195" spans="47:48" x14ac:dyDescent="0.25">
      <c r="AU3195" s="7"/>
      <c r="AV3195" s="7"/>
    </row>
    <row r="3196" spans="47:48" x14ac:dyDescent="0.25">
      <c r="AU3196" s="7"/>
      <c r="AV3196" s="7"/>
    </row>
    <row r="3197" spans="47:48" x14ac:dyDescent="0.25">
      <c r="AU3197" s="7"/>
      <c r="AV3197" s="7"/>
    </row>
    <row r="3198" spans="47:48" x14ac:dyDescent="0.25">
      <c r="AU3198" s="7"/>
      <c r="AV3198" s="7"/>
    </row>
    <row r="3199" spans="47:48" x14ac:dyDescent="0.25">
      <c r="AU3199" s="7"/>
      <c r="AV3199" s="7"/>
    </row>
    <row r="3200" spans="47:48" x14ac:dyDescent="0.25">
      <c r="AU3200" s="7"/>
      <c r="AV3200" s="7"/>
    </row>
    <row r="3201" spans="47:48" x14ac:dyDescent="0.25">
      <c r="AU3201" s="7"/>
      <c r="AV3201" s="7"/>
    </row>
    <row r="3202" spans="47:48" x14ac:dyDescent="0.25">
      <c r="AU3202" s="7"/>
      <c r="AV3202" s="7"/>
    </row>
    <row r="3203" spans="47:48" x14ac:dyDescent="0.25">
      <c r="AU3203" s="7"/>
      <c r="AV3203" s="7"/>
    </row>
    <row r="3204" spans="47:48" x14ac:dyDescent="0.25">
      <c r="AU3204" s="7"/>
      <c r="AV3204" s="7"/>
    </row>
    <row r="3205" spans="47:48" x14ac:dyDescent="0.25">
      <c r="AU3205" s="7"/>
      <c r="AV3205" s="7"/>
    </row>
    <row r="3206" spans="47:48" x14ac:dyDescent="0.25">
      <c r="AU3206" s="7"/>
      <c r="AV3206" s="7"/>
    </row>
    <row r="3207" spans="47:48" x14ac:dyDescent="0.25">
      <c r="AU3207" s="7"/>
      <c r="AV3207" s="7"/>
    </row>
    <row r="3208" spans="47:48" x14ac:dyDescent="0.25">
      <c r="AU3208" s="7"/>
      <c r="AV3208" s="7"/>
    </row>
    <row r="3209" spans="47:48" x14ac:dyDescent="0.25">
      <c r="AU3209" s="7"/>
      <c r="AV3209" s="7"/>
    </row>
    <row r="3210" spans="47:48" x14ac:dyDescent="0.25">
      <c r="AU3210" s="7"/>
      <c r="AV3210" s="7"/>
    </row>
    <row r="3211" spans="47:48" x14ac:dyDescent="0.25">
      <c r="AU3211" s="7"/>
      <c r="AV3211" s="7"/>
    </row>
    <row r="3212" spans="47:48" x14ac:dyDescent="0.25">
      <c r="AU3212" s="7"/>
      <c r="AV3212" s="7"/>
    </row>
    <row r="3213" spans="47:48" x14ac:dyDescent="0.25">
      <c r="AU3213" s="7"/>
      <c r="AV3213" s="7"/>
    </row>
    <row r="3214" spans="47:48" x14ac:dyDescent="0.25">
      <c r="AU3214" s="7"/>
      <c r="AV3214" s="7"/>
    </row>
    <row r="3215" spans="47:48" x14ac:dyDescent="0.25">
      <c r="AU3215" s="7"/>
      <c r="AV3215" s="7"/>
    </row>
    <row r="3216" spans="47:48" x14ac:dyDescent="0.25">
      <c r="AU3216" s="7"/>
      <c r="AV3216" s="7"/>
    </row>
    <row r="3217" spans="47:48" x14ac:dyDescent="0.25">
      <c r="AU3217" s="7"/>
      <c r="AV3217" s="7"/>
    </row>
    <row r="3218" spans="47:48" x14ac:dyDescent="0.25">
      <c r="AU3218" s="7"/>
      <c r="AV3218" s="7"/>
    </row>
    <row r="3219" spans="47:48" x14ac:dyDescent="0.25">
      <c r="AU3219" s="7"/>
      <c r="AV3219" s="7"/>
    </row>
    <row r="3220" spans="47:48" x14ac:dyDescent="0.25">
      <c r="AU3220" s="7"/>
      <c r="AV3220" s="7"/>
    </row>
    <row r="3221" spans="47:48" x14ac:dyDescent="0.25">
      <c r="AU3221" s="7"/>
      <c r="AV3221" s="7"/>
    </row>
    <row r="3222" spans="47:48" x14ac:dyDescent="0.25">
      <c r="AU3222" s="7"/>
      <c r="AV3222" s="7"/>
    </row>
    <row r="3223" spans="47:48" x14ac:dyDescent="0.25">
      <c r="AU3223" s="7"/>
      <c r="AV3223" s="7"/>
    </row>
    <row r="3224" spans="47:48" x14ac:dyDescent="0.25">
      <c r="AU3224" s="7"/>
      <c r="AV3224" s="7"/>
    </row>
    <row r="3225" spans="47:48" x14ac:dyDescent="0.25">
      <c r="AU3225" s="7"/>
      <c r="AV3225" s="7"/>
    </row>
    <row r="3226" spans="47:48" x14ac:dyDescent="0.25">
      <c r="AU3226" s="7"/>
      <c r="AV3226" s="7"/>
    </row>
    <row r="3227" spans="47:48" x14ac:dyDescent="0.25">
      <c r="AU3227" s="7"/>
      <c r="AV3227" s="7"/>
    </row>
    <row r="3228" spans="47:48" x14ac:dyDescent="0.25">
      <c r="AU3228" s="7"/>
      <c r="AV3228" s="7"/>
    </row>
    <row r="3229" spans="47:48" x14ac:dyDescent="0.25">
      <c r="AU3229" s="7"/>
      <c r="AV3229" s="7"/>
    </row>
    <row r="3230" spans="47:48" x14ac:dyDescent="0.25">
      <c r="AU3230" s="7"/>
      <c r="AV3230" s="7"/>
    </row>
    <row r="3231" spans="47:48" x14ac:dyDescent="0.25">
      <c r="AU3231" s="7"/>
      <c r="AV3231" s="7"/>
    </row>
    <row r="3232" spans="47:48" x14ac:dyDescent="0.25">
      <c r="AU3232" s="7"/>
      <c r="AV3232" s="7"/>
    </row>
    <row r="3233" spans="47:48" x14ac:dyDescent="0.25">
      <c r="AU3233" s="7"/>
      <c r="AV3233" s="7"/>
    </row>
    <row r="3234" spans="47:48" x14ac:dyDescent="0.25">
      <c r="AU3234" s="7"/>
      <c r="AV3234" s="7"/>
    </row>
    <row r="3235" spans="47:48" x14ac:dyDescent="0.25">
      <c r="AU3235" s="7"/>
      <c r="AV3235" s="7"/>
    </row>
    <row r="3236" spans="47:48" x14ac:dyDescent="0.25">
      <c r="AU3236" s="7"/>
      <c r="AV3236" s="7"/>
    </row>
    <row r="3237" spans="47:48" x14ac:dyDescent="0.25">
      <c r="AU3237" s="7"/>
      <c r="AV3237" s="7"/>
    </row>
    <row r="3238" spans="47:48" x14ac:dyDescent="0.25">
      <c r="AU3238" s="7"/>
      <c r="AV3238" s="7"/>
    </row>
    <row r="3239" spans="47:48" x14ac:dyDescent="0.25">
      <c r="AU3239" s="7"/>
      <c r="AV3239" s="7"/>
    </row>
    <row r="3240" spans="47:48" x14ac:dyDescent="0.25">
      <c r="AU3240" s="7"/>
      <c r="AV3240" s="7"/>
    </row>
    <row r="3241" spans="47:48" x14ac:dyDescent="0.25">
      <c r="AU3241" s="7"/>
      <c r="AV3241" s="7"/>
    </row>
    <row r="3242" spans="47:48" x14ac:dyDescent="0.25">
      <c r="AU3242" s="7"/>
      <c r="AV3242" s="7"/>
    </row>
    <row r="3243" spans="47:48" x14ac:dyDescent="0.25">
      <c r="AU3243" s="7"/>
      <c r="AV3243" s="7"/>
    </row>
    <row r="3244" spans="47:48" x14ac:dyDescent="0.25">
      <c r="AU3244" s="7"/>
      <c r="AV3244" s="7"/>
    </row>
    <row r="3245" spans="47:48" x14ac:dyDescent="0.25">
      <c r="AU3245" s="7"/>
      <c r="AV3245" s="7"/>
    </row>
    <row r="3246" spans="47:48" x14ac:dyDescent="0.25">
      <c r="AU3246" s="7"/>
      <c r="AV3246" s="7"/>
    </row>
    <row r="3247" spans="47:48" x14ac:dyDescent="0.25">
      <c r="AU3247" s="7"/>
      <c r="AV3247" s="7"/>
    </row>
    <row r="3248" spans="47:48" x14ac:dyDescent="0.25">
      <c r="AU3248" s="7"/>
      <c r="AV3248" s="7"/>
    </row>
    <row r="3249" spans="47:48" x14ac:dyDescent="0.25">
      <c r="AU3249" s="7"/>
      <c r="AV3249" s="7"/>
    </row>
    <row r="3250" spans="47:48" x14ac:dyDescent="0.25">
      <c r="AU3250" s="7"/>
      <c r="AV3250" s="7"/>
    </row>
    <row r="3251" spans="47:48" x14ac:dyDescent="0.25">
      <c r="AU3251" s="7"/>
      <c r="AV3251" s="7"/>
    </row>
    <row r="3252" spans="47:48" x14ac:dyDescent="0.25">
      <c r="AU3252" s="7"/>
      <c r="AV3252" s="7"/>
    </row>
    <row r="3253" spans="47:48" x14ac:dyDescent="0.25">
      <c r="AU3253" s="7"/>
      <c r="AV3253" s="7"/>
    </row>
    <row r="3254" spans="47:48" x14ac:dyDescent="0.25">
      <c r="AU3254" s="7"/>
      <c r="AV3254" s="7"/>
    </row>
    <row r="3255" spans="47:48" x14ac:dyDescent="0.25">
      <c r="AU3255" s="7"/>
      <c r="AV3255" s="7"/>
    </row>
    <row r="3256" spans="47:48" x14ac:dyDescent="0.25">
      <c r="AU3256" s="7"/>
      <c r="AV3256" s="7"/>
    </row>
    <row r="3257" spans="47:48" x14ac:dyDescent="0.25">
      <c r="AU3257" s="7"/>
      <c r="AV3257" s="7"/>
    </row>
    <row r="3258" spans="47:48" x14ac:dyDescent="0.25">
      <c r="AU3258" s="7"/>
      <c r="AV3258" s="7"/>
    </row>
    <row r="3259" spans="47:48" x14ac:dyDescent="0.25">
      <c r="AU3259" s="7"/>
      <c r="AV3259" s="7"/>
    </row>
    <row r="3260" spans="47:48" x14ac:dyDescent="0.25">
      <c r="AU3260" s="7"/>
      <c r="AV3260" s="7"/>
    </row>
    <row r="3261" spans="47:48" x14ac:dyDescent="0.25">
      <c r="AU3261" s="7"/>
      <c r="AV3261" s="7"/>
    </row>
    <row r="3262" spans="47:48" x14ac:dyDescent="0.25">
      <c r="AU3262" s="7"/>
      <c r="AV3262" s="7"/>
    </row>
    <row r="3263" spans="47:48" x14ac:dyDescent="0.25">
      <c r="AU3263" s="7"/>
      <c r="AV3263" s="7"/>
    </row>
    <row r="3264" spans="47:48" x14ac:dyDescent="0.25">
      <c r="AU3264" s="7"/>
      <c r="AV3264" s="7"/>
    </row>
    <row r="3265" spans="47:48" x14ac:dyDescent="0.25">
      <c r="AU3265" s="7"/>
      <c r="AV3265" s="7"/>
    </row>
    <row r="3266" spans="47:48" x14ac:dyDescent="0.25">
      <c r="AU3266" s="7"/>
      <c r="AV3266" s="7"/>
    </row>
    <row r="3267" spans="47:48" x14ac:dyDescent="0.25">
      <c r="AU3267" s="7"/>
      <c r="AV3267" s="7"/>
    </row>
    <row r="3268" spans="47:48" x14ac:dyDescent="0.25">
      <c r="AU3268" s="7"/>
      <c r="AV3268" s="7"/>
    </row>
    <row r="3269" spans="47:48" x14ac:dyDescent="0.25">
      <c r="AU3269" s="7"/>
      <c r="AV3269" s="7"/>
    </row>
    <row r="3270" spans="47:48" x14ac:dyDescent="0.25">
      <c r="AU3270" s="7"/>
      <c r="AV3270" s="7"/>
    </row>
    <row r="3271" spans="47:48" x14ac:dyDescent="0.25">
      <c r="AU3271" s="7"/>
      <c r="AV3271" s="7"/>
    </row>
    <row r="3272" spans="47:48" x14ac:dyDescent="0.25">
      <c r="AU3272" s="7"/>
      <c r="AV3272" s="7"/>
    </row>
    <row r="3273" spans="47:48" x14ac:dyDescent="0.25">
      <c r="AU3273" s="7"/>
      <c r="AV3273" s="7"/>
    </row>
    <row r="3274" spans="47:48" x14ac:dyDescent="0.25">
      <c r="AU3274" s="7"/>
      <c r="AV3274" s="7"/>
    </row>
    <row r="3275" spans="47:48" x14ac:dyDescent="0.25">
      <c r="AU3275" s="7"/>
      <c r="AV3275" s="7"/>
    </row>
    <row r="3276" spans="47:48" x14ac:dyDescent="0.25">
      <c r="AU3276" s="7"/>
      <c r="AV3276" s="7"/>
    </row>
    <row r="3277" spans="47:48" x14ac:dyDescent="0.25">
      <c r="AU3277" s="7"/>
      <c r="AV3277" s="7"/>
    </row>
    <row r="3278" spans="47:48" x14ac:dyDescent="0.25">
      <c r="AU3278" s="7"/>
      <c r="AV3278" s="7"/>
    </row>
    <row r="3279" spans="47:48" x14ac:dyDescent="0.25">
      <c r="AU3279" s="7"/>
      <c r="AV3279" s="7"/>
    </row>
    <row r="3280" spans="47:48" x14ac:dyDescent="0.25">
      <c r="AU3280" s="7"/>
      <c r="AV3280" s="7"/>
    </row>
    <row r="3281" spans="47:48" x14ac:dyDescent="0.25">
      <c r="AU3281" s="7"/>
      <c r="AV3281" s="7"/>
    </row>
    <row r="3282" spans="47:48" x14ac:dyDescent="0.25">
      <c r="AU3282" s="7"/>
      <c r="AV3282" s="7"/>
    </row>
    <row r="3283" spans="47:48" x14ac:dyDescent="0.25">
      <c r="AU3283" s="7"/>
      <c r="AV3283" s="7"/>
    </row>
    <row r="3284" spans="47:48" x14ac:dyDescent="0.25">
      <c r="AU3284" s="7"/>
      <c r="AV3284" s="7"/>
    </row>
    <row r="3285" spans="47:48" x14ac:dyDescent="0.25">
      <c r="AU3285" s="7"/>
      <c r="AV3285" s="7"/>
    </row>
    <row r="3286" spans="47:48" x14ac:dyDescent="0.25">
      <c r="AU3286" s="7"/>
      <c r="AV3286" s="7"/>
    </row>
    <row r="3287" spans="47:48" x14ac:dyDescent="0.25">
      <c r="AU3287" s="7"/>
      <c r="AV3287" s="7"/>
    </row>
    <row r="3288" spans="47:48" x14ac:dyDescent="0.25">
      <c r="AU3288" s="7"/>
      <c r="AV3288" s="7"/>
    </row>
    <row r="3289" spans="47:48" x14ac:dyDescent="0.25">
      <c r="AU3289" s="7"/>
      <c r="AV3289" s="7"/>
    </row>
    <row r="3290" spans="47:48" x14ac:dyDescent="0.25">
      <c r="AU3290" s="7"/>
      <c r="AV3290" s="7"/>
    </row>
    <row r="3291" spans="47:48" x14ac:dyDescent="0.25">
      <c r="AU3291" s="7"/>
      <c r="AV3291" s="7"/>
    </row>
    <row r="3292" spans="47:48" x14ac:dyDescent="0.25">
      <c r="AU3292" s="7"/>
      <c r="AV3292" s="7"/>
    </row>
    <row r="3293" spans="47:48" x14ac:dyDescent="0.25">
      <c r="AU3293" s="7"/>
      <c r="AV3293" s="7"/>
    </row>
    <row r="3294" spans="47:48" x14ac:dyDescent="0.25">
      <c r="AU3294" s="7"/>
      <c r="AV3294" s="7"/>
    </row>
    <row r="3295" spans="47:48" x14ac:dyDescent="0.25">
      <c r="AU3295" s="7"/>
      <c r="AV3295" s="7"/>
    </row>
    <row r="3296" spans="47:48" x14ac:dyDescent="0.25">
      <c r="AU3296" s="7"/>
      <c r="AV3296" s="7"/>
    </row>
    <row r="3297" spans="47:48" x14ac:dyDescent="0.25">
      <c r="AU3297" s="7"/>
      <c r="AV3297" s="7"/>
    </row>
    <row r="3298" spans="47:48" x14ac:dyDescent="0.25">
      <c r="AU3298" s="7"/>
      <c r="AV3298" s="7"/>
    </row>
    <row r="3299" spans="47:48" x14ac:dyDescent="0.25">
      <c r="AU3299" s="7"/>
      <c r="AV3299" s="7"/>
    </row>
    <row r="3300" spans="47:48" x14ac:dyDescent="0.25">
      <c r="AU3300" s="7"/>
      <c r="AV3300" s="7"/>
    </row>
    <row r="3301" spans="47:48" x14ac:dyDescent="0.25">
      <c r="AU3301" s="7"/>
      <c r="AV3301" s="7"/>
    </row>
    <row r="3302" spans="47:48" x14ac:dyDescent="0.25">
      <c r="AU3302" s="7"/>
      <c r="AV3302" s="7"/>
    </row>
    <row r="3303" spans="47:48" x14ac:dyDescent="0.25">
      <c r="AU3303" s="7"/>
      <c r="AV3303" s="7"/>
    </row>
    <row r="3304" spans="47:48" x14ac:dyDescent="0.25">
      <c r="AU3304" s="7"/>
      <c r="AV3304" s="7"/>
    </row>
    <row r="3305" spans="47:48" x14ac:dyDescent="0.25">
      <c r="AU3305" s="7"/>
      <c r="AV3305" s="7"/>
    </row>
    <row r="3306" spans="47:48" x14ac:dyDescent="0.25">
      <c r="AU3306" s="7"/>
      <c r="AV3306" s="7"/>
    </row>
    <row r="3307" spans="47:48" x14ac:dyDescent="0.25">
      <c r="AU3307" s="7"/>
      <c r="AV3307" s="7"/>
    </row>
    <row r="3308" spans="47:48" x14ac:dyDescent="0.25">
      <c r="AU3308" s="7"/>
      <c r="AV3308" s="7"/>
    </row>
    <row r="3309" spans="47:48" x14ac:dyDescent="0.25">
      <c r="AU3309" s="7"/>
      <c r="AV3309" s="7"/>
    </row>
    <row r="3310" spans="47:48" x14ac:dyDescent="0.25">
      <c r="AU3310" s="7"/>
      <c r="AV3310" s="7"/>
    </row>
    <row r="3311" spans="47:48" x14ac:dyDescent="0.25">
      <c r="AU3311" s="7"/>
      <c r="AV3311" s="7"/>
    </row>
    <row r="3312" spans="47:48" x14ac:dyDescent="0.25">
      <c r="AU3312" s="7"/>
      <c r="AV3312" s="7"/>
    </row>
    <row r="3313" spans="47:48" x14ac:dyDescent="0.25">
      <c r="AU3313" s="7"/>
      <c r="AV3313" s="7"/>
    </row>
    <row r="3314" spans="47:48" x14ac:dyDescent="0.25">
      <c r="AU3314" s="7"/>
      <c r="AV3314" s="7"/>
    </row>
    <row r="3315" spans="47:48" x14ac:dyDescent="0.25">
      <c r="AU3315" s="7"/>
      <c r="AV3315" s="7"/>
    </row>
    <row r="3316" spans="47:48" x14ac:dyDescent="0.25">
      <c r="AU3316" s="7"/>
      <c r="AV3316" s="7"/>
    </row>
    <row r="3317" spans="47:48" x14ac:dyDescent="0.25">
      <c r="AU3317" s="7"/>
      <c r="AV3317" s="7"/>
    </row>
    <row r="3318" spans="47:48" x14ac:dyDescent="0.25">
      <c r="AU3318" s="7"/>
      <c r="AV3318" s="7"/>
    </row>
    <row r="3319" spans="47:48" x14ac:dyDescent="0.25">
      <c r="AU3319" s="7"/>
      <c r="AV3319" s="7"/>
    </row>
    <row r="3320" spans="47:48" x14ac:dyDescent="0.25">
      <c r="AU3320" s="7"/>
      <c r="AV3320" s="7"/>
    </row>
    <row r="3321" spans="47:48" x14ac:dyDescent="0.25">
      <c r="AU3321" s="7"/>
      <c r="AV3321" s="7"/>
    </row>
    <row r="3322" spans="47:48" x14ac:dyDescent="0.25">
      <c r="AU3322" s="7"/>
      <c r="AV3322" s="7"/>
    </row>
    <row r="3323" spans="47:48" x14ac:dyDescent="0.25">
      <c r="AU3323" s="7"/>
      <c r="AV3323" s="7"/>
    </row>
    <row r="3324" spans="47:48" x14ac:dyDescent="0.25">
      <c r="AU3324" s="7"/>
      <c r="AV3324" s="7"/>
    </row>
    <row r="3325" spans="47:48" x14ac:dyDescent="0.25">
      <c r="AU3325" s="7"/>
      <c r="AV3325" s="7"/>
    </row>
    <row r="3326" spans="47:48" x14ac:dyDescent="0.25">
      <c r="AU3326" s="7"/>
      <c r="AV3326" s="7"/>
    </row>
    <row r="3327" spans="47:48" x14ac:dyDescent="0.25">
      <c r="AU3327" s="7"/>
      <c r="AV3327" s="7"/>
    </row>
    <row r="3328" spans="47:48" x14ac:dyDescent="0.25">
      <c r="AU3328" s="7"/>
      <c r="AV3328" s="7"/>
    </row>
    <row r="3329" spans="47:48" x14ac:dyDescent="0.25">
      <c r="AU3329" s="7"/>
      <c r="AV3329" s="7"/>
    </row>
    <row r="3330" spans="47:48" x14ac:dyDescent="0.25">
      <c r="AU3330" s="7"/>
      <c r="AV3330" s="7"/>
    </row>
    <row r="3331" spans="47:48" x14ac:dyDescent="0.25">
      <c r="AU3331" s="7"/>
      <c r="AV3331" s="7"/>
    </row>
    <row r="3332" spans="47:48" x14ac:dyDescent="0.25">
      <c r="AU3332" s="7"/>
      <c r="AV3332" s="7"/>
    </row>
    <row r="3333" spans="47:48" x14ac:dyDescent="0.25">
      <c r="AU3333" s="7"/>
      <c r="AV3333" s="7"/>
    </row>
    <row r="3334" spans="47:48" x14ac:dyDescent="0.25">
      <c r="AU3334" s="7"/>
      <c r="AV3334" s="7"/>
    </row>
    <row r="3335" spans="47:48" x14ac:dyDescent="0.25">
      <c r="AU3335" s="7"/>
      <c r="AV3335" s="7"/>
    </row>
    <row r="3336" spans="47:48" x14ac:dyDescent="0.25">
      <c r="AU3336" s="7"/>
      <c r="AV3336" s="7"/>
    </row>
    <row r="3337" spans="47:48" x14ac:dyDescent="0.25">
      <c r="AU3337" s="7"/>
      <c r="AV3337" s="7"/>
    </row>
    <row r="3338" spans="47:48" x14ac:dyDescent="0.25">
      <c r="AU3338" s="7"/>
      <c r="AV3338" s="7"/>
    </row>
    <row r="3339" spans="47:48" x14ac:dyDescent="0.25">
      <c r="AU3339" s="7"/>
      <c r="AV3339" s="7"/>
    </row>
    <row r="3340" spans="47:48" x14ac:dyDescent="0.25">
      <c r="AU3340" s="7"/>
      <c r="AV3340" s="7"/>
    </row>
    <row r="3341" spans="47:48" x14ac:dyDescent="0.25">
      <c r="AU3341" s="7"/>
      <c r="AV3341" s="7"/>
    </row>
    <row r="3342" spans="47:48" x14ac:dyDescent="0.25">
      <c r="AU3342" s="7"/>
      <c r="AV3342" s="7"/>
    </row>
    <row r="3343" spans="47:48" x14ac:dyDescent="0.25">
      <c r="AU3343" s="7"/>
      <c r="AV3343" s="7"/>
    </row>
    <row r="3344" spans="47:48" x14ac:dyDescent="0.25">
      <c r="AU3344" s="7"/>
      <c r="AV3344" s="7"/>
    </row>
    <row r="3345" spans="47:48" x14ac:dyDescent="0.25">
      <c r="AU3345" s="7"/>
      <c r="AV3345" s="7"/>
    </row>
    <row r="3346" spans="47:48" x14ac:dyDescent="0.25">
      <c r="AU3346" s="7"/>
      <c r="AV3346" s="7"/>
    </row>
    <row r="3347" spans="47:48" x14ac:dyDescent="0.25">
      <c r="AU3347" s="7"/>
      <c r="AV3347" s="7"/>
    </row>
    <row r="3348" spans="47:48" x14ac:dyDescent="0.25">
      <c r="AU3348" s="7"/>
      <c r="AV3348" s="7"/>
    </row>
    <row r="3349" spans="47:48" x14ac:dyDescent="0.25">
      <c r="AU3349" s="7"/>
      <c r="AV3349" s="7"/>
    </row>
    <row r="3350" spans="47:48" x14ac:dyDescent="0.25">
      <c r="AU3350" s="7"/>
      <c r="AV3350" s="7"/>
    </row>
    <row r="3351" spans="47:48" x14ac:dyDescent="0.25">
      <c r="AU3351" s="7"/>
      <c r="AV3351" s="7"/>
    </row>
    <row r="3352" spans="47:48" x14ac:dyDescent="0.25">
      <c r="AU3352" s="7"/>
      <c r="AV3352" s="7"/>
    </row>
    <row r="3353" spans="47:48" x14ac:dyDescent="0.25">
      <c r="AU3353" s="7"/>
      <c r="AV3353" s="7"/>
    </row>
    <row r="3354" spans="47:48" x14ac:dyDescent="0.25">
      <c r="AU3354" s="7"/>
      <c r="AV3354" s="7"/>
    </row>
    <row r="3355" spans="47:48" x14ac:dyDescent="0.25">
      <c r="AU3355" s="7"/>
      <c r="AV3355" s="7"/>
    </row>
    <row r="3356" spans="47:48" x14ac:dyDescent="0.25">
      <c r="AU3356" s="7"/>
      <c r="AV3356" s="7"/>
    </row>
    <row r="3357" spans="47:48" x14ac:dyDescent="0.25">
      <c r="AU3357" s="7"/>
      <c r="AV3357" s="7"/>
    </row>
    <row r="3358" spans="47:48" x14ac:dyDescent="0.25">
      <c r="AU3358" s="7"/>
      <c r="AV3358" s="7"/>
    </row>
    <row r="3359" spans="47:48" x14ac:dyDescent="0.25">
      <c r="AU3359" s="7"/>
      <c r="AV3359" s="7"/>
    </row>
    <row r="3360" spans="47:48" x14ac:dyDescent="0.25">
      <c r="AU3360" s="7"/>
      <c r="AV3360" s="7"/>
    </row>
    <row r="3361" spans="47:48" x14ac:dyDescent="0.25">
      <c r="AU3361" s="7"/>
      <c r="AV3361" s="7"/>
    </row>
    <row r="3362" spans="47:48" x14ac:dyDescent="0.25">
      <c r="AU3362" s="7"/>
      <c r="AV3362" s="7"/>
    </row>
    <row r="3363" spans="47:48" x14ac:dyDescent="0.25">
      <c r="AU3363" s="7"/>
      <c r="AV3363" s="7"/>
    </row>
    <row r="3364" spans="47:48" x14ac:dyDescent="0.25">
      <c r="AU3364" s="7"/>
      <c r="AV3364" s="7"/>
    </row>
    <row r="3365" spans="47:48" x14ac:dyDescent="0.25">
      <c r="AU3365" s="7"/>
      <c r="AV3365" s="7"/>
    </row>
    <row r="3366" spans="47:48" x14ac:dyDescent="0.25">
      <c r="AU3366" s="7"/>
      <c r="AV3366" s="7"/>
    </row>
    <row r="3367" spans="47:48" x14ac:dyDescent="0.25">
      <c r="AU3367" s="7"/>
      <c r="AV3367" s="7"/>
    </row>
    <row r="3368" spans="47:48" x14ac:dyDescent="0.25">
      <c r="AU3368" s="7"/>
      <c r="AV3368" s="7"/>
    </row>
    <row r="3369" spans="47:48" x14ac:dyDescent="0.25">
      <c r="AU3369" s="7"/>
      <c r="AV3369" s="7"/>
    </row>
    <row r="3370" spans="47:48" x14ac:dyDescent="0.25">
      <c r="AU3370" s="7"/>
      <c r="AV3370" s="7"/>
    </row>
    <row r="3371" spans="47:48" x14ac:dyDescent="0.25">
      <c r="AU3371" s="7"/>
      <c r="AV3371" s="7"/>
    </row>
    <row r="3372" spans="47:48" x14ac:dyDescent="0.25">
      <c r="AU3372" s="7"/>
      <c r="AV3372" s="7"/>
    </row>
    <row r="3373" spans="47:48" x14ac:dyDescent="0.25">
      <c r="AU3373" s="7"/>
      <c r="AV3373" s="7"/>
    </row>
    <row r="3374" spans="47:48" x14ac:dyDescent="0.25">
      <c r="AU3374" s="7"/>
      <c r="AV3374" s="7"/>
    </row>
    <row r="3375" spans="47:48" x14ac:dyDescent="0.25">
      <c r="AU3375" s="7"/>
      <c r="AV3375" s="7"/>
    </row>
    <row r="3376" spans="47:48" x14ac:dyDescent="0.25">
      <c r="AU3376" s="7"/>
      <c r="AV3376" s="7"/>
    </row>
    <row r="3377" spans="47:48" x14ac:dyDescent="0.25">
      <c r="AU3377" s="7"/>
      <c r="AV3377" s="7"/>
    </row>
    <row r="3378" spans="47:48" x14ac:dyDescent="0.25">
      <c r="AU3378" s="7"/>
      <c r="AV3378" s="7"/>
    </row>
    <row r="3379" spans="47:48" x14ac:dyDescent="0.25">
      <c r="AU3379" s="7"/>
      <c r="AV3379" s="7"/>
    </row>
    <row r="3380" spans="47:48" x14ac:dyDescent="0.25">
      <c r="AU3380" s="7"/>
      <c r="AV3380" s="7"/>
    </row>
    <row r="3381" spans="47:48" x14ac:dyDescent="0.25">
      <c r="AU3381" s="7"/>
      <c r="AV3381" s="7"/>
    </row>
    <row r="3382" spans="47:48" x14ac:dyDescent="0.25">
      <c r="AU3382" s="7"/>
      <c r="AV3382" s="7"/>
    </row>
    <row r="3383" spans="47:48" x14ac:dyDescent="0.25">
      <c r="AU3383" s="7"/>
      <c r="AV3383" s="7"/>
    </row>
    <row r="3384" spans="47:48" x14ac:dyDescent="0.25">
      <c r="AU3384" s="7"/>
      <c r="AV3384" s="7"/>
    </row>
    <row r="3385" spans="47:48" x14ac:dyDescent="0.25">
      <c r="AU3385" s="7"/>
      <c r="AV3385" s="7"/>
    </row>
    <row r="3386" spans="47:48" x14ac:dyDescent="0.25">
      <c r="AU3386" s="7"/>
      <c r="AV3386" s="7"/>
    </row>
    <row r="3387" spans="47:48" x14ac:dyDescent="0.25">
      <c r="AU3387" s="7"/>
      <c r="AV3387" s="7"/>
    </row>
    <row r="3388" spans="47:48" x14ac:dyDescent="0.25">
      <c r="AU3388" s="7"/>
      <c r="AV3388" s="7"/>
    </row>
    <row r="3389" spans="47:48" x14ac:dyDescent="0.25">
      <c r="AU3389" s="7"/>
      <c r="AV3389" s="7"/>
    </row>
    <row r="3390" spans="47:48" x14ac:dyDescent="0.25">
      <c r="AU3390" s="7"/>
      <c r="AV3390" s="7"/>
    </row>
    <row r="3391" spans="47:48" x14ac:dyDescent="0.25">
      <c r="AU3391" s="7"/>
      <c r="AV3391" s="7"/>
    </row>
    <row r="3392" spans="47:48" x14ac:dyDescent="0.25">
      <c r="AU3392" s="7"/>
      <c r="AV3392" s="7"/>
    </row>
    <row r="3393" spans="47:48" x14ac:dyDescent="0.25">
      <c r="AU3393" s="7"/>
      <c r="AV3393" s="7"/>
    </row>
    <row r="3394" spans="47:48" x14ac:dyDescent="0.25">
      <c r="AU3394" s="7"/>
      <c r="AV3394" s="7"/>
    </row>
    <row r="3395" spans="47:48" x14ac:dyDescent="0.25">
      <c r="AU3395" s="7"/>
      <c r="AV3395" s="7"/>
    </row>
    <row r="3396" spans="47:48" x14ac:dyDescent="0.25">
      <c r="AU3396" s="7"/>
      <c r="AV3396" s="7"/>
    </row>
    <row r="3397" spans="47:48" x14ac:dyDescent="0.25">
      <c r="AU3397" s="7"/>
      <c r="AV3397" s="7"/>
    </row>
    <row r="3398" spans="47:48" x14ac:dyDescent="0.25">
      <c r="AU3398" s="7"/>
      <c r="AV3398" s="7"/>
    </row>
    <row r="3399" spans="47:48" x14ac:dyDescent="0.25">
      <c r="AU3399" s="7"/>
      <c r="AV3399" s="7"/>
    </row>
    <row r="3400" spans="47:48" x14ac:dyDescent="0.25">
      <c r="AU3400" s="7"/>
      <c r="AV3400" s="7"/>
    </row>
    <row r="3401" spans="47:48" x14ac:dyDescent="0.25">
      <c r="AU3401" s="7"/>
      <c r="AV3401" s="7"/>
    </row>
    <row r="3402" spans="47:48" x14ac:dyDescent="0.25">
      <c r="AU3402" s="7"/>
      <c r="AV3402" s="7"/>
    </row>
    <row r="3403" spans="47:48" x14ac:dyDescent="0.25">
      <c r="AU3403" s="7"/>
      <c r="AV3403" s="7"/>
    </row>
    <row r="3404" spans="47:48" x14ac:dyDescent="0.25">
      <c r="AU3404" s="7"/>
      <c r="AV3404" s="7"/>
    </row>
    <row r="3405" spans="47:48" x14ac:dyDescent="0.25">
      <c r="AU3405" s="7"/>
      <c r="AV3405" s="7"/>
    </row>
    <row r="3406" spans="47:48" x14ac:dyDescent="0.25">
      <c r="AU3406" s="7"/>
      <c r="AV3406" s="7"/>
    </row>
    <row r="3407" spans="47:48" x14ac:dyDescent="0.25">
      <c r="AU3407" s="7"/>
      <c r="AV3407" s="7"/>
    </row>
    <row r="3408" spans="47:48" x14ac:dyDescent="0.25">
      <c r="AU3408" s="7"/>
      <c r="AV3408" s="7"/>
    </row>
    <row r="3409" spans="47:48" x14ac:dyDescent="0.25">
      <c r="AU3409" s="7"/>
      <c r="AV3409" s="7"/>
    </row>
    <row r="3410" spans="47:48" x14ac:dyDescent="0.25">
      <c r="AU3410" s="7"/>
      <c r="AV3410" s="7"/>
    </row>
    <row r="3411" spans="47:48" x14ac:dyDescent="0.25">
      <c r="AU3411" s="7"/>
      <c r="AV3411" s="7"/>
    </row>
    <row r="3412" spans="47:48" x14ac:dyDescent="0.25">
      <c r="AU3412" s="7"/>
      <c r="AV3412" s="7"/>
    </row>
    <row r="3413" spans="47:48" x14ac:dyDescent="0.25">
      <c r="AU3413" s="7"/>
      <c r="AV3413" s="7"/>
    </row>
    <row r="3414" spans="47:48" x14ac:dyDescent="0.25">
      <c r="AU3414" s="7"/>
      <c r="AV3414" s="7"/>
    </row>
    <row r="3415" spans="47:48" x14ac:dyDescent="0.25">
      <c r="AU3415" s="7"/>
      <c r="AV3415" s="7"/>
    </row>
    <row r="3416" spans="47:48" x14ac:dyDescent="0.25">
      <c r="AU3416" s="7"/>
      <c r="AV3416" s="7"/>
    </row>
    <row r="3417" spans="47:48" x14ac:dyDescent="0.25">
      <c r="AU3417" s="7"/>
      <c r="AV3417" s="7"/>
    </row>
    <row r="3418" spans="47:48" x14ac:dyDescent="0.25">
      <c r="AU3418" s="7"/>
      <c r="AV3418" s="7"/>
    </row>
    <row r="3419" spans="47:48" x14ac:dyDescent="0.25">
      <c r="AU3419" s="7"/>
      <c r="AV3419" s="7"/>
    </row>
    <row r="3420" spans="47:48" x14ac:dyDescent="0.25">
      <c r="AU3420" s="7"/>
      <c r="AV3420" s="7"/>
    </row>
    <row r="3421" spans="47:48" x14ac:dyDescent="0.25">
      <c r="AU3421" s="7"/>
      <c r="AV3421" s="7"/>
    </row>
    <row r="3422" spans="47:48" x14ac:dyDescent="0.25">
      <c r="AU3422" s="7"/>
      <c r="AV3422" s="7"/>
    </row>
    <row r="3423" spans="47:48" x14ac:dyDescent="0.25">
      <c r="AU3423" s="7"/>
      <c r="AV3423" s="7"/>
    </row>
    <row r="3424" spans="47:48" x14ac:dyDescent="0.25">
      <c r="AU3424" s="7"/>
      <c r="AV3424" s="7"/>
    </row>
    <row r="3425" spans="47:48" x14ac:dyDescent="0.25">
      <c r="AU3425" s="7"/>
      <c r="AV3425" s="7"/>
    </row>
    <row r="3426" spans="47:48" x14ac:dyDescent="0.25">
      <c r="AU3426" s="7"/>
      <c r="AV3426" s="7"/>
    </row>
    <row r="3427" spans="47:48" x14ac:dyDescent="0.25">
      <c r="AU3427" s="7"/>
      <c r="AV3427" s="7"/>
    </row>
    <row r="3428" spans="47:48" x14ac:dyDescent="0.25">
      <c r="AU3428" s="7"/>
      <c r="AV3428" s="7"/>
    </row>
    <row r="3429" spans="47:48" x14ac:dyDescent="0.25">
      <c r="AU3429" s="7"/>
      <c r="AV3429" s="7"/>
    </row>
    <row r="3430" spans="47:48" x14ac:dyDescent="0.25">
      <c r="AU3430" s="7"/>
      <c r="AV3430" s="7"/>
    </row>
    <row r="3431" spans="47:48" x14ac:dyDescent="0.25">
      <c r="AU3431" s="7"/>
      <c r="AV3431" s="7"/>
    </row>
    <row r="3432" spans="47:48" x14ac:dyDescent="0.25">
      <c r="AU3432" s="7"/>
      <c r="AV3432" s="7"/>
    </row>
    <row r="3433" spans="47:48" x14ac:dyDescent="0.25">
      <c r="AU3433" s="7"/>
      <c r="AV3433" s="7"/>
    </row>
    <row r="3434" spans="47:48" x14ac:dyDescent="0.25">
      <c r="AU3434" s="7"/>
      <c r="AV3434" s="7"/>
    </row>
    <row r="3435" spans="47:48" x14ac:dyDescent="0.25">
      <c r="AU3435" s="7"/>
      <c r="AV3435" s="7"/>
    </row>
    <row r="3436" spans="47:48" x14ac:dyDescent="0.25">
      <c r="AU3436" s="7"/>
      <c r="AV3436" s="7"/>
    </row>
    <row r="3437" spans="47:48" x14ac:dyDescent="0.25">
      <c r="AU3437" s="7"/>
      <c r="AV3437" s="7"/>
    </row>
    <row r="3438" spans="47:48" x14ac:dyDescent="0.25">
      <c r="AU3438" s="7"/>
      <c r="AV3438" s="7"/>
    </row>
    <row r="3439" spans="47:48" x14ac:dyDescent="0.25">
      <c r="AU3439" s="7"/>
      <c r="AV3439" s="7"/>
    </row>
    <row r="3440" spans="47:48" x14ac:dyDescent="0.25">
      <c r="AU3440" s="7"/>
      <c r="AV3440" s="7"/>
    </row>
    <row r="3441" spans="47:48" x14ac:dyDescent="0.25">
      <c r="AU3441" s="7"/>
      <c r="AV3441" s="7"/>
    </row>
    <row r="3442" spans="47:48" x14ac:dyDescent="0.25">
      <c r="AU3442" s="7"/>
      <c r="AV3442" s="7"/>
    </row>
    <row r="3443" spans="47:48" x14ac:dyDescent="0.25">
      <c r="AU3443" s="7"/>
      <c r="AV3443" s="7"/>
    </row>
    <row r="3444" spans="47:48" x14ac:dyDescent="0.25">
      <c r="AU3444" s="7"/>
      <c r="AV3444" s="7"/>
    </row>
    <row r="3445" spans="47:48" x14ac:dyDescent="0.25">
      <c r="AU3445" s="7"/>
      <c r="AV3445" s="7"/>
    </row>
    <row r="3446" spans="47:48" x14ac:dyDescent="0.25">
      <c r="AU3446" s="7"/>
      <c r="AV3446" s="7"/>
    </row>
    <row r="3447" spans="47:48" x14ac:dyDescent="0.25">
      <c r="AU3447" s="7"/>
      <c r="AV3447" s="7"/>
    </row>
    <row r="3448" spans="47:48" x14ac:dyDescent="0.25">
      <c r="AU3448" s="7"/>
      <c r="AV3448" s="7"/>
    </row>
    <row r="3449" spans="47:48" x14ac:dyDescent="0.25">
      <c r="AU3449" s="7"/>
      <c r="AV3449" s="7"/>
    </row>
    <row r="3450" spans="47:48" x14ac:dyDescent="0.25">
      <c r="AU3450" s="7"/>
      <c r="AV3450" s="7"/>
    </row>
    <row r="3451" spans="47:48" x14ac:dyDescent="0.25">
      <c r="AU3451" s="7"/>
      <c r="AV3451" s="7"/>
    </row>
    <row r="3452" spans="47:48" x14ac:dyDescent="0.25">
      <c r="AU3452" s="7"/>
      <c r="AV3452" s="7"/>
    </row>
    <row r="3453" spans="47:48" x14ac:dyDescent="0.25">
      <c r="AU3453" s="7"/>
      <c r="AV3453" s="7"/>
    </row>
    <row r="3454" spans="47:48" x14ac:dyDescent="0.25">
      <c r="AU3454" s="7"/>
      <c r="AV3454" s="7"/>
    </row>
    <row r="3455" spans="47:48" x14ac:dyDescent="0.25">
      <c r="AU3455" s="7"/>
      <c r="AV3455" s="7"/>
    </row>
    <row r="3456" spans="47:48" x14ac:dyDescent="0.25">
      <c r="AU3456" s="7"/>
      <c r="AV3456" s="7"/>
    </row>
    <row r="3457" spans="47:48" x14ac:dyDescent="0.25">
      <c r="AU3457" s="7"/>
      <c r="AV3457" s="7"/>
    </row>
    <row r="3458" spans="47:48" x14ac:dyDescent="0.25">
      <c r="AU3458" s="7"/>
      <c r="AV3458" s="7"/>
    </row>
    <row r="3459" spans="47:48" x14ac:dyDescent="0.25">
      <c r="AU3459" s="7"/>
      <c r="AV3459" s="7"/>
    </row>
    <row r="3460" spans="47:48" x14ac:dyDescent="0.25">
      <c r="AU3460" s="7"/>
      <c r="AV3460" s="7"/>
    </row>
    <row r="3461" spans="47:48" x14ac:dyDescent="0.25">
      <c r="AU3461" s="7"/>
      <c r="AV3461" s="7"/>
    </row>
    <row r="3462" spans="47:48" x14ac:dyDescent="0.25">
      <c r="AU3462" s="7"/>
      <c r="AV3462" s="7"/>
    </row>
    <row r="3463" spans="47:48" x14ac:dyDescent="0.25">
      <c r="AU3463" s="7"/>
      <c r="AV3463" s="7"/>
    </row>
    <row r="3464" spans="47:48" x14ac:dyDescent="0.25">
      <c r="AU3464" s="7"/>
      <c r="AV3464" s="7"/>
    </row>
    <row r="3465" spans="47:48" x14ac:dyDescent="0.25">
      <c r="AU3465" s="7"/>
      <c r="AV3465" s="7"/>
    </row>
    <row r="3466" spans="47:48" x14ac:dyDescent="0.25">
      <c r="AU3466" s="7"/>
      <c r="AV3466" s="7"/>
    </row>
    <row r="3467" spans="47:48" x14ac:dyDescent="0.25">
      <c r="AU3467" s="7"/>
      <c r="AV3467" s="7"/>
    </row>
    <row r="3468" spans="47:48" x14ac:dyDescent="0.25">
      <c r="AU3468" s="7"/>
      <c r="AV3468" s="7"/>
    </row>
    <row r="3469" spans="47:48" x14ac:dyDescent="0.25">
      <c r="AU3469" s="7"/>
      <c r="AV3469" s="7"/>
    </row>
    <row r="3470" spans="47:48" x14ac:dyDescent="0.25">
      <c r="AU3470" s="7"/>
      <c r="AV3470" s="7"/>
    </row>
    <row r="3471" spans="47:48" x14ac:dyDescent="0.25">
      <c r="AU3471" s="7"/>
      <c r="AV3471" s="7"/>
    </row>
    <row r="3472" spans="47:48" x14ac:dyDescent="0.25">
      <c r="AU3472" s="7"/>
      <c r="AV3472" s="7"/>
    </row>
    <row r="3473" spans="47:48" x14ac:dyDescent="0.25">
      <c r="AU3473" s="7"/>
      <c r="AV3473" s="7"/>
    </row>
    <row r="3474" spans="47:48" x14ac:dyDescent="0.25">
      <c r="AU3474" s="7"/>
      <c r="AV3474" s="7"/>
    </row>
    <row r="3475" spans="47:48" x14ac:dyDescent="0.25">
      <c r="AU3475" s="7"/>
      <c r="AV3475" s="7"/>
    </row>
    <row r="3476" spans="47:48" x14ac:dyDescent="0.25">
      <c r="AU3476" s="7"/>
      <c r="AV3476" s="7"/>
    </row>
    <row r="3477" spans="47:48" x14ac:dyDescent="0.25">
      <c r="AU3477" s="7"/>
      <c r="AV3477" s="7"/>
    </row>
    <row r="3478" spans="47:48" x14ac:dyDescent="0.25">
      <c r="AU3478" s="7"/>
      <c r="AV3478" s="7"/>
    </row>
    <row r="3479" spans="47:48" x14ac:dyDescent="0.25">
      <c r="AU3479" s="7"/>
      <c r="AV3479" s="7"/>
    </row>
    <row r="3480" spans="47:48" x14ac:dyDescent="0.25">
      <c r="AU3480" s="7"/>
      <c r="AV3480" s="7"/>
    </row>
    <row r="3481" spans="47:48" x14ac:dyDescent="0.25">
      <c r="AU3481" s="7"/>
      <c r="AV3481" s="7"/>
    </row>
    <row r="3482" spans="47:48" x14ac:dyDescent="0.25">
      <c r="AU3482" s="7"/>
      <c r="AV3482" s="7"/>
    </row>
    <row r="3483" spans="47:48" x14ac:dyDescent="0.25">
      <c r="AU3483" s="7"/>
      <c r="AV3483" s="7"/>
    </row>
    <row r="3484" spans="47:48" x14ac:dyDescent="0.25">
      <c r="AU3484" s="7"/>
      <c r="AV3484" s="7"/>
    </row>
    <row r="3485" spans="47:48" x14ac:dyDescent="0.25">
      <c r="AU3485" s="7"/>
      <c r="AV3485" s="7"/>
    </row>
    <row r="3486" spans="47:48" x14ac:dyDescent="0.25">
      <c r="AU3486" s="7"/>
      <c r="AV3486" s="7"/>
    </row>
    <row r="3487" spans="47:48" x14ac:dyDescent="0.25">
      <c r="AU3487" s="7"/>
      <c r="AV3487" s="7"/>
    </row>
    <row r="3488" spans="47:48" x14ac:dyDescent="0.25">
      <c r="AU3488" s="7"/>
      <c r="AV3488" s="7"/>
    </row>
    <row r="3489" spans="47:48" x14ac:dyDescent="0.25">
      <c r="AU3489" s="7"/>
      <c r="AV3489" s="7"/>
    </row>
    <row r="3490" spans="47:48" x14ac:dyDescent="0.25">
      <c r="AU3490" s="7"/>
      <c r="AV3490" s="7"/>
    </row>
    <row r="3491" spans="47:48" x14ac:dyDescent="0.25">
      <c r="AU3491" s="7"/>
      <c r="AV3491" s="7"/>
    </row>
    <row r="3492" spans="47:48" x14ac:dyDescent="0.25">
      <c r="AU3492" s="7"/>
      <c r="AV3492" s="7"/>
    </row>
    <row r="3493" spans="47:48" x14ac:dyDescent="0.25">
      <c r="AU3493" s="7"/>
      <c r="AV3493" s="7"/>
    </row>
    <row r="3494" spans="47:48" x14ac:dyDescent="0.25">
      <c r="AU3494" s="7"/>
      <c r="AV3494" s="7"/>
    </row>
    <row r="3495" spans="47:48" x14ac:dyDescent="0.25">
      <c r="AU3495" s="7"/>
      <c r="AV3495" s="7"/>
    </row>
    <row r="3496" spans="47:48" x14ac:dyDescent="0.25">
      <c r="AU3496" s="7"/>
      <c r="AV3496" s="7"/>
    </row>
    <row r="3497" spans="47:48" x14ac:dyDescent="0.25">
      <c r="AU3497" s="7"/>
      <c r="AV3497" s="7"/>
    </row>
    <row r="3498" spans="47:48" x14ac:dyDescent="0.25">
      <c r="AU3498" s="7"/>
      <c r="AV3498" s="7"/>
    </row>
    <row r="3499" spans="47:48" x14ac:dyDescent="0.25">
      <c r="AU3499" s="7"/>
      <c r="AV3499" s="7"/>
    </row>
    <row r="3500" spans="47:48" x14ac:dyDescent="0.25">
      <c r="AU3500" s="7"/>
      <c r="AV3500" s="7"/>
    </row>
    <row r="3501" spans="47:48" x14ac:dyDescent="0.25">
      <c r="AU3501" s="7"/>
      <c r="AV3501" s="7"/>
    </row>
    <row r="3502" spans="47:48" x14ac:dyDescent="0.25">
      <c r="AU3502" s="7"/>
      <c r="AV3502" s="7"/>
    </row>
    <row r="3503" spans="47:48" x14ac:dyDescent="0.25">
      <c r="AU3503" s="7"/>
      <c r="AV3503" s="7"/>
    </row>
    <row r="3504" spans="47:48" x14ac:dyDescent="0.25">
      <c r="AU3504" s="7"/>
      <c r="AV3504" s="7"/>
    </row>
    <row r="3505" spans="47:48" x14ac:dyDescent="0.25">
      <c r="AU3505" s="7"/>
      <c r="AV3505" s="7"/>
    </row>
    <row r="3506" spans="47:48" x14ac:dyDescent="0.25">
      <c r="AU3506" s="7"/>
      <c r="AV3506" s="7"/>
    </row>
    <row r="3507" spans="47:48" x14ac:dyDescent="0.25">
      <c r="AU3507" s="7"/>
      <c r="AV3507" s="7"/>
    </row>
    <row r="3508" spans="47:48" x14ac:dyDescent="0.25">
      <c r="AU3508" s="7"/>
      <c r="AV3508" s="7"/>
    </row>
    <row r="3509" spans="47:48" x14ac:dyDescent="0.25">
      <c r="AU3509" s="7"/>
      <c r="AV3509" s="7"/>
    </row>
    <row r="3510" spans="47:48" x14ac:dyDescent="0.25">
      <c r="AU3510" s="7"/>
      <c r="AV3510" s="7"/>
    </row>
    <row r="3511" spans="47:48" x14ac:dyDescent="0.25">
      <c r="AU3511" s="7"/>
      <c r="AV3511" s="7"/>
    </row>
    <row r="3512" spans="47:48" x14ac:dyDescent="0.25">
      <c r="AU3512" s="7"/>
      <c r="AV3512" s="7"/>
    </row>
    <row r="3513" spans="47:48" x14ac:dyDescent="0.25">
      <c r="AU3513" s="7"/>
      <c r="AV3513" s="7"/>
    </row>
    <row r="3514" spans="47:48" x14ac:dyDescent="0.25">
      <c r="AU3514" s="7"/>
      <c r="AV3514" s="7"/>
    </row>
    <row r="3515" spans="47:48" x14ac:dyDescent="0.25">
      <c r="AU3515" s="7"/>
      <c r="AV3515" s="7"/>
    </row>
    <row r="3516" spans="47:48" x14ac:dyDescent="0.25">
      <c r="AU3516" s="7"/>
      <c r="AV3516" s="7"/>
    </row>
    <row r="3517" spans="47:48" x14ac:dyDescent="0.25">
      <c r="AU3517" s="7"/>
      <c r="AV3517" s="7"/>
    </row>
    <row r="3518" spans="47:48" x14ac:dyDescent="0.25">
      <c r="AU3518" s="7"/>
      <c r="AV3518" s="7"/>
    </row>
    <row r="3519" spans="47:48" x14ac:dyDescent="0.25">
      <c r="AU3519" s="7"/>
      <c r="AV3519" s="7"/>
    </row>
    <row r="3520" spans="47:48" x14ac:dyDescent="0.25">
      <c r="AU3520" s="7"/>
      <c r="AV3520" s="7"/>
    </row>
    <row r="3521" spans="47:48" x14ac:dyDescent="0.25">
      <c r="AU3521" s="7"/>
      <c r="AV3521" s="7"/>
    </row>
    <row r="3522" spans="47:48" x14ac:dyDescent="0.25">
      <c r="AU3522" s="7"/>
      <c r="AV3522" s="7"/>
    </row>
    <row r="3523" spans="47:48" x14ac:dyDescent="0.25">
      <c r="AU3523" s="7"/>
      <c r="AV3523" s="7"/>
    </row>
    <row r="3524" spans="47:48" x14ac:dyDescent="0.25">
      <c r="AU3524" s="7"/>
      <c r="AV3524" s="7"/>
    </row>
    <row r="3525" spans="47:48" x14ac:dyDescent="0.25">
      <c r="AU3525" s="7"/>
      <c r="AV3525" s="7"/>
    </row>
    <row r="3526" spans="47:48" x14ac:dyDescent="0.25">
      <c r="AU3526" s="7"/>
      <c r="AV3526" s="7"/>
    </row>
    <row r="3527" spans="47:48" x14ac:dyDescent="0.25">
      <c r="AU3527" s="7"/>
      <c r="AV3527" s="7"/>
    </row>
    <row r="3528" spans="47:48" x14ac:dyDescent="0.25">
      <c r="AU3528" s="7"/>
      <c r="AV3528" s="7"/>
    </row>
    <row r="3529" spans="47:48" x14ac:dyDescent="0.25">
      <c r="AU3529" s="7"/>
      <c r="AV3529" s="7"/>
    </row>
    <row r="3530" spans="47:48" x14ac:dyDescent="0.25">
      <c r="AU3530" s="7"/>
      <c r="AV3530" s="7"/>
    </row>
    <row r="3531" spans="47:48" x14ac:dyDescent="0.25">
      <c r="AU3531" s="7"/>
      <c r="AV3531" s="7"/>
    </row>
    <row r="3532" spans="47:48" x14ac:dyDescent="0.25">
      <c r="AU3532" s="7"/>
      <c r="AV3532" s="7"/>
    </row>
    <row r="3533" spans="47:48" x14ac:dyDescent="0.25">
      <c r="AU3533" s="7"/>
      <c r="AV3533" s="7"/>
    </row>
    <row r="3534" spans="47:48" x14ac:dyDescent="0.25">
      <c r="AU3534" s="7"/>
      <c r="AV3534" s="7"/>
    </row>
    <row r="3535" spans="47:48" x14ac:dyDescent="0.25">
      <c r="AU3535" s="7"/>
      <c r="AV3535" s="7"/>
    </row>
    <row r="3536" spans="47:48" x14ac:dyDescent="0.25">
      <c r="AU3536" s="7"/>
      <c r="AV3536" s="7"/>
    </row>
    <row r="3537" spans="47:48" x14ac:dyDescent="0.25">
      <c r="AU3537" s="7"/>
      <c r="AV3537" s="7"/>
    </row>
    <row r="3538" spans="47:48" x14ac:dyDescent="0.25">
      <c r="AU3538" s="7"/>
      <c r="AV3538" s="7"/>
    </row>
    <row r="3539" spans="47:48" x14ac:dyDescent="0.25">
      <c r="AU3539" s="7"/>
      <c r="AV3539" s="7"/>
    </row>
    <row r="3540" spans="47:48" x14ac:dyDescent="0.25">
      <c r="AU3540" s="7"/>
      <c r="AV3540" s="7"/>
    </row>
    <row r="3541" spans="47:48" x14ac:dyDescent="0.25">
      <c r="AU3541" s="7"/>
      <c r="AV3541" s="7"/>
    </row>
    <row r="3542" spans="47:48" x14ac:dyDescent="0.25">
      <c r="AU3542" s="7"/>
      <c r="AV3542" s="7"/>
    </row>
    <row r="3543" spans="47:48" x14ac:dyDescent="0.25">
      <c r="AU3543" s="7"/>
      <c r="AV3543" s="7"/>
    </row>
    <row r="3544" spans="47:48" x14ac:dyDescent="0.25">
      <c r="AU3544" s="7"/>
      <c r="AV3544" s="7"/>
    </row>
    <row r="3545" spans="47:48" x14ac:dyDescent="0.25">
      <c r="AU3545" s="7"/>
      <c r="AV3545" s="7"/>
    </row>
    <row r="3546" spans="47:48" x14ac:dyDescent="0.25">
      <c r="AU3546" s="7"/>
      <c r="AV3546" s="7"/>
    </row>
    <row r="3547" spans="47:48" x14ac:dyDescent="0.25">
      <c r="AU3547" s="7"/>
      <c r="AV3547" s="7"/>
    </row>
    <row r="3548" spans="47:48" x14ac:dyDescent="0.25">
      <c r="AU3548" s="7"/>
      <c r="AV3548" s="7"/>
    </row>
    <row r="3549" spans="47:48" x14ac:dyDescent="0.25">
      <c r="AU3549" s="7"/>
      <c r="AV3549" s="7"/>
    </row>
    <row r="3550" spans="47:48" x14ac:dyDescent="0.25">
      <c r="AU3550" s="7"/>
      <c r="AV3550" s="7"/>
    </row>
    <row r="3551" spans="47:48" x14ac:dyDescent="0.25">
      <c r="AU3551" s="7"/>
      <c r="AV3551" s="7"/>
    </row>
    <row r="3552" spans="47:48" x14ac:dyDescent="0.25">
      <c r="AU3552" s="7"/>
      <c r="AV3552" s="7"/>
    </row>
    <row r="3553" spans="47:48" x14ac:dyDescent="0.25">
      <c r="AU3553" s="7"/>
      <c r="AV3553" s="7"/>
    </row>
    <row r="3554" spans="47:48" x14ac:dyDescent="0.25">
      <c r="AU3554" s="7"/>
      <c r="AV3554" s="7"/>
    </row>
    <row r="3555" spans="47:48" x14ac:dyDescent="0.25">
      <c r="AU3555" s="7"/>
      <c r="AV3555" s="7"/>
    </row>
    <row r="3556" spans="47:48" x14ac:dyDescent="0.25">
      <c r="AU3556" s="7"/>
      <c r="AV3556" s="7"/>
    </row>
    <row r="3557" spans="47:48" x14ac:dyDescent="0.25">
      <c r="AU3557" s="7"/>
      <c r="AV3557" s="7"/>
    </row>
    <row r="3558" spans="47:48" x14ac:dyDescent="0.25">
      <c r="AU3558" s="7"/>
      <c r="AV3558" s="7"/>
    </row>
    <row r="3559" spans="47:48" x14ac:dyDescent="0.25">
      <c r="AU3559" s="7"/>
      <c r="AV3559" s="7"/>
    </row>
    <row r="3560" spans="47:48" x14ac:dyDescent="0.25">
      <c r="AU3560" s="7"/>
      <c r="AV3560" s="7"/>
    </row>
    <row r="3561" spans="47:48" x14ac:dyDescent="0.25">
      <c r="AU3561" s="7"/>
      <c r="AV3561" s="7"/>
    </row>
    <row r="3562" spans="47:48" x14ac:dyDescent="0.25">
      <c r="AU3562" s="7"/>
      <c r="AV3562" s="7"/>
    </row>
    <row r="3563" spans="47:48" x14ac:dyDescent="0.25">
      <c r="AU3563" s="7"/>
      <c r="AV3563" s="7"/>
    </row>
    <row r="3564" spans="47:48" x14ac:dyDescent="0.25">
      <c r="AU3564" s="7"/>
      <c r="AV3564" s="7"/>
    </row>
    <row r="3565" spans="47:48" x14ac:dyDescent="0.25">
      <c r="AU3565" s="7"/>
      <c r="AV3565" s="7"/>
    </row>
    <row r="3566" spans="47:48" x14ac:dyDescent="0.25">
      <c r="AU3566" s="7"/>
      <c r="AV3566" s="7"/>
    </row>
    <row r="3567" spans="47:48" x14ac:dyDescent="0.25">
      <c r="AU3567" s="7"/>
      <c r="AV3567" s="7"/>
    </row>
    <row r="3568" spans="47:48" x14ac:dyDescent="0.25">
      <c r="AU3568" s="7"/>
      <c r="AV3568" s="7"/>
    </row>
    <row r="3569" spans="47:48" x14ac:dyDescent="0.25">
      <c r="AU3569" s="7"/>
      <c r="AV3569" s="7"/>
    </row>
    <row r="3570" spans="47:48" x14ac:dyDescent="0.25">
      <c r="AU3570" s="7"/>
      <c r="AV3570" s="7"/>
    </row>
    <row r="3571" spans="47:48" x14ac:dyDescent="0.25">
      <c r="AU3571" s="7"/>
      <c r="AV3571" s="7"/>
    </row>
    <row r="3572" spans="47:48" x14ac:dyDescent="0.25">
      <c r="AU3572" s="7"/>
      <c r="AV3572" s="7"/>
    </row>
    <row r="3573" spans="47:48" x14ac:dyDescent="0.25">
      <c r="AU3573" s="7"/>
      <c r="AV3573" s="7"/>
    </row>
    <row r="3574" spans="47:48" x14ac:dyDescent="0.25">
      <c r="AU3574" s="7"/>
      <c r="AV3574" s="7"/>
    </row>
    <row r="3575" spans="47:48" x14ac:dyDescent="0.25">
      <c r="AU3575" s="7"/>
      <c r="AV3575" s="7"/>
    </row>
    <row r="3576" spans="47:48" x14ac:dyDescent="0.25">
      <c r="AU3576" s="7"/>
      <c r="AV3576" s="7"/>
    </row>
    <row r="3577" spans="47:48" x14ac:dyDescent="0.25">
      <c r="AU3577" s="7"/>
      <c r="AV3577" s="7"/>
    </row>
    <row r="3578" spans="47:48" x14ac:dyDescent="0.25">
      <c r="AU3578" s="7"/>
      <c r="AV3578" s="7"/>
    </row>
    <row r="3579" spans="47:48" x14ac:dyDescent="0.25">
      <c r="AU3579" s="7"/>
      <c r="AV3579" s="7"/>
    </row>
    <row r="3580" spans="47:48" x14ac:dyDescent="0.25">
      <c r="AU3580" s="7"/>
      <c r="AV3580" s="7"/>
    </row>
    <row r="3581" spans="47:48" x14ac:dyDescent="0.25">
      <c r="AU3581" s="7"/>
      <c r="AV3581" s="7"/>
    </row>
    <row r="3582" spans="47:48" x14ac:dyDescent="0.25">
      <c r="AU3582" s="7"/>
      <c r="AV3582" s="7"/>
    </row>
    <row r="3583" spans="47:48" x14ac:dyDescent="0.25">
      <c r="AU3583" s="7"/>
      <c r="AV3583" s="7"/>
    </row>
    <row r="3584" spans="47:48" x14ac:dyDescent="0.25">
      <c r="AU3584" s="7"/>
      <c r="AV3584" s="7"/>
    </row>
    <row r="3585" spans="47:48" x14ac:dyDescent="0.25">
      <c r="AU3585" s="7"/>
      <c r="AV3585" s="7"/>
    </row>
    <row r="3586" spans="47:48" x14ac:dyDescent="0.25">
      <c r="AU3586" s="7"/>
      <c r="AV3586" s="7"/>
    </row>
    <row r="3587" spans="47:48" x14ac:dyDescent="0.25">
      <c r="AU3587" s="7"/>
      <c r="AV3587" s="7"/>
    </row>
    <row r="3588" spans="47:48" x14ac:dyDescent="0.25">
      <c r="AU3588" s="7"/>
      <c r="AV3588" s="7"/>
    </row>
    <row r="3589" spans="47:48" x14ac:dyDescent="0.25">
      <c r="AU3589" s="7"/>
      <c r="AV3589" s="7"/>
    </row>
    <row r="3590" spans="47:48" x14ac:dyDescent="0.25">
      <c r="AU3590" s="7"/>
      <c r="AV3590" s="7"/>
    </row>
    <row r="3591" spans="47:48" x14ac:dyDescent="0.25">
      <c r="AU3591" s="7"/>
      <c r="AV3591" s="7"/>
    </row>
    <row r="3592" spans="47:48" x14ac:dyDescent="0.25">
      <c r="AU3592" s="7"/>
      <c r="AV3592" s="7"/>
    </row>
    <row r="3593" spans="47:48" x14ac:dyDescent="0.25">
      <c r="AU3593" s="7"/>
      <c r="AV3593" s="7"/>
    </row>
    <row r="3594" spans="47:48" x14ac:dyDescent="0.25">
      <c r="AU3594" s="7"/>
      <c r="AV3594" s="7"/>
    </row>
    <row r="3595" spans="47:48" x14ac:dyDescent="0.25">
      <c r="AU3595" s="7"/>
      <c r="AV3595" s="7"/>
    </row>
    <row r="3596" spans="47:48" x14ac:dyDescent="0.25">
      <c r="AU3596" s="7"/>
      <c r="AV3596" s="7"/>
    </row>
    <row r="3597" spans="47:48" x14ac:dyDescent="0.25">
      <c r="AU3597" s="7"/>
      <c r="AV3597" s="7"/>
    </row>
    <row r="3598" spans="47:48" x14ac:dyDescent="0.25">
      <c r="AU3598" s="7"/>
      <c r="AV3598" s="7"/>
    </row>
    <row r="3599" spans="47:48" x14ac:dyDescent="0.25">
      <c r="AU3599" s="7"/>
      <c r="AV3599" s="7"/>
    </row>
    <row r="3600" spans="47:48" x14ac:dyDescent="0.25">
      <c r="AU3600" s="7"/>
      <c r="AV3600" s="7"/>
    </row>
    <row r="3601" spans="47:48" x14ac:dyDescent="0.25">
      <c r="AU3601" s="7"/>
      <c r="AV3601" s="7"/>
    </row>
    <row r="3602" spans="47:48" x14ac:dyDescent="0.25">
      <c r="AU3602" s="7"/>
      <c r="AV3602" s="7"/>
    </row>
    <row r="3603" spans="47:48" x14ac:dyDescent="0.25">
      <c r="AU3603" s="7"/>
      <c r="AV3603" s="7"/>
    </row>
    <row r="3604" spans="47:48" x14ac:dyDescent="0.25">
      <c r="AU3604" s="7"/>
      <c r="AV3604" s="7"/>
    </row>
    <row r="3605" spans="47:48" x14ac:dyDescent="0.25">
      <c r="AU3605" s="7"/>
      <c r="AV3605" s="7"/>
    </row>
    <row r="3606" spans="47:48" x14ac:dyDescent="0.25">
      <c r="AU3606" s="7"/>
      <c r="AV3606" s="7"/>
    </row>
    <row r="3607" spans="47:48" x14ac:dyDescent="0.25">
      <c r="AU3607" s="7"/>
      <c r="AV3607" s="7"/>
    </row>
    <row r="3608" spans="47:48" x14ac:dyDescent="0.25">
      <c r="AU3608" s="7"/>
      <c r="AV3608" s="7"/>
    </row>
    <row r="3609" spans="47:48" x14ac:dyDescent="0.25">
      <c r="AU3609" s="7"/>
      <c r="AV3609" s="7"/>
    </row>
    <row r="3610" spans="47:48" x14ac:dyDescent="0.25">
      <c r="AU3610" s="7"/>
      <c r="AV3610" s="7"/>
    </row>
    <row r="3611" spans="47:48" x14ac:dyDescent="0.25">
      <c r="AU3611" s="7"/>
      <c r="AV3611" s="7"/>
    </row>
    <row r="3612" spans="47:48" x14ac:dyDescent="0.25">
      <c r="AU3612" s="7"/>
      <c r="AV3612" s="7"/>
    </row>
    <row r="3613" spans="47:48" x14ac:dyDescent="0.25">
      <c r="AU3613" s="7"/>
      <c r="AV3613" s="7"/>
    </row>
    <row r="3614" spans="47:48" x14ac:dyDescent="0.25">
      <c r="AU3614" s="7"/>
      <c r="AV3614" s="7"/>
    </row>
    <row r="3615" spans="47:48" x14ac:dyDescent="0.25">
      <c r="AU3615" s="7"/>
      <c r="AV3615" s="7"/>
    </row>
    <row r="3616" spans="47:48" x14ac:dyDescent="0.25">
      <c r="AU3616" s="7"/>
      <c r="AV3616" s="7"/>
    </row>
    <row r="3617" spans="47:48" x14ac:dyDescent="0.25">
      <c r="AU3617" s="7"/>
      <c r="AV3617" s="7"/>
    </row>
    <row r="3618" spans="47:48" x14ac:dyDescent="0.25">
      <c r="AU3618" s="7"/>
      <c r="AV3618" s="7"/>
    </row>
    <row r="3619" spans="47:48" x14ac:dyDescent="0.25">
      <c r="AU3619" s="7"/>
      <c r="AV3619" s="7"/>
    </row>
    <row r="3620" spans="47:48" x14ac:dyDescent="0.25">
      <c r="AU3620" s="7"/>
      <c r="AV3620" s="7"/>
    </row>
    <row r="3621" spans="47:48" x14ac:dyDescent="0.25">
      <c r="AU3621" s="7"/>
      <c r="AV3621" s="7"/>
    </row>
    <row r="3622" spans="47:48" x14ac:dyDescent="0.25">
      <c r="AU3622" s="7"/>
      <c r="AV3622" s="7"/>
    </row>
    <row r="3623" spans="47:48" x14ac:dyDescent="0.25">
      <c r="AU3623" s="7"/>
      <c r="AV3623" s="7"/>
    </row>
    <row r="3624" spans="47:48" x14ac:dyDescent="0.25">
      <c r="AU3624" s="7"/>
      <c r="AV3624" s="7"/>
    </row>
    <row r="3625" spans="47:48" x14ac:dyDescent="0.25">
      <c r="AU3625" s="7"/>
      <c r="AV3625" s="7"/>
    </row>
    <row r="3626" spans="47:48" x14ac:dyDescent="0.25">
      <c r="AU3626" s="7"/>
      <c r="AV3626" s="7"/>
    </row>
    <row r="3627" spans="47:48" x14ac:dyDescent="0.25">
      <c r="AU3627" s="7"/>
      <c r="AV3627" s="7"/>
    </row>
    <row r="3628" spans="47:48" x14ac:dyDescent="0.25">
      <c r="AU3628" s="7"/>
      <c r="AV3628" s="7"/>
    </row>
    <row r="3629" spans="47:48" x14ac:dyDescent="0.25">
      <c r="AU3629" s="7"/>
      <c r="AV3629" s="7"/>
    </row>
    <row r="3630" spans="47:48" x14ac:dyDescent="0.25">
      <c r="AU3630" s="7"/>
      <c r="AV3630" s="7"/>
    </row>
    <row r="3631" spans="47:48" x14ac:dyDescent="0.25">
      <c r="AU3631" s="7"/>
      <c r="AV3631" s="7"/>
    </row>
    <row r="3632" spans="47:48" x14ac:dyDescent="0.25">
      <c r="AU3632" s="7"/>
      <c r="AV3632" s="7"/>
    </row>
    <row r="3633" spans="47:48" x14ac:dyDescent="0.25">
      <c r="AU3633" s="7"/>
      <c r="AV3633" s="7"/>
    </row>
    <row r="3634" spans="47:48" x14ac:dyDescent="0.25">
      <c r="AU3634" s="7"/>
      <c r="AV3634" s="7"/>
    </row>
    <row r="3635" spans="47:48" x14ac:dyDescent="0.25">
      <c r="AU3635" s="7"/>
      <c r="AV3635" s="7"/>
    </row>
    <row r="3636" spans="47:48" x14ac:dyDescent="0.25">
      <c r="AU3636" s="7"/>
      <c r="AV3636" s="7"/>
    </row>
    <row r="3637" spans="47:48" x14ac:dyDescent="0.25">
      <c r="AU3637" s="7"/>
      <c r="AV3637" s="7"/>
    </row>
    <row r="3638" spans="47:48" x14ac:dyDescent="0.25">
      <c r="AU3638" s="7"/>
      <c r="AV3638" s="7"/>
    </row>
    <row r="3639" spans="47:48" x14ac:dyDescent="0.25">
      <c r="AU3639" s="7"/>
      <c r="AV3639" s="7"/>
    </row>
    <row r="3640" spans="47:48" x14ac:dyDescent="0.25">
      <c r="AU3640" s="7"/>
      <c r="AV3640" s="7"/>
    </row>
    <row r="3641" spans="47:48" x14ac:dyDescent="0.25">
      <c r="AU3641" s="7"/>
      <c r="AV3641" s="7"/>
    </row>
    <row r="3642" spans="47:48" x14ac:dyDescent="0.25">
      <c r="AU3642" s="7"/>
      <c r="AV3642" s="7"/>
    </row>
    <row r="3643" spans="47:48" x14ac:dyDescent="0.25">
      <c r="AU3643" s="7"/>
      <c r="AV3643" s="7"/>
    </row>
    <row r="3644" spans="47:48" x14ac:dyDescent="0.25">
      <c r="AU3644" s="7"/>
      <c r="AV3644" s="7"/>
    </row>
    <row r="3645" spans="47:48" x14ac:dyDescent="0.25">
      <c r="AU3645" s="7"/>
      <c r="AV3645" s="7"/>
    </row>
    <row r="3646" spans="47:48" x14ac:dyDescent="0.25">
      <c r="AU3646" s="7"/>
      <c r="AV3646" s="7"/>
    </row>
    <row r="3647" spans="47:48" x14ac:dyDescent="0.25">
      <c r="AU3647" s="7"/>
      <c r="AV3647" s="7"/>
    </row>
    <row r="3648" spans="47:48" x14ac:dyDescent="0.25">
      <c r="AU3648" s="7"/>
      <c r="AV3648" s="7"/>
    </row>
    <row r="3649" spans="47:48" x14ac:dyDescent="0.25">
      <c r="AU3649" s="7"/>
      <c r="AV3649" s="7"/>
    </row>
    <row r="3650" spans="47:48" x14ac:dyDescent="0.25">
      <c r="AU3650" s="7"/>
      <c r="AV3650" s="7"/>
    </row>
    <row r="3651" spans="47:48" x14ac:dyDescent="0.25">
      <c r="AU3651" s="7"/>
      <c r="AV3651" s="7"/>
    </row>
    <row r="3652" spans="47:48" x14ac:dyDescent="0.25">
      <c r="AU3652" s="7"/>
      <c r="AV3652" s="7"/>
    </row>
    <row r="3653" spans="47:48" x14ac:dyDescent="0.25">
      <c r="AU3653" s="7"/>
      <c r="AV3653" s="7"/>
    </row>
    <row r="3654" spans="47:48" x14ac:dyDescent="0.25">
      <c r="AU3654" s="7"/>
      <c r="AV3654" s="7"/>
    </row>
    <row r="3655" spans="47:48" x14ac:dyDescent="0.25">
      <c r="AU3655" s="7"/>
      <c r="AV3655" s="7"/>
    </row>
    <row r="3656" spans="47:48" x14ac:dyDescent="0.25">
      <c r="AU3656" s="7"/>
      <c r="AV3656" s="7"/>
    </row>
    <row r="3657" spans="47:48" x14ac:dyDescent="0.25">
      <c r="AU3657" s="7"/>
      <c r="AV3657" s="7"/>
    </row>
    <row r="3658" spans="47:48" x14ac:dyDescent="0.25">
      <c r="AU3658" s="7"/>
      <c r="AV3658" s="7"/>
    </row>
    <row r="3659" spans="47:48" x14ac:dyDescent="0.25">
      <c r="AU3659" s="7"/>
      <c r="AV3659" s="7"/>
    </row>
    <row r="3660" spans="47:48" x14ac:dyDescent="0.25">
      <c r="AU3660" s="7"/>
      <c r="AV3660" s="7"/>
    </row>
    <row r="3661" spans="47:48" x14ac:dyDescent="0.25">
      <c r="AU3661" s="7"/>
      <c r="AV3661" s="7"/>
    </row>
    <row r="3662" spans="47:48" x14ac:dyDescent="0.25">
      <c r="AU3662" s="7"/>
      <c r="AV3662" s="7"/>
    </row>
    <row r="3663" spans="47:48" x14ac:dyDescent="0.25">
      <c r="AU3663" s="7"/>
      <c r="AV3663" s="7"/>
    </row>
    <row r="3664" spans="47:48" x14ac:dyDescent="0.25">
      <c r="AU3664" s="7"/>
      <c r="AV3664" s="7"/>
    </row>
    <row r="3665" spans="47:48" x14ac:dyDescent="0.25">
      <c r="AU3665" s="7"/>
      <c r="AV3665" s="7"/>
    </row>
    <row r="3666" spans="47:48" x14ac:dyDescent="0.25">
      <c r="AU3666" s="7"/>
      <c r="AV3666" s="7"/>
    </row>
    <row r="3667" spans="47:48" x14ac:dyDescent="0.25">
      <c r="AU3667" s="7"/>
      <c r="AV3667" s="7"/>
    </row>
    <row r="3668" spans="47:48" x14ac:dyDescent="0.25">
      <c r="AU3668" s="7"/>
      <c r="AV3668" s="7"/>
    </row>
    <row r="3669" spans="47:48" x14ac:dyDescent="0.25">
      <c r="AU3669" s="7"/>
      <c r="AV3669" s="7"/>
    </row>
    <row r="3670" spans="47:48" x14ac:dyDescent="0.25">
      <c r="AU3670" s="7"/>
      <c r="AV3670" s="7"/>
    </row>
    <row r="3671" spans="47:48" x14ac:dyDescent="0.25">
      <c r="AU3671" s="7"/>
      <c r="AV3671" s="7"/>
    </row>
    <row r="3672" spans="47:48" x14ac:dyDescent="0.25">
      <c r="AU3672" s="7"/>
      <c r="AV3672" s="7"/>
    </row>
    <row r="3673" spans="47:48" x14ac:dyDescent="0.25">
      <c r="AU3673" s="7"/>
      <c r="AV3673" s="7"/>
    </row>
    <row r="3674" spans="47:48" x14ac:dyDescent="0.25">
      <c r="AU3674" s="7"/>
      <c r="AV3674" s="7"/>
    </row>
    <row r="3675" spans="47:48" x14ac:dyDescent="0.25">
      <c r="AU3675" s="7"/>
      <c r="AV3675" s="7"/>
    </row>
    <row r="3676" spans="47:48" x14ac:dyDescent="0.25">
      <c r="AU3676" s="7"/>
      <c r="AV3676" s="7"/>
    </row>
    <row r="3677" spans="47:48" x14ac:dyDescent="0.25">
      <c r="AU3677" s="7"/>
      <c r="AV3677" s="7"/>
    </row>
    <row r="3678" spans="47:48" x14ac:dyDescent="0.25">
      <c r="AU3678" s="7"/>
      <c r="AV3678" s="7"/>
    </row>
    <row r="3679" spans="47:48" x14ac:dyDescent="0.25">
      <c r="AU3679" s="7"/>
      <c r="AV3679" s="7"/>
    </row>
    <row r="3680" spans="47:48" x14ac:dyDescent="0.25">
      <c r="AU3680" s="7"/>
      <c r="AV3680" s="7"/>
    </row>
    <row r="3681" spans="47:48" x14ac:dyDescent="0.25">
      <c r="AU3681" s="7"/>
      <c r="AV3681" s="7"/>
    </row>
    <row r="3682" spans="47:48" x14ac:dyDescent="0.25">
      <c r="AU3682" s="7"/>
      <c r="AV3682" s="7"/>
    </row>
    <row r="3683" spans="47:48" x14ac:dyDescent="0.25">
      <c r="AU3683" s="7"/>
      <c r="AV3683" s="7"/>
    </row>
    <row r="3684" spans="47:48" x14ac:dyDescent="0.25">
      <c r="AU3684" s="7"/>
      <c r="AV3684" s="7"/>
    </row>
    <row r="3685" spans="47:48" x14ac:dyDescent="0.25">
      <c r="AU3685" s="7"/>
      <c r="AV3685" s="7"/>
    </row>
    <row r="3686" spans="47:48" x14ac:dyDescent="0.25">
      <c r="AU3686" s="7"/>
      <c r="AV3686" s="7"/>
    </row>
    <row r="3687" spans="47:48" x14ac:dyDescent="0.25">
      <c r="AU3687" s="7"/>
      <c r="AV3687" s="7"/>
    </row>
    <row r="3688" spans="47:48" x14ac:dyDescent="0.25">
      <c r="AU3688" s="7"/>
      <c r="AV3688" s="7"/>
    </row>
    <row r="3689" spans="47:48" x14ac:dyDescent="0.25">
      <c r="AU3689" s="7"/>
      <c r="AV3689" s="7"/>
    </row>
    <row r="3690" spans="47:48" x14ac:dyDescent="0.25">
      <c r="AU3690" s="7"/>
      <c r="AV3690" s="7"/>
    </row>
    <row r="3691" spans="47:48" x14ac:dyDescent="0.25">
      <c r="AU3691" s="7"/>
      <c r="AV3691" s="7"/>
    </row>
    <row r="3692" spans="47:48" x14ac:dyDescent="0.25">
      <c r="AU3692" s="7"/>
      <c r="AV3692" s="7"/>
    </row>
    <row r="3693" spans="47:48" x14ac:dyDescent="0.25">
      <c r="AU3693" s="7"/>
      <c r="AV3693" s="7"/>
    </row>
    <row r="3694" spans="47:48" x14ac:dyDescent="0.25">
      <c r="AU3694" s="7"/>
      <c r="AV3694" s="7"/>
    </row>
    <row r="3695" spans="47:48" x14ac:dyDescent="0.25">
      <c r="AU3695" s="7"/>
      <c r="AV3695" s="7"/>
    </row>
    <row r="3696" spans="47:48" x14ac:dyDescent="0.25">
      <c r="AU3696" s="7"/>
      <c r="AV3696" s="7"/>
    </row>
    <row r="3697" spans="47:48" x14ac:dyDescent="0.25">
      <c r="AU3697" s="7"/>
      <c r="AV3697" s="7"/>
    </row>
    <row r="3698" spans="47:48" x14ac:dyDescent="0.25">
      <c r="AU3698" s="7"/>
      <c r="AV3698" s="7"/>
    </row>
    <row r="3699" spans="47:48" x14ac:dyDescent="0.25">
      <c r="AU3699" s="7"/>
      <c r="AV3699" s="7"/>
    </row>
    <row r="3700" spans="47:48" x14ac:dyDescent="0.25">
      <c r="AU3700" s="7"/>
      <c r="AV3700" s="7"/>
    </row>
    <row r="3701" spans="47:48" x14ac:dyDescent="0.25">
      <c r="AU3701" s="7"/>
      <c r="AV3701" s="7"/>
    </row>
    <row r="3702" spans="47:48" x14ac:dyDescent="0.25">
      <c r="AU3702" s="7"/>
      <c r="AV3702" s="7"/>
    </row>
    <row r="3703" spans="47:48" x14ac:dyDescent="0.25">
      <c r="AU3703" s="7"/>
      <c r="AV3703" s="7"/>
    </row>
    <row r="3704" spans="47:48" x14ac:dyDescent="0.25">
      <c r="AU3704" s="7"/>
      <c r="AV3704" s="7"/>
    </row>
    <row r="3705" spans="47:48" x14ac:dyDescent="0.25">
      <c r="AU3705" s="7"/>
      <c r="AV3705" s="7"/>
    </row>
    <row r="3706" spans="47:48" x14ac:dyDescent="0.25">
      <c r="AU3706" s="7"/>
      <c r="AV3706" s="7"/>
    </row>
    <row r="3707" spans="47:48" x14ac:dyDescent="0.25">
      <c r="AU3707" s="7"/>
      <c r="AV3707" s="7"/>
    </row>
    <row r="3708" spans="47:48" x14ac:dyDescent="0.25">
      <c r="AU3708" s="7"/>
      <c r="AV3708" s="7"/>
    </row>
    <row r="3709" spans="47:48" x14ac:dyDescent="0.25">
      <c r="AU3709" s="7"/>
      <c r="AV3709" s="7"/>
    </row>
    <row r="3710" spans="47:48" x14ac:dyDescent="0.25">
      <c r="AU3710" s="7"/>
      <c r="AV3710" s="7"/>
    </row>
    <row r="3711" spans="47:48" x14ac:dyDescent="0.25">
      <c r="AU3711" s="7"/>
      <c r="AV3711" s="7"/>
    </row>
    <row r="3712" spans="47:48" x14ac:dyDescent="0.25">
      <c r="AU3712" s="7"/>
      <c r="AV3712" s="7"/>
    </row>
    <row r="3713" spans="47:48" x14ac:dyDescent="0.25">
      <c r="AU3713" s="7"/>
      <c r="AV3713" s="7"/>
    </row>
    <row r="3714" spans="47:48" x14ac:dyDescent="0.25">
      <c r="AU3714" s="7"/>
      <c r="AV3714" s="7"/>
    </row>
    <row r="3715" spans="47:48" x14ac:dyDescent="0.25">
      <c r="AU3715" s="7"/>
      <c r="AV3715" s="7"/>
    </row>
    <row r="3716" spans="47:48" x14ac:dyDescent="0.25">
      <c r="AU3716" s="7"/>
      <c r="AV3716" s="7"/>
    </row>
    <row r="3717" spans="47:48" x14ac:dyDescent="0.25">
      <c r="AU3717" s="7"/>
      <c r="AV3717" s="7"/>
    </row>
    <row r="3718" spans="47:48" x14ac:dyDescent="0.25">
      <c r="AU3718" s="7"/>
      <c r="AV3718" s="7"/>
    </row>
    <row r="3719" spans="47:48" x14ac:dyDescent="0.25">
      <c r="AU3719" s="7"/>
      <c r="AV3719" s="7"/>
    </row>
    <row r="3720" spans="47:48" x14ac:dyDescent="0.25">
      <c r="AU3720" s="7"/>
      <c r="AV3720" s="7"/>
    </row>
    <row r="3721" spans="47:48" x14ac:dyDescent="0.25">
      <c r="AU3721" s="7"/>
      <c r="AV3721" s="7"/>
    </row>
    <row r="3722" spans="47:48" x14ac:dyDescent="0.25">
      <c r="AU3722" s="7"/>
      <c r="AV3722" s="7"/>
    </row>
    <row r="3723" spans="47:48" x14ac:dyDescent="0.25">
      <c r="AU3723" s="7"/>
      <c r="AV3723" s="7"/>
    </row>
    <row r="3724" spans="47:48" x14ac:dyDescent="0.25">
      <c r="AU3724" s="7"/>
      <c r="AV3724" s="7"/>
    </row>
    <row r="3725" spans="47:48" x14ac:dyDescent="0.25">
      <c r="AU3725" s="7"/>
      <c r="AV3725" s="7"/>
    </row>
    <row r="3726" spans="47:48" x14ac:dyDescent="0.25">
      <c r="AU3726" s="7"/>
      <c r="AV3726" s="7"/>
    </row>
    <row r="3727" spans="47:48" x14ac:dyDescent="0.25">
      <c r="AU3727" s="7"/>
      <c r="AV3727" s="7"/>
    </row>
    <row r="3728" spans="47:48" x14ac:dyDescent="0.25">
      <c r="AU3728" s="7"/>
      <c r="AV3728" s="7"/>
    </row>
    <row r="3729" spans="47:48" x14ac:dyDescent="0.25">
      <c r="AU3729" s="7"/>
      <c r="AV3729" s="7"/>
    </row>
    <row r="3730" spans="47:48" x14ac:dyDescent="0.25">
      <c r="AU3730" s="7"/>
      <c r="AV3730" s="7"/>
    </row>
    <row r="3731" spans="47:48" x14ac:dyDescent="0.25">
      <c r="AU3731" s="7"/>
      <c r="AV3731" s="7"/>
    </row>
    <row r="3732" spans="47:48" x14ac:dyDescent="0.25">
      <c r="AU3732" s="7"/>
      <c r="AV3732" s="7"/>
    </row>
    <row r="3733" spans="47:48" x14ac:dyDescent="0.25">
      <c r="AU3733" s="7"/>
      <c r="AV3733" s="7"/>
    </row>
    <row r="3734" spans="47:48" x14ac:dyDescent="0.25">
      <c r="AU3734" s="7"/>
      <c r="AV3734" s="7"/>
    </row>
    <row r="3735" spans="47:48" x14ac:dyDescent="0.25">
      <c r="AU3735" s="7"/>
      <c r="AV3735" s="7"/>
    </row>
    <row r="3736" spans="47:48" x14ac:dyDescent="0.25">
      <c r="AU3736" s="7"/>
      <c r="AV3736" s="7"/>
    </row>
    <row r="3737" spans="47:48" x14ac:dyDescent="0.25">
      <c r="AU3737" s="7"/>
      <c r="AV3737" s="7"/>
    </row>
    <row r="3738" spans="47:48" x14ac:dyDescent="0.25">
      <c r="AU3738" s="7"/>
      <c r="AV3738" s="7"/>
    </row>
    <row r="3739" spans="47:48" x14ac:dyDescent="0.25">
      <c r="AU3739" s="7"/>
      <c r="AV3739" s="7"/>
    </row>
    <row r="3740" spans="47:48" x14ac:dyDescent="0.25">
      <c r="AU3740" s="7"/>
      <c r="AV3740" s="7"/>
    </row>
    <row r="3741" spans="47:48" x14ac:dyDescent="0.25">
      <c r="AU3741" s="7"/>
      <c r="AV3741" s="7"/>
    </row>
    <row r="3742" spans="47:48" x14ac:dyDescent="0.25">
      <c r="AU3742" s="7"/>
      <c r="AV3742" s="7"/>
    </row>
    <row r="3743" spans="47:48" x14ac:dyDescent="0.25">
      <c r="AU3743" s="7"/>
      <c r="AV3743" s="7"/>
    </row>
    <row r="3744" spans="47:48" x14ac:dyDescent="0.25">
      <c r="AU3744" s="7"/>
      <c r="AV3744" s="7"/>
    </row>
    <row r="3745" spans="47:48" x14ac:dyDescent="0.25">
      <c r="AU3745" s="7"/>
      <c r="AV3745" s="7"/>
    </row>
    <row r="3746" spans="47:48" x14ac:dyDescent="0.25">
      <c r="AU3746" s="7"/>
      <c r="AV3746" s="7"/>
    </row>
    <row r="3747" spans="47:48" x14ac:dyDescent="0.25">
      <c r="AU3747" s="7"/>
      <c r="AV3747" s="7"/>
    </row>
    <row r="3748" spans="47:48" x14ac:dyDescent="0.25">
      <c r="AU3748" s="7"/>
      <c r="AV3748" s="7"/>
    </row>
    <row r="3749" spans="47:48" x14ac:dyDescent="0.25">
      <c r="AU3749" s="7"/>
      <c r="AV3749" s="7"/>
    </row>
    <row r="3750" spans="47:48" x14ac:dyDescent="0.25">
      <c r="AU3750" s="7"/>
      <c r="AV3750" s="7"/>
    </row>
    <row r="3751" spans="47:48" x14ac:dyDescent="0.25">
      <c r="AU3751" s="7"/>
      <c r="AV3751" s="7"/>
    </row>
    <row r="3752" spans="47:48" x14ac:dyDescent="0.25">
      <c r="AU3752" s="7"/>
      <c r="AV3752" s="7"/>
    </row>
    <row r="3753" spans="47:48" x14ac:dyDescent="0.25">
      <c r="AU3753" s="7"/>
      <c r="AV3753" s="7"/>
    </row>
    <row r="3754" spans="47:48" x14ac:dyDescent="0.25">
      <c r="AU3754" s="7"/>
      <c r="AV3754" s="7"/>
    </row>
    <row r="3755" spans="47:48" x14ac:dyDescent="0.25">
      <c r="AU3755" s="7"/>
      <c r="AV3755" s="7"/>
    </row>
    <row r="3756" spans="47:48" x14ac:dyDescent="0.25">
      <c r="AU3756" s="7"/>
      <c r="AV3756" s="7"/>
    </row>
    <row r="3757" spans="47:48" x14ac:dyDescent="0.25">
      <c r="AU3757" s="7"/>
      <c r="AV3757" s="7"/>
    </row>
    <row r="3758" spans="47:48" x14ac:dyDescent="0.25">
      <c r="AU3758" s="7"/>
      <c r="AV3758" s="7"/>
    </row>
    <row r="3759" spans="47:48" x14ac:dyDescent="0.25">
      <c r="AU3759" s="7"/>
      <c r="AV3759" s="7"/>
    </row>
    <row r="3760" spans="47:48" x14ac:dyDescent="0.25">
      <c r="AU3760" s="7"/>
      <c r="AV3760" s="7"/>
    </row>
    <row r="3761" spans="47:48" x14ac:dyDescent="0.25">
      <c r="AU3761" s="7"/>
      <c r="AV3761" s="7"/>
    </row>
    <row r="3762" spans="47:48" x14ac:dyDescent="0.25">
      <c r="AU3762" s="7"/>
      <c r="AV3762" s="7"/>
    </row>
    <row r="3763" spans="47:48" x14ac:dyDescent="0.25">
      <c r="AU3763" s="7"/>
      <c r="AV3763" s="7"/>
    </row>
    <row r="3764" spans="47:48" x14ac:dyDescent="0.25">
      <c r="AU3764" s="7"/>
      <c r="AV3764" s="7"/>
    </row>
    <row r="3765" spans="47:48" x14ac:dyDescent="0.25">
      <c r="AU3765" s="7"/>
      <c r="AV3765" s="7"/>
    </row>
    <row r="3766" spans="47:48" x14ac:dyDescent="0.25">
      <c r="AU3766" s="7"/>
      <c r="AV3766" s="7"/>
    </row>
    <row r="3767" spans="47:48" x14ac:dyDescent="0.25">
      <c r="AU3767" s="7"/>
      <c r="AV3767" s="7"/>
    </row>
    <row r="3768" spans="47:48" x14ac:dyDescent="0.25">
      <c r="AU3768" s="7"/>
      <c r="AV3768" s="7"/>
    </row>
    <row r="3769" spans="47:48" x14ac:dyDescent="0.25">
      <c r="AU3769" s="7"/>
      <c r="AV3769" s="7"/>
    </row>
    <row r="3770" spans="47:48" x14ac:dyDescent="0.25">
      <c r="AU3770" s="7"/>
      <c r="AV3770" s="7"/>
    </row>
    <row r="3771" spans="47:48" x14ac:dyDescent="0.25">
      <c r="AU3771" s="7"/>
      <c r="AV3771" s="7"/>
    </row>
    <row r="3772" spans="47:48" x14ac:dyDescent="0.25">
      <c r="AU3772" s="7"/>
      <c r="AV3772" s="7"/>
    </row>
    <row r="3773" spans="47:48" x14ac:dyDescent="0.25">
      <c r="AU3773" s="7"/>
      <c r="AV3773" s="7"/>
    </row>
    <row r="3774" spans="47:48" x14ac:dyDescent="0.25">
      <c r="AU3774" s="7"/>
      <c r="AV3774" s="7"/>
    </row>
    <row r="3775" spans="47:48" x14ac:dyDescent="0.25">
      <c r="AU3775" s="7"/>
      <c r="AV3775" s="7"/>
    </row>
    <row r="3776" spans="47:48" x14ac:dyDescent="0.25">
      <c r="AU3776" s="7"/>
      <c r="AV3776" s="7"/>
    </row>
    <row r="3777" spans="47:48" x14ac:dyDescent="0.25">
      <c r="AU3777" s="7"/>
      <c r="AV3777" s="7"/>
    </row>
    <row r="3778" spans="47:48" x14ac:dyDescent="0.25">
      <c r="AU3778" s="7"/>
      <c r="AV3778" s="7"/>
    </row>
    <row r="3779" spans="47:48" x14ac:dyDescent="0.25">
      <c r="AU3779" s="7"/>
      <c r="AV3779" s="7"/>
    </row>
    <row r="3780" spans="47:48" x14ac:dyDescent="0.25">
      <c r="AU3780" s="7"/>
      <c r="AV3780" s="7"/>
    </row>
    <row r="3781" spans="47:48" x14ac:dyDescent="0.25">
      <c r="AU3781" s="7"/>
      <c r="AV3781" s="7"/>
    </row>
    <row r="3782" spans="47:48" x14ac:dyDescent="0.25">
      <c r="AU3782" s="7"/>
      <c r="AV3782" s="7"/>
    </row>
    <row r="3783" spans="47:48" x14ac:dyDescent="0.25">
      <c r="AU3783" s="7"/>
      <c r="AV3783" s="7"/>
    </row>
    <row r="3784" spans="47:48" x14ac:dyDescent="0.25">
      <c r="AU3784" s="7"/>
      <c r="AV3784" s="7"/>
    </row>
    <row r="3785" spans="47:48" x14ac:dyDescent="0.25">
      <c r="AU3785" s="7"/>
      <c r="AV3785" s="7"/>
    </row>
    <row r="3786" spans="47:48" x14ac:dyDescent="0.25">
      <c r="AU3786" s="7"/>
      <c r="AV3786" s="7"/>
    </row>
    <row r="3787" spans="47:48" x14ac:dyDescent="0.25">
      <c r="AU3787" s="7"/>
      <c r="AV3787" s="7"/>
    </row>
    <row r="3788" spans="47:48" x14ac:dyDescent="0.25">
      <c r="AU3788" s="7"/>
      <c r="AV3788" s="7"/>
    </row>
    <row r="3789" spans="47:48" x14ac:dyDescent="0.25">
      <c r="AU3789" s="7"/>
      <c r="AV3789" s="7"/>
    </row>
    <row r="3790" spans="47:48" x14ac:dyDescent="0.25">
      <c r="AU3790" s="7"/>
      <c r="AV3790" s="7"/>
    </row>
    <row r="3791" spans="47:48" x14ac:dyDescent="0.25">
      <c r="AU3791" s="7"/>
      <c r="AV3791" s="7"/>
    </row>
    <row r="3792" spans="47:48" x14ac:dyDescent="0.25">
      <c r="AU3792" s="7"/>
      <c r="AV3792" s="7"/>
    </row>
    <row r="3793" spans="47:48" x14ac:dyDescent="0.25">
      <c r="AU3793" s="7"/>
      <c r="AV3793" s="7"/>
    </row>
    <row r="3794" spans="47:48" x14ac:dyDescent="0.25">
      <c r="AU3794" s="7"/>
      <c r="AV3794" s="7"/>
    </row>
    <row r="3795" spans="47:48" x14ac:dyDescent="0.25">
      <c r="AU3795" s="7"/>
      <c r="AV3795" s="7"/>
    </row>
    <row r="3796" spans="47:48" x14ac:dyDescent="0.25">
      <c r="AU3796" s="7"/>
      <c r="AV3796" s="7"/>
    </row>
    <row r="3797" spans="47:48" x14ac:dyDescent="0.25">
      <c r="AU3797" s="7"/>
      <c r="AV3797" s="7"/>
    </row>
    <row r="3798" spans="47:48" x14ac:dyDescent="0.25">
      <c r="AU3798" s="7"/>
      <c r="AV3798" s="7"/>
    </row>
    <row r="3799" spans="47:48" x14ac:dyDescent="0.25">
      <c r="AU3799" s="7"/>
      <c r="AV3799" s="7"/>
    </row>
    <row r="3800" spans="47:48" x14ac:dyDescent="0.25">
      <c r="AU3800" s="7"/>
      <c r="AV3800" s="7"/>
    </row>
    <row r="3801" spans="47:48" x14ac:dyDescent="0.25">
      <c r="AU3801" s="7"/>
      <c r="AV3801" s="7"/>
    </row>
    <row r="3802" spans="47:48" x14ac:dyDescent="0.25">
      <c r="AU3802" s="7"/>
      <c r="AV3802" s="7"/>
    </row>
    <row r="3803" spans="47:48" x14ac:dyDescent="0.25">
      <c r="AU3803" s="7"/>
      <c r="AV3803" s="7"/>
    </row>
    <row r="3804" spans="47:48" x14ac:dyDescent="0.25">
      <c r="AU3804" s="7"/>
      <c r="AV3804" s="7"/>
    </row>
    <row r="3805" spans="47:48" x14ac:dyDescent="0.25">
      <c r="AU3805" s="7"/>
      <c r="AV3805" s="7"/>
    </row>
    <row r="3806" spans="47:48" x14ac:dyDescent="0.25">
      <c r="AU3806" s="7"/>
      <c r="AV3806" s="7"/>
    </row>
    <row r="3807" spans="47:48" x14ac:dyDescent="0.25">
      <c r="AU3807" s="7"/>
      <c r="AV3807" s="7"/>
    </row>
    <row r="3808" spans="47:48" x14ac:dyDescent="0.25">
      <c r="AU3808" s="7"/>
      <c r="AV3808" s="7"/>
    </row>
    <row r="3809" spans="47:48" x14ac:dyDescent="0.25">
      <c r="AU3809" s="7"/>
      <c r="AV3809" s="7"/>
    </row>
    <row r="3810" spans="47:48" x14ac:dyDescent="0.25">
      <c r="AU3810" s="7"/>
      <c r="AV3810" s="7"/>
    </row>
    <row r="3811" spans="47:48" x14ac:dyDescent="0.25">
      <c r="AU3811" s="7"/>
      <c r="AV3811" s="7"/>
    </row>
    <row r="3812" spans="47:48" x14ac:dyDescent="0.25">
      <c r="AU3812" s="7"/>
      <c r="AV3812" s="7"/>
    </row>
    <row r="3813" spans="47:48" x14ac:dyDescent="0.25">
      <c r="AU3813" s="7"/>
      <c r="AV3813" s="7"/>
    </row>
    <row r="3814" spans="47:48" x14ac:dyDescent="0.25">
      <c r="AU3814" s="7"/>
      <c r="AV3814" s="7"/>
    </row>
    <row r="3815" spans="47:48" x14ac:dyDescent="0.25">
      <c r="AU3815" s="7"/>
      <c r="AV3815" s="7"/>
    </row>
    <row r="3816" spans="47:48" x14ac:dyDescent="0.25">
      <c r="AU3816" s="7"/>
      <c r="AV3816" s="7"/>
    </row>
    <row r="3817" spans="47:48" x14ac:dyDescent="0.25">
      <c r="AU3817" s="7"/>
      <c r="AV3817" s="7"/>
    </row>
    <row r="3818" spans="47:48" x14ac:dyDescent="0.25">
      <c r="AU3818" s="7"/>
      <c r="AV3818" s="7"/>
    </row>
    <row r="3819" spans="47:48" x14ac:dyDescent="0.25">
      <c r="AU3819" s="7"/>
      <c r="AV3819" s="7"/>
    </row>
    <row r="3820" spans="47:48" x14ac:dyDescent="0.25">
      <c r="AU3820" s="7"/>
      <c r="AV3820" s="7"/>
    </row>
    <row r="3821" spans="47:48" x14ac:dyDescent="0.25">
      <c r="AU3821" s="7"/>
      <c r="AV3821" s="7"/>
    </row>
    <row r="3822" spans="47:48" x14ac:dyDescent="0.25">
      <c r="AU3822" s="7"/>
      <c r="AV3822" s="7"/>
    </row>
    <row r="3823" spans="47:48" x14ac:dyDescent="0.25">
      <c r="AU3823" s="7"/>
      <c r="AV3823" s="7"/>
    </row>
    <row r="3824" spans="47:48" x14ac:dyDescent="0.25">
      <c r="AU3824" s="7"/>
      <c r="AV3824" s="7"/>
    </row>
    <row r="3825" spans="47:48" x14ac:dyDescent="0.25">
      <c r="AU3825" s="7"/>
      <c r="AV3825" s="7"/>
    </row>
    <row r="3826" spans="47:48" x14ac:dyDescent="0.25">
      <c r="AU3826" s="7"/>
      <c r="AV3826" s="7"/>
    </row>
    <row r="3827" spans="47:48" x14ac:dyDescent="0.25">
      <c r="AU3827" s="7"/>
      <c r="AV3827" s="7"/>
    </row>
    <row r="3828" spans="47:48" x14ac:dyDescent="0.25">
      <c r="AU3828" s="7"/>
      <c r="AV3828" s="7"/>
    </row>
    <row r="3829" spans="47:48" x14ac:dyDescent="0.25">
      <c r="AU3829" s="7"/>
      <c r="AV3829" s="7"/>
    </row>
    <row r="3830" spans="47:48" x14ac:dyDescent="0.25">
      <c r="AU3830" s="7"/>
      <c r="AV3830" s="7"/>
    </row>
    <row r="3831" spans="47:48" x14ac:dyDescent="0.25">
      <c r="AU3831" s="7"/>
      <c r="AV3831" s="7"/>
    </row>
    <row r="3832" spans="47:48" x14ac:dyDescent="0.25">
      <c r="AU3832" s="7"/>
      <c r="AV3832" s="7"/>
    </row>
    <row r="3833" spans="47:48" x14ac:dyDescent="0.25">
      <c r="AU3833" s="7"/>
      <c r="AV3833" s="7"/>
    </row>
    <row r="3834" spans="47:48" x14ac:dyDescent="0.25">
      <c r="AU3834" s="7"/>
      <c r="AV3834" s="7"/>
    </row>
    <row r="3835" spans="47:48" x14ac:dyDescent="0.25">
      <c r="AU3835" s="7"/>
      <c r="AV3835" s="7"/>
    </row>
    <row r="3836" spans="47:48" x14ac:dyDescent="0.25">
      <c r="AU3836" s="7"/>
      <c r="AV3836" s="7"/>
    </row>
    <row r="3837" spans="47:48" x14ac:dyDescent="0.25">
      <c r="AU3837" s="7"/>
      <c r="AV3837" s="7"/>
    </row>
    <row r="3838" spans="47:48" x14ac:dyDescent="0.25">
      <c r="AU3838" s="7"/>
      <c r="AV3838" s="7"/>
    </row>
    <row r="3839" spans="47:48" x14ac:dyDescent="0.25">
      <c r="AU3839" s="7"/>
      <c r="AV3839" s="7"/>
    </row>
    <row r="3840" spans="47:48" x14ac:dyDescent="0.25">
      <c r="AU3840" s="7"/>
      <c r="AV3840" s="7"/>
    </row>
    <row r="3841" spans="47:48" x14ac:dyDescent="0.25">
      <c r="AU3841" s="7"/>
      <c r="AV3841" s="7"/>
    </row>
    <row r="3842" spans="47:48" x14ac:dyDescent="0.25">
      <c r="AU3842" s="7"/>
      <c r="AV3842" s="7"/>
    </row>
    <row r="3843" spans="47:48" x14ac:dyDescent="0.25">
      <c r="AU3843" s="7"/>
      <c r="AV3843" s="7"/>
    </row>
    <row r="3844" spans="47:48" x14ac:dyDescent="0.25">
      <c r="AU3844" s="7"/>
      <c r="AV3844" s="7"/>
    </row>
    <row r="3845" spans="47:48" x14ac:dyDescent="0.25">
      <c r="AU3845" s="7"/>
      <c r="AV3845" s="7"/>
    </row>
    <row r="3846" spans="47:48" x14ac:dyDescent="0.25">
      <c r="AU3846" s="7"/>
      <c r="AV3846" s="7"/>
    </row>
    <row r="3847" spans="47:48" x14ac:dyDescent="0.25">
      <c r="AU3847" s="7"/>
      <c r="AV3847" s="7"/>
    </row>
    <row r="3848" spans="47:48" x14ac:dyDescent="0.25">
      <c r="AU3848" s="7"/>
      <c r="AV3848" s="7"/>
    </row>
    <row r="3849" spans="47:48" x14ac:dyDescent="0.25">
      <c r="AU3849" s="7"/>
      <c r="AV3849" s="7"/>
    </row>
    <row r="3850" spans="47:48" x14ac:dyDescent="0.25">
      <c r="AU3850" s="7"/>
      <c r="AV3850" s="7"/>
    </row>
    <row r="3851" spans="47:48" x14ac:dyDescent="0.25">
      <c r="AU3851" s="7"/>
      <c r="AV3851" s="7"/>
    </row>
    <row r="3852" spans="47:48" x14ac:dyDescent="0.25">
      <c r="AU3852" s="7"/>
      <c r="AV3852" s="7"/>
    </row>
    <row r="3853" spans="47:48" x14ac:dyDescent="0.25">
      <c r="AU3853" s="7"/>
      <c r="AV3853" s="7"/>
    </row>
    <row r="3854" spans="47:48" x14ac:dyDescent="0.25">
      <c r="AU3854" s="7"/>
      <c r="AV3854" s="7"/>
    </row>
    <row r="3855" spans="47:48" x14ac:dyDescent="0.25">
      <c r="AU3855" s="7"/>
      <c r="AV3855" s="7"/>
    </row>
    <row r="3856" spans="47:48" x14ac:dyDescent="0.25">
      <c r="AU3856" s="7"/>
      <c r="AV3856" s="7"/>
    </row>
    <row r="3857" spans="47:48" x14ac:dyDescent="0.25">
      <c r="AU3857" s="7"/>
      <c r="AV3857" s="7"/>
    </row>
    <row r="3858" spans="47:48" x14ac:dyDescent="0.25">
      <c r="AU3858" s="7"/>
      <c r="AV3858" s="7"/>
    </row>
    <row r="3859" spans="47:48" x14ac:dyDescent="0.25">
      <c r="AU3859" s="7"/>
      <c r="AV3859" s="7"/>
    </row>
    <row r="3860" spans="47:48" x14ac:dyDescent="0.25">
      <c r="AU3860" s="7"/>
      <c r="AV3860" s="7"/>
    </row>
    <row r="3861" spans="47:48" x14ac:dyDescent="0.25">
      <c r="AU3861" s="7"/>
      <c r="AV3861" s="7"/>
    </row>
    <row r="3862" spans="47:48" x14ac:dyDescent="0.25">
      <c r="AU3862" s="7"/>
      <c r="AV3862" s="7"/>
    </row>
    <row r="3863" spans="47:48" x14ac:dyDescent="0.25">
      <c r="AU3863" s="7"/>
      <c r="AV3863" s="7"/>
    </row>
    <row r="3864" spans="47:48" x14ac:dyDescent="0.25">
      <c r="AU3864" s="7"/>
      <c r="AV3864" s="7"/>
    </row>
    <row r="3865" spans="47:48" x14ac:dyDescent="0.25">
      <c r="AU3865" s="7"/>
      <c r="AV3865" s="7"/>
    </row>
    <row r="3866" spans="47:48" x14ac:dyDescent="0.25">
      <c r="AU3866" s="7"/>
      <c r="AV3866" s="7"/>
    </row>
    <row r="3867" spans="47:48" x14ac:dyDescent="0.25">
      <c r="AU3867" s="7"/>
      <c r="AV3867" s="7"/>
    </row>
    <row r="3868" spans="47:48" x14ac:dyDescent="0.25">
      <c r="AU3868" s="7"/>
      <c r="AV3868" s="7"/>
    </row>
    <row r="3869" spans="47:48" x14ac:dyDescent="0.25">
      <c r="AU3869" s="7"/>
      <c r="AV3869" s="7"/>
    </row>
    <row r="3870" spans="47:48" x14ac:dyDescent="0.25">
      <c r="AU3870" s="7"/>
      <c r="AV3870" s="7"/>
    </row>
    <row r="3871" spans="47:48" x14ac:dyDescent="0.25">
      <c r="AU3871" s="7"/>
      <c r="AV3871" s="7"/>
    </row>
    <row r="3872" spans="47:48" x14ac:dyDescent="0.25">
      <c r="AU3872" s="7"/>
      <c r="AV3872" s="7"/>
    </row>
    <row r="3873" spans="47:48" x14ac:dyDescent="0.25">
      <c r="AU3873" s="7"/>
      <c r="AV3873" s="7"/>
    </row>
    <row r="3874" spans="47:48" x14ac:dyDescent="0.25">
      <c r="AU3874" s="7"/>
      <c r="AV3874" s="7"/>
    </row>
    <row r="3875" spans="47:48" x14ac:dyDescent="0.25">
      <c r="AU3875" s="7"/>
      <c r="AV3875" s="7"/>
    </row>
    <row r="3876" spans="47:48" x14ac:dyDescent="0.25">
      <c r="AU3876" s="7"/>
      <c r="AV3876" s="7"/>
    </row>
    <row r="3877" spans="47:48" x14ac:dyDescent="0.25">
      <c r="AU3877" s="7"/>
      <c r="AV3877" s="7"/>
    </row>
    <row r="3878" spans="47:48" x14ac:dyDescent="0.25">
      <c r="AU3878" s="7"/>
      <c r="AV3878" s="7"/>
    </row>
    <row r="3879" spans="47:48" x14ac:dyDescent="0.25">
      <c r="AU3879" s="7"/>
      <c r="AV3879" s="7"/>
    </row>
    <row r="3880" spans="47:48" x14ac:dyDescent="0.25">
      <c r="AU3880" s="7"/>
      <c r="AV3880" s="7"/>
    </row>
    <row r="3881" spans="47:48" x14ac:dyDescent="0.25">
      <c r="AU3881" s="7"/>
      <c r="AV3881" s="7"/>
    </row>
    <row r="3882" spans="47:48" x14ac:dyDescent="0.25">
      <c r="AU3882" s="7"/>
      <c r="AV3882" s="7"/>
    </row>
    <row r="3883" spans="47:48" x14ac:dyDescent="0.25">
      <c r="AU3883" s="7"/>
      <c r="AV3883" s="7"/>
    </row>
    <row r="3884" spans="47:48" x14ac:dyDescent="0.25">
      <c r="AU3884" s="7"/>
      <c r="AV3884" s="7"/>
    </row>
    <row r="3885" spans="47:48" x14ac:dyDescent="0.25">
      <c r="AU3885" s="7"/>
      <c r="AV3885" s="7"/>
    </row>
    <row r="3886" spans="47:48" x14ac:dyDescent="0.25">
      <c r="AU3886" s="7"/>
      <c r="AV3886" s="7"/>
    </row>
    <row r="3887" spans="47:48" x14ac:dyDescent="0.25">
      <c r="AU3887" s="7"/>
      <c r="AV3887" s="7"/>
    </row>
    <row r="3888" spans="47:48" x14ac:dyDescent="0.25">
      <c r="AU3888" s="7"/>
      <c r="AV3888" s="7"/>
    </row>
    <row r="3889" spans="47:48" x14ac:dyDescent="0.25">
      <c r="AU3889" s="7"/>
      <c r="AV3889" s="7"/>
    </row>
    <row r="3890" spans="47:48" x14ac:dyDescent="0.25">
      <c r="AU3890" s="7"/>
      <c r="AV3890" s="7"/>
    </row>
    <row r="3891" spans="47:48" x14ac:dyDescent="0.25">
      <c r="AU3891" s="7"/>
      <c r="AV3891" s="7"/>
    </row>
    <row r="3892" spans="47:48" x14ac:dyDescent="0.25">
      <c r="AU3892" s="7"/>
      <c r="AV3892" s="7"/>
    </row>
    <row r="3893" spans="47:48" x14ac:dyDescent="0.25">
      <c r="AU3893" s="7"/>
      <c r="AV3893" s="7"/>
    </row>
    <row r="3894" spans="47:48" x14ac:dyDescent="0.25">
      <c r="AU3894" s="7"/>
      <c r="AV3894" s="7"/>
    </row>
    <row r="3895" spans="47:48" x14ac:dyDescent="0.25">
      <c r="AU3895" s="7"/>
      <c r="AV3895" s="7"/>
    </row>
    <row r="3896" spans="47:48" x14ac:dyDescent="0.25">
      <c r="AU3896" s="7"/>
      <c r="AV3896" s="7"/>
    </row>
    <row r="3897" spans="47:48" x14ac:dyDescent="0.25">
      <c r="AU3897" s="7"/>
      <c r="AV3897" s="7"/>
    </row>
    <row r="3898" spans="47:48" x14ac:dyDescent="0.25">
      <c r="AU3898" s="7"/>
      <c r="AV3898" s="7"/>
    </row>
    <row r="3899" spans="47:48" x14ac:dyDescent="0.25">
      <c r="AU3899" s="7"/>
      <c r="AV3899" s="7"/>
    </row>
    <row r="3900" spans="47:48" x14ac:dyDescent="0.25">
      <c r="AU3900" s="7"/>
      <c r="AV3900" s="7"/>
    </row>
    <row r="3901" spans="47:48" x14ac:dyDescent="0.25">
      <c r="AU3901" s="7"/>
      <c r="AV3901" s="7"/>
    </row>
    <row r="3902" spans="47:48" x14ac:dyDescent="0.25">
      <c r="AU3902" s="7"/>
      <c r="AV3902" s="7"/>
    </row>
    <row r="3903" spans="47:48" x14ac:dyDescent="0.25">
      <c r="AU3903" s="7"/>
      <c r="AV3903" s="7"/>
    </row>
    <row r="3904" spans="47:48" x14ac:dyDescent="0.25">
      <c r="AU3904" s="7"/>
      <c r="AV3904" s="7"/>
    </row>
    <row r="3905" spans="47:48" x14ac:dyDescent="0.25">
      <c r="AU3905" s="7"/>
      <c r="AV3905" s="7"/>
    </row>
    <row r="3906" spans="47:48" x14ac:dyDescent="0.25">
      <c r="AU3906" s="7"/>
      <c r="AV3906" s="7"/>
    </row>
    <row r="3907" spans="47:48" x14ac:dyDescent="0.25">
      <c r="AU3907" s="7"/>
      <c r="AV3907" s="7"/>
    </row>
    <row r="3908" spans="47:48" x14ac:dyDescent="0.25">
      <c r="AU3908" s="7"/>
      <c r="AV3908" s="7"/>
    </row>
    <row r="3909" spans="47:48" x14ac:dyDescent="0.25">
      <c r="AU3909" s="7"/>
      <c r="AV3909" s="7"/>
    </row>
    <row r="3910" spans="47:48" x14ac:dyDescent="0.25">
      <c r="AU3910" s="7"/>
      <c r="AV3910" s="7"/>
    </row>
    <row r="3911" spans="47:48" x14ac:dyDescent="0.25">
      <c r="AU3911" s="7"/>
      <c r="AV3911" s="7"/>
    </row>
    <row r="3912" spans="47:48" x14ac:dyDescent="0.25">
      <c r="AU3912" s="7"/>
      <c r="AV3912" s="7"/>
    </row>
    <row r="3913" spans="47:48" x14ac:dyDescent="0.25">
      <c r="AU3913" s="7"/>
      <c r="AV3913" s="7"/>
    </row>
    <row r="3914" spans="47:48" x14ac:dyDescent="0.25">
      <c r="AU3914" s="7"/>
      <c r="AV3914" s="7"/>
    </row>
    <row r="3915" spans="47:48" x14ac:dyDescent="0.25">
      <c r="AU3915" s="7"/>
      <c r="AV3915" s="7"/>
    </row>
    <row r="3916" spans="47:48" x14ac:dyDescent="0.25">
      <c r="AU3916" s="7"/>
      <c r="AV3916" s="7"/>
    </row>
    <row r="3917" spans="47:48" x14ac:dyDescent="0.25">
      <c r="AU3917" s="7"/>
      <c r="AV3917" s="7"/>
    </row>
    <row r="3918" spans="47:48" x14ac:dyDescent="0.25">
      <c r="AU3918" s="7"/>
      <c r="AV3918" s="7"/>
    </row>
    <row r="3919" spans="47:48" x14ac:dyDescent="0.25">
      <c r="AU3919" s="7"/>
      <c r="AV3919" s="7"/>
    </row>
    <row r="3920" spans="47:48" x14ac:dyDescent="0.25">
      <c r="AU3920" s="7"/>
      <c r="AV3920" s="7"/>
    </row>
    <row r="3921" spans="47:48" x14ac:dyDescent="0.25">
      <c r="AU3921" s="7"/>
      <c r="AV3921" s="7"/>
    </row>
    <row r="3922" spans="47:48" x14ac:dyDescent="0.25">
      <c r="AU3922" s="7"/>
      <c r="AV3922" s="7"/>
    </row>
    <row r="3923" spans="47:48" x14ac:dyDescent="0.25">
      <c r="AU3923" s="7"/>
      <c r="AV3923" s="7"/>
    </row>
    <row r="3924" spans="47:48" x14ac:dyDescent="0.25">
      <c r="AU3924" s="7"/>
      <c r="AV3924" s="7"/>
    </row>
    <row r="3925" spans="47:48" x14ac:dyDescent="0.25">
      <c r="AU3925" s="7"/>
      <c r="AV3925" s="7"/>
    </row>
    <row r="3926" spans="47:48" x14ac:dyDescent="0.25">
      <c r="AU3926" s="7"/>
      <c r="AV3926" s="7"/>
    </row>
    <row r="3927" spans="47:48" x14ac:dyDescent="0.25">
      <c r="AU3927" s="7"/>
      <c r="AV3927" s="7"/>
    </row>
    <row r="3928" spans="47:48" x14ac:dyDescent="0.25">
      <c r="AU3928" s="7"/>
      <c r="AV3928" s="7"/>
    </row>
    <row r="3929" spans="47:48" x14ac:dyDescent="0.25">
      <c r="AU3929" s="7"/>
      <c r="AV3929" s="7"/>
    </row>
    <row r="3930" spans="47:48" x14ac:dyDescent="0.25">
      <c r="AU3930" s="7"/>
      <c r="AV3930" s="7"/>
    </row>
    <row r="3931" spans="47:48" x14ac:dyDescent="0.25">
      <c r="AU3931" s="7"/>
      <c r="AV3931" s="7"/>
    </row>
    <row r="3932" spans="47:48" x14ac:dyDescent="0.25">
      <c r="AU3932" s="7"/>
      <c r="AV3932" s="7"/>
    </row>
    <row r="3933" spans="47:48" x14ac:dyDescent="0.25">
      <c r="AU3933" s="7"/>
      <c r="AV3933" s="7"/>
    </row>
    <row r="3934" spans="47:48" x14ac:dyDescent="0.25">
      <c r="AU3934" s="7"/>
      <c r="AV3934" s="7"/>
    </row>
    <row r="3935" spans="47:48" x14ac:dyDescent="0.25">
      <c r="AU3935" s="7"/>
      <c r="AV3935" s="7"/>
    </row>
    <row r="3936" spans="47:48" x14ac:dyDescent="0.25">
      <c r="AU3936" s="7"/>
      <c r="AV3936" s="7"/>
    </row>
    <row r="3937" spans="47:48" x14ac:dyDescent="0.25">
      <c r="AU3937" s="7"/>
      <c r="AV3937" s="7"/>
    </row>
    <row r="3938" spans="47:48" x14ac:dyDescent="0.25">
      <c r="AU3938" s="7"/>
      <c r="AV3938" s="7"/>
    </row>
    <row r="3939" spans="47:48" x14ac:dyDescent="0.25">
      <c r="AU3939" s="7"/>
      <c r="AV3939" s="7"/>
    </row>
    <row r="3940" spans="47:48" x14ac:dyDescent="0.25">
      <c r="AU3940" s="7"/>
      <c r="AV3940" s="7"/>
    </row>
    <row r="3941" spans="47:48" x14ac:dyDescent="0.25">
      <c r="AU3941" s="7"/>
      <c r="AV3941" s="7"/>
    </row>
    <row r="3942" spans="47:48" x14ac:dyDescent="0.25">
      <c r="AU3942" s="7"/>
      <c r="AV3942" s="7"/>
    </row>
    <row r="3943" spans="47:48" x14ac:dyDescent="0.25">
      <c r="AU3943" s="7"/>
      <c r="AV3943" s="7"/>
    </row>
    <row r="3944" spans="47:48" x14ac:dyDescent="0.25">
      <c r="AU3944" s="7"/>
      <c r="AV3944" s="7"/>
    </row>
    <row r="3945" spans="47:48" x14ac:dyDescent="0.25">
      <c r="AU3945" s="7"/>
      <c r="AV3945" s="7"/>
    </row>
    <row r="3946" spans="47:48" x14ac:dyDescent="0.25">
      <c r="AU3946" s="7"/>
      <c r="AV3946" s="7"/>
    </row>
    <row r="3947" spans="47:48" x14ac:dyDescent="0.25">
      <c r="AU3947" s="7"/>
      <c r="AV3947" s="7"/>
    </row>
    <row r="3948" spans="47:48" x14ac:dyDescent="0.25">
      <c r="AU3948" s="7"/>
      <c r="AV3948" s="7"/>
    </row>
    <row r="3949" spans="47:48" x14ac:dyDescent="0.25">
      <c r="AU3949" s="7"/>
      <c r="AV3949" s="7"/>
    </row>
    <row r="3950" spans="47:48" x14ac:dyDescent="0.25">
      <c r="AU3950" s="7"/>
      <c r="AV3950" s="7"/>
    </row>
    <row r="3951" spans="47:48" x14ac:dyDescent="0.25">
      <c r="AU3951" s="7"/>
      <c r="AV3951" s="7"/>
    </row>
    <row r="3952" spans="47:48" x14ac:dyDescent="0.25">
      <c r="AU3952" s="7"/>
      <c r="AV3952" s="7"/>
    </row>
    <row r="3953" spans="47:48" x14ac:dyDescent="0.25">
      <c r="AU3953" s="7"/>
      <c r="AV3953" s="7"/>
    </row>
    <row r="3954" spans="47:48" x14ac:dyDescent="0.25">
      <c r="AU3954" s="7"/>
      <c r="AV3954" s="7"/>
    </row>
    <row r="3955" spans="47:48" x14ac:dyDescent="0.25">
      <c r="AU3955" s="7"/>
      <c r="AV3955" s="7"/>
    </row>
    <row r="3956" spans="47:48" x14ac:dyDescent="0.25">
      <c r="AU3956" s="7"/>
      <c r="AV3956" s="7"/>
    </row>
    <row r="3957" spans="47:48" x14ac:dyDescent="0.25">
      <c r="AU3957" s="7"/>
      <c r="AV3957" s="7"/>
    </row>
    <row r="3958" spans="47:48" x14ac:dyDescent="0.25">
      <c r="AU3958" s="7"/>
      <c r="AV3958" s="7"/>
    </row>
    <row r="3959" spans="47:48" x14ac:dyDescent="0.25">
      <c r="AU3959" s="7"/>
      <c r="AV3959" s="7"/>
    </row>
    <row r="3960" spans="47:48" x14ac:dyDescent="0.25">
      <c r="AU3960" s="7"/>
      <c r="AV3960" s="7"/>
    </row>
    <row r="3961" spans="47:48" x14ac:dyDescent="0.25">
      <c r="AU3961" s="7"/>
      <c r="AV3961" s="7"/>
    </row>
    <row r="3962" spans="47:48" x14ac:dyDescent="0.25">
      <c r="AU3962" s="7"/>
      <c r="AV3962" s="7"/>
    </row>
    <row r="3963" spans="47:48" x14ac:dyDescent="0.25">
      <c r="AU3963" s="7"/>
      <c r="AV3963" s="7"/>
    </row>
    <row r="3964" spans="47:48" x14ac:dyDescent="0.25">
      <c r="AU3964" s="7"/>
      <c r="AV3964" s="7"/>
    </row>
    <row r="3965" spans="47:48" x14ac:dyDescent="0.25">
      <c r="AU3965" s="7"/>
      <c r="AV3965" s="7"/>
    </row>
    <row r="3966" spans="47:48" x14ac:dyDescent="0.25">
      <c r="AU3966" s="7"/>
      <c r="AV3966" s="7"/>
    </row>
    <row r="3967" spans="47:48" x14ac:dyDescent="0.25">
      <c r="AU3967" s="7"/>
      <c r="AV3967" s="7"/>
    </row>
    <row r="3968" spans="47:48" x14ac:dyDescent="0.25">
      <c r="AU3968" s="7"/>
      <c r="AV3968" s="7"/>
    </row>
    <row r="3969" spans="47:48" x14ac:dyDescent="0.25">
      <c r="AU3969" s="7"/>
      <c r="AV3969" s="7"/>
    </row>
    <row r="3970" spans="47:48" x14ac:dyDescent="0.25">
      <c r="AU3970" s="7"/>
      <c r="AV3970" s="7"/>
    </row>
    <row r="3971" spans="47:48" x14ac:dyDescent="0.25">
      <c r="AU3971" s="7"/>
      <c r="AV3971" s="7"/>
    </row>
    <row r="3972" spans="47:48" x14ac:dyDescent="0.25">
      <c r="AU3972" s="7"/>
      <c r="AV3972" s="7"/>
    </row>
    <row r="3973" spans="47:48" x14ac:dyDescent="0.25">
      <c r="AU3973" s="7"/>
      <c r="AV3973" s="7"/>
    </row>
    <row r="3974" spans="47:48" x14ac:dyDescent="0.25">
      <c r="AU3974" s="7"/>
      <c r="AV3974" s="7"/>
    </row>
    <row r="3975" spans="47:48" x14ac:dyDescent="0.25">
      <c r="AU3975" s="7"/>
      <c r="AV3975" s="7"/>
    </row>
    <row r="3976" spans="47:48" x14ac:dyDescent="0.25">
      <c r="AU3976" s="7"/>
      <c r="AV3976" s="7"/>
    </row>
    <row r="3977" spans="47:48" x14ac:dyDescent="0.25">
      <c r="AU3977" s="7"/>
      <c r="AV3977" s="7"/>
    </row>
    <row r="3978" spans="47:48" x14ac:dyDescent="0.25">
      <c r="AU3978" s="7"/>
      <c r="AV3978" s="7"/>
    </row>
    <row r="3979" spans="47:48" x14ac:dyDescent="0.25">
      <c r="AU3979" s="7"/>
      <c r="AV3979" s="7"/>
    </row>
    <row r="3980" spans="47:48" x14ac:dyDescent="0.25">
      <c r="AU3980" s="7"/>
      <c r="AV3980" s="7"/>
    </row>
    <row r="3981" spans="47:48" x14ac:dyDescent="0.25">
      <c r="AU3981" s="7"/>
      <c r="AV3981" s="7"/>
    </row>
    <row r="3982" spans="47:48" x14ac:dyDescent="0.25">
      <c r="AU3982" s="7"/>
      <c r="AV3982" s="7"/>
    </row>
    <row r="3983" spans="47:48" x14ac:dyDescent="0.25">
      <c r="AU3983" s="7"/>
      <c r="AV3983" s="7"/>
    </row>
    <row r="3984" spans="47:48" x14ac:dyDescent="0.25">
      <c r="AU3984" s="7"/>
      <c r="AV3984" s="7"/>
    </row>
    <row r="3985" spans="47:48" x14ac:dyDescent="0.25">
      <c r="AU3985" s="7"/>
      <c r="AV3985" s="7"/>
    </row>
    <row r="3986" spans="47:48" x14ac:dyDescent="0.25">
      <c r="AU3986" s="7"/>
      <c r="AV3986" s="7"/>
    </row>
    <row r="3987" spans="47:48" x14ac:dyDescent="0.25">
      <c r="AU3987" s="7"/>
      <c r="AV3987" s="7"/>
    </row>
    <row r="3988" spans="47:48" x14ac:dyDescent="0.25">
      <c r="AU3988" s="7"/>
      <c r="AV3988" s="7"/>
    </row>
    <row r="3989" spans="47:48" x14ac:dyDescent="0.25">
      <c r="AU3989" s="7"/>
      <c r="AV3989" s="7"/>
    </row>
    <row r="3990" spans="47:48" x14ac:dyDescent="0.25">
      <c r="AU3990" s="7"/>
      <c r="AV3990" s="7"/>
    </row>
    <row r="3991" spans="47:48" x14ac:dyDescent="0.25">
      <c r="AU3991" s="7"/>
      <c r="AV3991" s="7"/>
    </row>
    <row r="3992" spans="47:48" x14ac:dyDescent="0.25">
      <c r="AU3992" s="7"/>
      <c r="AV3992" s="7"/>
    </row>
    <row r="3993" spans="47:48" x14ac:dyDescent="0.25">
      <c r="AU3993" s="7"/>
      <c r="AV3993" s="7"/>
    </row>
    <row r="3994" spans="47:48" x14ac:dyDescent="0.25">
      <c r="AU3994" s="7"/>
      <c r="AV3994" s="7"/>
    </row>
    <row r="3995" spans="47:48" x14ac:dyDescent="0.25">
      <c r="AU3995" s="7"/>
      <c r="AV3995" s="7"/>
    </row>
    <row r="3996" spans="47:48" x14ac:dyDescent="0.25">
      <c r="AU3996" s="7"/>
      <c r="AV3996" s="7"/>
    </row>
    <row r="3997" spans="47:48" x14ac:dyDescent="0.25">
      <c r="AU3997" s="7"/>
      <c r="AV3997" s="7"/>
    </row>
    <row r="3998" spans="47:48" x14ac:dyDescent="0.25">
      <c r="AU3998" s="7"/>
      <c r="AV3998" s="7"/>
    </row>
    <row r="3999" spans="47:48" x14ac:dyDescent="0.25">
      <c r="AU3999" s="7"/>
      <c r="AV3999" s="7"/>
    </row>
    <row r="4000" spans="47:48" x14ac:dyDescent="0.25">
      <c r="AU4000" s="7"/>
      <c r="AV4000" s="7"/>
    </row>
    <row r="4001" spans="47:48" x14ac:dyDescent="0.25">
      <c r="AU4001" s="7"/>
      <c r="AV4001" s="7"/>
    </row>
    <row r="4002" spans="47:48" x14ac:dyDescent="0.25">
      <c r="AU4002" s="7"/>
      <c r="AV4002" s="7"/>
    </row>
    <row r="4003" spans="47:48" x14ac:dyDescent="0.25">
      <c r="AU4003" s="7"/>
      <c r="AV4003" s="7"/>
    </row>
    <row r="4004" spans="47:48" x14ac:dyDescent="0.25">
      <c r="AU4004" s="7"/>
      <c r="AV4004" s="7"/>
    </row>
    <row r="4005" spans="47:48" x14ac:dyDescent="0.25">
      <c r="AU4005" s="7"/>
      <c r="AV4005" s="7"/>
    </row>
    <row r="4006" spans="47:48" x14ac:dyDescent="0.25">
      <c r="AU4006" s="7"/>
      <c r="AV4006" s="7"/>
    </row>
    <row r="4007" spans="47:48" x14ac:dyDescent="0.25">
      <c r="AU4007" s="7"/>
      <c r="AV4007" s="7"/>
    </row>
    <row r="4008" spans="47:48" x14ac:dyDescent="0.25">
      <c r="AU4008" s="7"/>
      <c r="AV4008" s="7"/>
    </row>
    <row r="4009" spans="47:48" x14ac:dyDescent="0.25">
      <c r="AU4009" s="7"/>
      <c r="AV4009" s="7"/>
    </row>
    <row r="4010" spans="47:48" x14ac:dyDescent="0.25">
      <c r="AU4010" s="7"/>
      <c r="AV4010" s="7"/>
    </row>
    <row r="4011" spans="47:48" x14ac:dyDescent="0.25">
      <c r="AU4011" s="7"/>
      <c r="AV4011" s="7"/>
    </row>
    <row r="4012" spans="47:48" x14ac:dyDescent="0.25">
      <c r="AU4012" s="7"/>
      <c r="AV4012" s="7"/>
    </row>
    <row r="4013" spans="47:48" x14ac:dyDescent="0.25">
      <c r="AU4013" s="7"/>
      <c r="AV4013" s="7"/>
    </row>
    <row r="4014" spans="47:48" x14ac:dyDescent="0.25">
      <c r="AU4014" s="7"/>
      <c r="AV4014" s="7"/>
    </row>
    <row r="4015" spans="47:48" x14ac:dyDescent="0.25">
      <c r="AU4015" s="7"/>
      <c r="AV4015" s="7"/>
    </row>
    <row r="4016" spans="47:48" x14ac:dyDescent="0.25">
      <c r="AU4016" s="7"/>
      <c r="AV4016" s="7"/>
    </row>
    <row r="4017" spans="47:48" x14ac:dyDescent="0.25">
      <c r="AU4017" s="7"/>
      <c r="AV4017" s="7"/>
    </row>
    <row r="4018" spans="47:48" x14ac:dyDescent="0.25">
      <c r="AU4018" s="7"/>
      <c r="AV4018" s="7"/>
    </row>
    <row r="4019" spans="47:48" x14ac:dyDescent="0.25">
      <c r="AU4019" s="7"/>
      <c r="AV4019" s="7"/>
    </row>
    <row r="4020" spans="47:48" x14ac:dyDescent="0.25">
      <c r="AU4020" s="7"/>
      <c r="AV4020" s="7"/>
    </row>
    <row r="4021" spans="47:48" x14ac:dyDescent="0.25">
      <c r="AU4021" s="7"/>
      <c r="AV4021" s="7"/>
    </row>
    <row r="4022" spans="47:48" x14ac:dyDescent="0.25">
      <c r="AU4022" s="7"/>
      <c r="AV4022" s="7"/>
    </row>
    <row r="4023" spans="47:48" x14ac:dyDescent="0.25">
      <c r="AU4023" s="7"/>
      <c r="AV4023" s="7"/>
    </row>
    <row r="4024" spans="47:48" x14ac:dyDescent="0.25">
      <c r="AU4024" s="7"/>
      <c r="AV4024" s="7"/>
    </row>
    <row r="4025" spans="47:48" x14ac:dyDescent="0.25">
      <c r="AU4025" s="7"/>
      <c r="AV4025" s="7"/>
    </row>
    <row r="4026" spans="47:48" x14ac:dyDescent="0.25">
      <c r="AU4026" s="7"/>
      <c r="AV4026" s="7"/>
    </row>
    <row r="4027" spans="47:48" x14ac:dyDescent="0.25">
      <c r="AU4027" s="7"/>
      <c r="AV4027" s="7"/>
    </row>
    <row r="4028" spans="47:48" x14ac:dyDescent="0.25">
      <c r="AU4028" s="7"/>
      <c r="AV4028" s="7"/>
    </row>
    <row r="4029" spans="47:48" x14ac:dyDescent="0.25">
      <c r="AU4029" s="7"/>
      <c r="AV4029" s="7"/>
    </row>
    <row r="4030" spans="47:48" x14ac:dyDescent="0.25">
      <c r="AU4030" s="7"/>
      <c r="AV4030" s="7"/>
    </row>
    <row r="4031" spans="47:48" x14ac:dyDescent="0.25">
      <c r="AU4031" s="7"/>
      <c r="AV4031" s="7"/>
    </row>
    <row r="4032" spans="47:48" x14ac:dyDescent="0.25">
      <c r="AU4032" s="7"/>
      <c r="AV4032" s="7"/>
    </row>
    <row r="4033" spans="47:48" x14ac:dyDescent="0.25">
      <c r="AU4033" s="7"/>
      <c r="AV4033" s="7"/>
    </row>
    <row r="4034" spans="47:48" x14ac:dyDescent="0.25">
      <c r="AU4034" s="7"/>
      <c r="AV4034" s="7"/>
    </row>
    <row r="4035" spans="47:48" x14ac:dyDescent="0.25">
      <c r="AU4035" s="7"/>
      <c r="AV4035" s="7"/>
    </row>
    <row r="4036" spans="47:48" x14ac:dyDescent="0.25">
      <c r="AU4036" s="7"/>
      <c r="AV4036" s="7"/>
    </row>
    <row r="4037" spans="47:48" x14ac:dyDescent="0.25">
      <c r="AU4037" s="7"/>
      <c r="AV4037" s="7"/>
    </row>
    <row r="4038" spans="47:48" x14ac:dyDescent="0.25">
      <c r="AU4038" s="7"/>
      <c r="AV4038" s="7"/>
    </row>
    <row r="4039" spans="47:48" x14ac:dyDescent="0.25">
      <c r="AU4039" s="7"/>
      <c r="AV4039" s="7"/>
    </row>
    <row r="4040" spans="47:48" x14ac:dyDescent="0.25">
      <c r="AU4040" s="7"/>
      <c r="AV4040" s="7"/>
    </row>
    <row r="4041" spans="47:48" x14ac:dyDescent="0.25">
      <c r="AU4041" s="7"/>
      <c r="AV4041" s="7"/>
    </row>
    <row r="4042" spans="47:48" x14ac:dyDescent="0.25">
      <c r="AU4042" s="7"/>
      <c r="AV4042" s="7"/>
    </row>
    <row r="4043" spans="47:48" x14ac:dyDescent="0.25">
      <c r="AU4043" s="7"/>
      <c r="AV4043" s="7"/>
    </row>
    <row r="4044" spans="47:48" x14ac:dyDescent="0.25">
      <c r="AU4044" s="7"/>
      <c r="AV4044" s="7"/>
    </row>
    <row r="4045" spans="47:48" x14ac:dyDescent="0.25">
      <c r="AU4045" s="7"/>
      <c r="AV4045" s="7"/>
    </row>
    <row r="4046" spans="47:48" x14ac:dyDescent="0.25">
      <c r="AU4046" s="7"/>
      <c r="AV4046" s="7"/>
    </row>
    <row r="4047" spans="47:48" x14ac:dyDescent="0.25">
      <c r="AU4047" s="7"/>
      <c r="AV4047" s="7"/>
    </row>
    <row r="4048" spans="47:48" x14ac:dyDescent="0.25">
      <c r="AU4048" s="7"/>
      <c r="AV4048" s="7"/>
    </row>
    <row r="4049" spans="47:48" x14ac:dyDescent="0.25">
      <c r="AU4049" s="7"/>
      <c r="AV4049" s="7"/>
    </row>
    <row r="4050" spans="47:48" x14ac:dyDescent="0.25">
      <c r="AU4050" s="7"/>
      <c r="AV4050" s="7"/>
    </row>
    <row r="4051" spans="47:48" x14ac:dyDescent="0.25">
      <c r="AU4051" s="7"/>
      <c r="AV4051" s="7"/>
    </row>
    <row r="4052" spans="47:48" x14ac:dyDescent="0.25">
      <c r="AU4052" s="7"/>
      <c r="AV4052" s="7"/>
    </row>
    <row r="4053" spans="47:48" x14ac:dyDescent="0.25">
      <c r="AU4053" s="7"/>
      <c r="AV4053" s="7"/>
    </row>
    <row r="4054" spans="47:48" x14ac:dyDescent="0.25">
      <c r="AU4054" s="7"/>
      <c r="AV4054" s="7"/>
    </row>
    <row r="4055" spans="47:48" x14ac:dyDescent="0.25">
      <c r="AU4055" s="7"/>
      <c r="AV4055" s="7"/>
    </row>
    <row r="4056" spans="47:48" x14ac:dyDescent="0.25">
      <c r="AU4056" s="7"/>
      <c r="AV4056" s="7"/>
    </row>
    <row r="4057" spans="47:48" x14ac:dyDescent="0.25">
      <c r="AU4057" s="7"/>
      <c r="AV4057" s="7"/>
    </row>
    <row r="4058" spans="47:48" x14ac:dyDescent="0.25">
      <c r="AU4058" s="7"/>
      <c r="AV4058" s="7"/>
    </row>
    <row r="4059" spans="47:48" x14ac:dyDescent="0.25">
      <c r="AU4059" s="7"/>
      <c r="AV4059" s="7"/>
    </row>
    <row r="4060" spans="47:48" x14ac:dyDescent="0.25">
      <c r="AU4060" s="7"/>
      <c r="AV4060" s="7"/>
    </row>
    <row r="4061" spans="47:48" x14ac:dyDescent="0.25">
      <c r="AU4061" s="7"/>
      <c r="AV4061" s="7"/>
    </row>
    <row r="4062" spans="47:48" x14ac:dyDescent="0.25">
      <c r="AU4062" s="7"/>
      <c r="AV4062" s="7"/>
    </row>
    <row r="4063" spans="47:48" x14ac:dyDescent="0.25">
      <c r="AU4063" s="7"/>
      <c r="AV4063" s="7"/>
    </row>
    <row r="4064" spans="47:48" x14ac:dyDescent="0.25">
      <c r="AU4064" s="7"/>
      <c r="AV4064" s="7"/>
    </row>
    <row r="4065" spans="47:48" x14ac:dyDescent="0.25">
      <c r="AU4065" s="7"/>
      <c r="AV4065" s="7"/>
    </row>
    <row r="4066" spans="47:48" x14ac:dyDescent="0.25">
      <c r="AU4066" s="7"/>
      <c r="AV4066" s="7"/>
    </row>
    <row r="4067" spans="47:48" x14ac:dyDescent="0.25">
      <c r="AU4067" s="7"/>
      <c r="AV4067" s="7"/>
    </row>
    <row r="4068" spans="47:48" x14ac:dyDescent="0.25">
      <c r="AU4068" s="7"/>
      <c r="AV4068" s="7"/>
    </row>
    <row r="4069" spans="47:48" x14ac:dyDescent="0.25">
      <c r="AU4069" s="7"/>
      <c r="AV4069" s="7"/>
    </row>
    <row r="4070" spans="47:48" x14ac:dyDescent="0.25">
      <c r="AU4070" s="7"/>
      <c r="AV4070" s="7"/>
    </row>
    <row r="4071" spans="47:48" x14ac:dyDescent="0.25">
      <c r="AU4071" s="7"/>
      <c r="AV4071" s="7"/>
    </row>
    <row r="4072" spans="47:48" x14ac:dyDescent="0.25">
      <c r="AU4072" s="7"/>
      <c r="AV4072" s="7"/>
    </row>
    <row r="4073" spans="47:48" x14ac:dyDescent="0.25">
      <c r="AU4073" s="7"/>
      <c r="AV4073" s="7"/>
    </row>
    <row r="4074" spans="47:48" x14ac:dyDescent="0.25">
      <c r="AU4074" s="7"/>
      <c r="AV4074" s="7"/>
    </row>
    <row r="4075" spans="47:48" x14ac:dyDescent="0.25">
      <c r="AU4075" s="7"/>
      <c r="AV4075" s="7"/>
    </row>
    <row r="4076" spans="47:48" x14ac:dyDescent="0.25">
      <c r="AU4076" s="7"/>
      <c r="AV4076" s="7"/>
    </row>
    <row r="4077" spans="47:48" x14ac:dyDescent="0.25">
      <c r="AU4077" s="7"/>
      <c r="AV4077" s="7"/>
    </row>
    <row r="4078" spans="47:48" x14ac:dyDescent="0.25">
      <c r="AU4078" s="7"/>
      <c r="AV4078" s="7"/>
    </row>
    <row r="4079" spans="47:48" x14ac:dyDescent="0.25">
      <c r="AU4079" s="7"/>
      <c r="AV4079" s="7"/>
    </row>
    <row r="4080" spans="47:48" x14ac:dyDescent="0.25">
      <c r="AU4080" s="7"/>
      <c r="AV4080" s="7"/>
    </row>
    <row r="4081" spans="47:48" x14ac:dyDescent="0.25">
      <c r="AU4081" s="7"/>
      <c r="AV4081" s="7"/>
    </row>
    <row r="4082" spans="47:48" x14ac:dyDescent="0.25">
      <c r="AU4082" s="7"/>
      <c r="AV4082" s="7"/>
    </row>
    <row r="4083" spans="47:48" x14ac:dyDescent="0.25">
      <c r="AU4083" s="7"/>
      <c r="AV4083" s="7"/>
    </row>
    <row r="4084" spans="47:48" x14ac:dyDescent="0.25">
      <c r="AU4084" s="7"/>
      <c r="AV4084" s="7"/>
    </row>
    <row r="4085" spans="47:48" x14ac:dyDescent="0.25">
      <c r="AU4085" s="7"/>
      <c r="AV4085" s="7"/>
    </row>
    <row r="4086" spans="47:48" x14ac:dyDescent="0.25">
      <c r="AU4086" s="7"/>
      <c r="AV4086" s="7"/>
    </row>
    <row r="4087" spans="47:48" x14ac:dyDescent="0.25">
      <c r="AU4087" s="7"/>
      <c r="AV4087" s="7"/>
    </row>
    <row r="4088" spans="47:48" x14ac:dyDescent="0.25">
      <c r="AU4088" s="7"/>
      <c r="AV4088" s="7"/>
    </row>
    <row r="4089" spans="47:48" x14ac:dyDescent="0.25">
      <c r="AU4089" s="7"/>
      <c r="AV4089" s="7"/>
    </row>
    <row r="4090" spans="47:48" x14ac:dyDescent="0.25">
      <c r="AU4090" s="7"/>
      <c r="AV4090" s="7"/>
    </row>
    <row r="4091" spans="47:48" x14ac:dyDescent="0.25">
      <c r="AU4091" s="7"/>
      <c r="AV4091" s="7"/>
    </row>
    <row r="4092" spans="47:48" x14ac:dyDescent="0.25">
      <c r="AU4092" s="7"/>
      <c r="AV4092" s="7"/>
    </row>
    <row r="4093" spans="47:48" x14ac:dyDescent="0.25">
      <c r="AU4093" s="7"/>
      <c r="AV4093" s="7"/>
    </row>
    <row r="4094" spans="47:48" x14ac:dyDescent="0.25">
      <c r="AU4094" s="7"/>
      <c r="AV4094" s="7"/>
    </row>
    <row r="4095" spans="47:48" x14ac:dyDescent="0.25">
      <c r="AU4095" s="7"/>
      <c r="AV4095" s="7"/>
    </row>
    <row r="4096" spans="47:48" x14ac:dyDescent="0.25">
      <c r="AU4096" s="7"/>
      <c r="AV4096" s="7"/>
    </row>
    <row r="4097" spans="47:48" x14ac:dyDescent="0.25">
      <c r="AU4097" s="7"/>
      <c r="AV4097" s="7"/>
    </row>
    <row r="4098" spans="47:48" x14ac:dyDescent="0.25">
      <c r="AU4098" s="7"/>
      <c r="AV4098" s="7"/>
    </row>
    <row r="4099" spans="47:48" x14ac:dyDescent="0.25">
      <c r="AU4099" s="7"/>
      <c r="AV4099" s="7"/>
    </row>
    <row r="4100" spans="47:48" x14ac:dyDescent="0.25">
      <c r="AU4100" s="7"/>
      <c r="AV4100" s="7"/>
    </row>
    <row r="4101" spans="47:48" x14ac:dyDescent="0.25">
      <c r="AU4101" s="7"/>
      <c r="AV4101" s="7"/>
    </row>
    <row r="4102" spans="47:48" x14ac:dyDescent="0.25">
      <c r="AU4102" s="7"/>
      <c r="AV4102" s="7"/>
    </row>
    <row r="4103" spans="47:48" x14ac:dyDescent="0.25">
      <c r="AU4103" s="7"/>
      <c r="AV4103" s="7"/>
    </row>
    <row r="4104" spans="47:48" x14ac:dyDescent="0.25">
      <c r="AU4104" s="7"/>
      <c r="AV4104" s="7"/>
    </row>
    <row r="4105" spans="47:48" x14ac:dyDescent="0.25">
      <c r="AU4105" s="7"/>
      <c r="AV4105" s="7"/>
    </row>
    <row r="4106" spans="47:48" x14ac:dyDescent="0.25">
      <c r="AU4106" s="7"/>
      <c r="AV4106" s="7"/>
    </row>
    <row r="4107" spans="47:48" x14ac:dyDescent="0.25">
      <c r="AU4107" s="7"/>
      <c r="AV4107" s="7"/>
    </row>
    <row r="4108" spans="47:48" x14ac:dyDescent="0.25">
      <c r="AU4108" s="7"/>
      <c r="AV4108" s="7"/>
    </row>
    <row r="4109" spans="47:48" x14ac:dyDescent="0.25">
      <c r="AU4109" s="7"/>
      <c r="AV4109" s="7"/>
    </row>
    <row r="4110" spans="47:48" x14ac:dyDescent="0.25">
      <c r="AU4110" s="7"/>
      <c r="AV4110" s="7"/>
    </row>
    <row r="4111" spans="47:48" x14ac:dyDescent="0.25">
      <c r="AU4111" s="7"/>
      <c r="AV4111" s="7"/>
    </row>
    <row r="4112" spans="47:48" x14ac:dyDescent="0.25">
      <c r="AU4112" s="7"/>
      <c r="AV4112" s="7"/>
    </row>
    <row r="4113" spans="47:48" x14ac:dyDescent="0.25">
      <c r="AU4113" s="7"/>
      <c r="AV4113" s="7"/>
    </row>
    <row r="4114" spans="47:48" x14ac:dyDescent="0.25">
      <c r="AU4114" s="7"/>
      <c r="AV4114" s="7"/>
    </row>
    <row r="4115" spans="47:48" x14ac:dyDescent="0.25">
      <c r="AU4115" s="7"/>
      <c r="AV4115" s="7"/>
    </row>
    <row r="4116" spans="47:48" x14ac:dyDescent="0.25">
      <c r="AU4116" s="7"/>
      <c r="AV4116" s="7"/>
    </row>
    <row r="4117" spans="47:48" x14ac:dyDescent="0.25">
      <c r="AU4117" s="7"/>
      <c r="AV4117" s="7"/>
    </row>
    <row r="4118" spans="47:48" x14ac:dyDescent="0.25">
      <c r="AU4118" s="7"/>
      <c r="AV4118" s="7"/>
    </row>
    <row r="4119" spans="47:48" x14ac:dyDescent="0.25">
      <c r="AU4119" s="7"/>
      <c r="AV4119" s="7"/>
    </row>
    <row r="4120" spans="47:48" x14ac:dyDescent="0.25">
      <c r="AU4120" s="7"/>
      <c r="AV4120" s="7"/>
    </row>
    <row r="4121" spans="47:48" x14ac:dyDescent="0.25">
      <c r="AU4121" s="7"/>
      <c r="AV4121" s="7"/>
    </row>
    <row r="4122" spans="47:48" x14ac:dyDescent="0.25">
      <c r="AU4122" s="7"/>
      <c r="AV4122" s="7"/>
    </row>
    <row r="4123" spans="47:48" x14ac:dyDescent="0.25">
      <c r="AU4123" s="7"/>
      <c r="AV4123" s="7"/>
    </row>
    <row r="4124" spans="47:48" x14ac:dyDescent="0.25">
      <c r="AU4124" s="7"/>
      <c r="AV4124" s="7"/>
    </row>
    <row r="4125" spans="47:48" x14ac:dyDescent="0.25">
      <c r="AU4125" s="7"/>
      <c r="AV4125" s="7"/>
    </row>
    <row r="4126" spans="47:48" x14ac:dyDescent="0.25">
      <c r="AU4126" s="7"/>
      <c r="AV4126" s="7"/>
    </row>
    <row r="4127" spans="47:48" x14ac:dyDescent="0.25">
      <c r="AU4127" s="7"/>
      <c r="AV4127" s="7"/>
    </row>
    <row r="4128" spans="47:48" x14ac:dyDescent="0.25">
      <c r="AU4128" s="7"/>
      <c r="AV4128" s="7"/>
    </row>
    <row r="4129" spans="47:48" x14ac:dyDescent="0.25">
      <c r="AU4129" s="7"/>
      <c r="AV4129" s="7"/>
    </row>
    <row r="4130" spans="47:48" x14ac:dyDescent="0.25">
      <c r="AU4130" s="7"/>
      <c r="AV4130" s="7"/>
    </row>
    <row r="4131" spans="47:48" x14ac:dyDescent="0.25">
      <c r="AU4131" s="7"/>
      <c r="AV4131" s="7"/>
    </row>
    <row r="4132" spans="47:48" x14ac:dyDescent="0.25">
      <c r="AU4132" s="7"/>
      <c r="AV4132" s="7"/>
    </row>
    <row r="4133" spans="47:48" x14ac:dyDescent="0.25">
      <c r="AU4133" s="7"/>
      <c r="AV4133" s="7"/>
    </row>
    <row r="4134" spans="47:48" x14ac:dyDescent="0.25">
      <c r="AU4134" s="7"/>
      <c r="AV4134" s="7"/>
    </row>
    <row r="4135" spans="47:48" x14ac:dyDescent="0.25">
      <c r="AU4135" s="7"/>
      <c r="AV4135" s="7"/>
    </row>
    <row r="4136" spans="47:48" x14ac:dyDescent="0.25">
      <c r="AU4136" s="7"/>
      <c r="AV4136" s="7"/>
    </row>
    <row r="4137" spans="47:48" x14ac:dyDescent="0.25">
      <c r="AU4137" s="7"/>
      <c r="AV4137" s="7"/>
    </row>
    <row r="4138" spans="47:48" x14ac:dyDescent="0.25">
      <c r="AU4138" s="7"/>
      <c r="AV4138" s="7"/>
    </row>
    <row r="4139" spans="47:48" x14ac:dyDescent="0.25">
      <c r="AU4139" s="7"/>
      <c r="AV4139" s="7"/>
    </row>
    <row r="4140" spans="47:48" x14ac:dyDescent="0.25">
      <c r="AU4140" s="7"/>
      <c r="AV4140" s="7"/>
    </row>
    <row r="4141" spans="47:48" x14ac:dyDescent="0.25">
      <c r="AU4141" s="7"/>
      <c r="AV4141" s="7"/>
    </row>
    <row r="4142" spans="47:48" x14ac:dyDescent="0.25">
      <c r="AU4142" s="7"/>
      <c r="AV4142" s="7"/>
    </row>
    <row r="4143" spans="47:48" x14ac:dyDescent="0.25">
      <c r="AU4143" s="7"/>
      <c r="AV4143" s="7"/>
    </row>
    <row r="4144" spans="47:48" x14ac:dyDescent="0.25">
      <c r="AU4144" s="7"/>
      <c r="AV4144" s="7"/>
    </row>
    <row r="4145" spans="47:48" x14ac:dyDescent="0.25">
      <c r="AU4145" s="7"/>
      <c r="AV4145" s="7"/>
    </row>
    <row r="4146" spans="47:48" x14ac:dyDescent="0.25">
      <c r="AU4146" s="7"/>
      <c r="AV4146" s="7"/>
    </row>
    <row r="4147" spans="47:48" x14ac:dyDescent="0.25">
      <c r="AU4147" s="7"/>
      <c r="AV4147" s="7"/>
    </row>
    <row r="4148" spans="47:48" x14ac:dyDescent="0.25">
      <c r="AU4148" s="7"/>
      <c r="AV4148" s="7"/>
    </row>
    <row r="4149" spans="47:48" x14ac:dyDescent="0.25">
      <c r="AU4149" s="7"/>
      <c r="AV4149" s="7"/>
    </row>
    <row r="4150" spans="47:48" x14ac:dyDescent="0.25">
      <c r="AU4150" s="7"/>
      <c r="AV4150" s="7"/>
    </row>
    <row r="4151" spans="47:48" x14ac:dyDescent="0.25">
      <c r="AU4151" s="7"/>
      <c r="AV4151" s="7"/>
    </row>
    <row r="4152" spans="47:48" x14ac:dyDescent="0.25">
      <c r="AU4152" s="7"/>
      <c r="AV4152" s="7"/>
    </row>
    <row r="4153" spans="47:48" x14ac:dyDescent="0.25">
      <c r="AU4153" s="7"/>
      <c r="AV4153" s="7"/>
    </row>
    <row r="4154" spans="47:48" x14ac:dyDescent="0.25">
      <c r="AU4154" s="7"/>
      <c r="AV4154" s="7"/>
    </row>
    <row r="4155" spans="47:48" x14ac:dyDescent="0.25">
      <c r="AU4155" s="7"/>
      <c r="AV4155" s="7"/>
    </row>
    <row r="4156" spans="47:48" x14ac:dyDescent="0.25">
      <c r="AU4156" s="7"/>
      <c r="AV4156" s="7"/>
    </row>
    <row r="4157" spans="47:48" x14ac:dyDescent="0.25">
      <c r="AU4157" s="7"/>
      <c r="AV4157" s="7"/>
    </row>
    <row r="4158" spans="47:48" x14ac:dyDescent="0.25">
      <c r="AU4158" s="7"/>
      <c r="AV4158" s="7"/>
    </row>
    <row r="4159" spans="47:48" x14ac:dyDescent="0.25">
      <c r="AU4159" s="7"/>
      <c r="AV4159" s="7"/>
    </row>
    <row r="4160" spans="47:48" x14ac:dyDescent="0.25">
      <c r="AU4160" s="7"/>
      <c r="AV4160" s="7"/>
    </row>
    <row r="4161" spans="47:48" x14ac:dyDescent="0.25">
      <c r="AU4161" s="7"/>
      <c r="AV4161" s="7"/>
    </row>
    <row r="4162" spans="47:48" x14ac:dyDescent="0.25">
      <c r="AU4162" s="7"/>
      <c r="AV4162" s="7"/>
    </row>
    <row r="4163" spans="47:48" x14ac:dyDescent="0.25">
      <c r="AU4163" s="7"/>
      <c r="AV4163" s="7"/>
    </row>
    <row r="4164" spans="47:48" x14ac:dyDescent="0.25">
      <c r="AU4164" s="7"/>
      <c r="AV4164" s="7"/>
    </row>
    <row r="4165" spans="47:48" x14ac:dyDescent="0.25">
      <c r="AU4165" s="7"/>
      <c r="AV4165" s="7"/>
    </row>
    <row r="4166" spans="47:48" x14ac:dyDescent="0.25">
      <c r="AU4166" s="7"/>
      <c r="AV4166" s="7"/>
    </row>
    <row r="4167" spans="47:48" x14ac:dyDescent="0.25">
      <c r="AU4167" s="7"/>
      <c r="AV4167" s="7"/>
    </row>
    <row r="4168" spans="47:48" x14ac:dyDescent="0.25">
      <c r="AU4168" s="7"/>
      <c r="AV4168" s="7"/>
    </row>
    <row r="4169" spans="47:48" x14ac:dyDescent="0.25">
      <c r="AU4169" s="7"/>
      <c r="AV4169" s="7"/>
    </row>
    <row r="4170" spans="47:48" x14ac:dyDescent="0.25">
      <c r="AU4170" s="7"/>
      <c r="AV4170" s="7"/>
    </row>
    <row r="4171" spans="47:48" x14ac:dyDescent="0.25">
      <c r="AU4171" s="7"/>
      <c r="AV4171" s="7"/>
    </row>
    <row r="4172" spans="47:48" x14ac:dyDescent="0.25">
      <c r="AU4172" s="7"/>
      <c r="AV4172" s="7"/>
    </row>
    <row r="4173" spans="47:48" x14ac:dyDescent="0.25">
      <c r="AU4173" s="7"/>
      <c r="AV4173" s="7"/>
    </row>
    <row r="4174" spans="47:48" x14ac:dyDescent="0.25">
      <c r="AU4174" s="7"/>
      <c r="AV4174" s="7"/>
    </row>
    <row r="4175" spans="47:48" x14ac:dyDescent="0.25">
      <c r="AU4175" s="7"/>
      <c r="AV4175" s="7"/>
    </row>
    <row r="4176" spans="47:48" x14ac:dyDescent="0.25">
      <c r="AU4176" s="7"/>
      <c r="AV4176" s="7"/>
    </row>
    <row r="4177" spans="47:48" x14ac:dyDescent="0.25">
      <c r="AU4177" s="7"/>
      <c r="AV4177" s="7"/>
    </row>
    <row r="4178" spans="47:48" x14ac:dyDescent="0.25">
      <c r="AU4178" s="7"/>
      <c r="AV4178" s="7"/>
    </row>
    <row r="4179" spans="47:48" x14ac:dyDescent="0.25">
      <c r="AU4179" s="7"/>
      <c r="AV4179" s="7"/>
    </row>
    <row r="4180" spans="47:48" x14ac:dyDescent="0.25">
      <c r="AU4180" s="7"/>
      <c r="AV4180" s="7"/>
    </row>
    <row r="4181" spans="47:48" x14ac:dyDescent="0.25">
      <c r="AU4181" s="7"/>
      <c r="AV4181" s="7"/>
    </row>
    <row r="4182" spans="47:48" x14ac:dyDescent="0.25">
      <c r="AU4182" s="7"/>
      <c r="AV4182" s="7"/>
    </row>
    <row r="4183" spans="47:48" x14ac:dyDescent="0.25">
      <c r="AU4183" s="7"/>
      <c r="AV4183" s="7"/>
    </row>
    <row r="4184" spans="47:48" x14ac:dyDescent="0.25">
      <c r="AU4184" s="7"/>
      <c r="AV4184" s="7"/>
    </row>
    <row r="4185" spans="47:48" x14ac:dyDescent="0.25">
      <c r="AU4185" s="7"/>
      <c r="AV4185" s="7"/>
    </row>
    <row r="4186" spans="47:48" x14ac:dyDescent="0.25">
      <c r="AU4186" s="7"/>
      <c r="AV4186" s="7"/>
    </row>
    <row r="4187" spans="47:48" x14ac:dyDescent="0.25">
      <c r="AU4187" s="7"/>
      <c r="AV4187" s="7"/>
    </row>
    <row r="4188" spans="47:48" x14ac:dyDescent="0.25">
      <c r="AU4188" s="7"/>
      <c r="AV4188" s="7"/>
    </row>
    <row r="4189" spans="47:48" x14ac:dyDescent="0.25">
      <c r="AU4189" s="7"/>
      <c r="AV4189" s="7"/>
    </row>
    <row r="4190" spans="47:48" x14ac:dyDescent="0.25">
      <c r="AU4190" s="7"/>
      <c r="AV4190" s="7"/>
    </row>
    <row r="4191" spans="47:48" x14ac:dyDescent="0.25">
      <c r="AU4191" s="7"/>
      <c r="AV4191" s="7"/>
    </row>
    <row r="4192" spans="47:48" x14ac:dyDescent="0.25">
      <c r="AU4192" s="7"/>
      <c r="AV4192" s="7"/>
    </row>
    <row r="4193" spans="47:48" x14ac:dyDescent="0.25">
      <c r="AU4193" s="7"/>
      <c r="AV4193" s="7"/>
    </row>
    <row r="4194" spans="47:48" x14ac:dyDescent="0.25">
      <c r="AU4194" s="7"/>
      <c r="AV4194" s="7"/>
    </row>
    <row r="4195" spans="47:48" x14ac:dyDescent="0.25">
      <c r="AU4195" s="7"/>
      <c r="AV4195" s="7"/>
    </row>
    <row r="4196" spans="47:48" x14ac:dyDescent="0.25">
      <c r="AU4196" s="7"/>
      <c r="AV4196" s="7"/>
    </row>
    <row r="4197" spans="47:48" x14ac:dyDescent="0.25">
      <c r="AU4197" s="7"/>
      <c r="AV4197" s="7"/>
    </row>
    <row r="4198" spans="47:48" x14ac:dyDescent="0.25">
      <c r="AU4198" s="7"/>
      <c r="AV4198" s="7"/>
    </row>
    <row r="4199" spans="47:48" x14ac:dyDescent="0.25">
      <c r="AU4199" s="7"/>
      <c r="AV4199" s="7"/>
    </row>
    <row r="4200" spans="47:48" x14ac:dyDescent="0.25">
      <c r="AU4200" s="7"/>
      <c r="AV4200" s="7"/>
    </row>
    <row r="4201" spans="47:48" x14ac:dyDescent="0.25">
      <c r="AU4201" s="7"/>
      <c r="AV4201" s="7"/>
    </row>
    <row r="4202" spans="47:48" x14ac:dyDescent="0.25">
      <c r="AU4202" s="7"/>
      <c r="AV4202" s="7"/>
    </row>
    <row r="4203" spans="47:48" x14ac:dyDescent="0.25">
      <c r="AU4203" s="7"/>
      <c r="AV4203" s="7"/>
    </row>
    <row r="4204" spans="47:48" x14ac:dyDescent="0.25">
      <c r="AU4204" s="7"/>
      <c r="AV4204" s="7"/>
    </row>
    <row r="4205" spans="47:48" x14ac:dyDescent="0.25">
      <c r="AU4205" s="7"/>
      <c r="AV4205" s="7"/>
    </row>
    <row r="4206" spans="47:48" x14ac:dyDescent="0.25">
      <c r="AU4206" s="7"/>
      <c r="AV4206" s="7"/>
    </row>
    <row r="4207" spans="47:48" x14ac:dyDescent="0.25">
      <c r="AU4207" s="7"/>
      <c r="AV4207" s="7"/>
    </row>
    <row r="4208" spans="47:48" x14ac:dyDescent="0.25">
      <c r="AU4208" s="7"/>
      <c r="AV4208" s="7"/>
    </row>
    <row r="4209" spans="47:48" x14ac:dyDescent="0.25">
      <c r="AU4209" s="7"/>
      <c r="AV4209" s="7"/>
    </row>
    <row r="4210" spans="47:48" x14ac:dyDescent="0.25">
      <c r="AU4210" s="7"/>
      <c r="AV4210" s="7"/>
    </row>
    <row r="4211" spans="47:48" x14ac:dyDescent="0.25">
      <c r="AU4211" s="7"/>
      <c r="AV4211" s="7"/>
    </row>
    <row r="4212" spans="47:48" x14ac:dyDescent="0.25">
      <c r="AU4212" s="7"/>
      <c r="AV4212" s="7"/>
    </row>
    <row r="4213" spans="47:48" x14ac:dyDescent="0.25">
      <c r="AU4213" s="7"/>
      <c r="AV4213" s="7"/>
    </row>
    <row r="4214" spans="47:48" x14ac:dyDescent="0.25">
      <c r="AU4214" s="7"/>
      <c r="AV4214" s="7"/>
    </row>
    <row r="4215" spans="47:48" x14ac:dyDescent="0.25">
      <c r="AU4215" s="7"/>
      <c r="AV4215" s="7"/>
    </row>
    <row r="4216" spans="47:48" x14ac:dyDescent="0.25">
      <c r="AU4216" s="7"/>
      <c r="AV4216" s="7"/>
    </row>
    <row r="4217" spans="47:48" x14ac:dyDescent="0.25">
      <c r="AU4217" s="7"/>
      <c r="AV4217" s="7"/>
    </row>
    <row r="4218" spans="47:48" x14ac:dyDescent="0.25">
      <c r="AU4218" s="7"/>
      <c r="AV4218" s="7"/>
    </row>
    <row r="4219" spans="47:48" x14ac:dyDescent="0.25">
      <c r="AU4219" s="7"/>
      <c r="AV4219" s="7"/>
    </row>
    <row r="4220" spans="47:48" x14ac:dyDescent="0.25">
      <c r="AU4220" s="7"/>
      <c r="AV4220" s="7"/>
    </row>
    <row r="4221" spans="47:48" x14ac:dyDescent="0.25">
      <c r="AU4221" s="7"/>
      <c r="AV4221" s="7"/>
    </row>
    <row r="4222" spans="47:48" x14ac:dyDescent="0.25">
      <c r="AU4222" s="7"/>
      <c r="AV4222" s="7"/>
    </row>
    <row r="4223" spans="47:48" x14ac:dyDescent="0.25">
      <c r="AU4223" s="7"/>
      <c r="AV4223" s="7"/>
    </row>
    <row r="4224" spans="47:48" x14ac:dyDescent="0.25">
      <c r="AU4224" s="7"/>
      <c r="AV4224" s="7"/>
    </row>
    <row r="4225" spans="47:48" x14ac:dyDescent="0.25">
      <c r="AU4225" s="7"/>
      <c r="AV4225" s="7"/>
    </row>
    <row r="4226" spans="47:48" x14ac:dyDescent="0.25">
      <c r="AU4226" s="7"/>
      <c r="AV4226" s="7"/>
    </row>
    <row r="4227" spans="47:48" x14ac:dyDescent="0.25">
      <c r="AU4227" s="7"/>
      <c r="AV4227" s="7"/>
    </row>
    <row r="4228" spans="47:48" x14ac:dyDescent="0.25">
      <c r="AU4228" s="7"/>
      <c r="AV4228" s="7"/>
    </row>
    <row r="4229" spans="47:48" x14ac:dyDescent="0.25">
      <c r="AU4229" s="7"/>
      <c r="AV4229" s="7"/>
    </row>
    <row r="4230" spans="47:48" x14ac:dyDescent="0.25">
      <c r="AU4230" s="7"/>
      <c r="AV4230" s="7"/>
    </row>
    <row r="4231" spans="47:48" x14ac:dyDescent="0.25">
      <c r="AU4231" s="7"/>
      <c r="AV4231" s="7"/>
    </row>
    <row r="4232" spans="47:48" x14ac:dyDescent="0.25">
      <c r="AU4232" s="7"/>
      <c r="AV4232" s="7"/>
    </row>
    <row r="4233" spans="47:48" x14ac:dyDescent="0.25">
      <c r="AU4233" s="7"/>
      <c r="AV4233" s="7"/>
    </row>
    <row r="4234" spans="47:48" x14ac:dyDescent="0.25">
      <c r="AU4234" s="7"/>
      <c r="AV4234" s="7"/>
    </row>
    <row r="4235" spans="47:48" x14ac:dyDescent="0.25">
      <c r="AU4235" s="7"/>
      <c r="AV4235" s="7"/>
    </row>
    <row r="4236" spans="47:48" x14ac:dyDescent="0.25">
      <c r="AU4236" s="7"/>
      <c r="AV4236" s="7"/>
    </row>
    <row r="4237" spans="47:48" x14ac:dyDescent="0.25">
      <c r="AU4237" s="7"/>
      <c r="AV4237" s="7"/>
    </row>
    <row r="4238" spans="47:48" x14ac:dyDescent="0.25">
      <c r="AU4238" s="7"/>
      <c r="AV4238" s="7"/>
    </row>
    <row r="4239" spans="47:48" x14ac:dyDescent="0.25">
      <c r="AU4239" s="7"/>
      <c r="AV4239" s="7"/>
    </row>
    <row r="4240" spans="47:48" x14ac:dyDescent="0.25">
      <c r="AU4240" s="7"/>
      <c r="AV4240" s="7"/>
    </row>
    <row r="4241" spans="47:48" x14ac:dyDescent="0.25">
      <c r="AU4241" s="7"/>
      <c r="AV4241" s="7"/>
    </row>
    <row r="4242" spans="47:48" x14ac:dyDescent="0.25">
      <c r="AU4242" s="7"/>
      <c r="AV4242" s="7"/>
    </row>
    <row r="4243" spans="47:48" x14ac:dyDescent="0.25">
      <c r="AU4243" s="7"/>
      <c r="AV4243" s="7"/>
    </row>
    <row r="4244" spans="47:48" x14ac:dyDescent="0.25">
      <c r="AU4244" s="7"/>
      <c r="AV4244" s="7"/>
    </row>
    <row r="4245" spans="47:48" x14ac:dyDescent="0.25">
      <c r="AU4245" s="7"/>
      <c r="AV4245" s="7"/>
    </row>
    <row r="4246" spans="47:48" x14ac:dyDescent="0.25">
      <c r="AU4246" s="7"/>
      <c r="AV4246" s="7"/>
    </row>
    <row r="4247" spans="47:48" x14ac:dyDescent="0.25">
      <c r="AU4247" s="7"/>
      <c r="AV4247" s="7"/>
    </row>
    <row r="4248" spans="47:48" x14ac:dyDescent="0.25">
      <c r="AU4248" s="7"/>
      <c r="AV4248" s="7"/>
    </row>
    <row r="4249" spans="47:48" x14ac:dyDescent="0.25">
      <c r="AU4249" s="7"/>
      <c r="AV4249" s="7"/>
    </row>
    <row r="4250" spans="47:48" x14ac:dyDescent="0.25">
      <c r="AU4250" s="7"/>
      <c r="AV4250" s="7"/>
    </row>
    <row r="4251" spans="47:48" x14ac:dyDescent="0.25">
      <c r="AU4251" s="7"/>
      <c r="AV4251" s="7"/>
    </row>
    <row r="4252" spans="47:48" x14ac:dyDescent="0.25">
      <c r="AU4252" s="7"/>
      <c r="AV4252" s="7"/>
    </row>
    <row r="4253" spans="47:48" x14ac:dyDescent="0.25">
      <c r="AU4253" s="7"/>
      <c r="AV4253" s="7"/>
    </row>
    <row r="4254" spans="47:48" x14ac:dyDescent="0.25">
      <c r="AU4254" s="7"/>
      <c r="AV4254" s="7"/>
    </row>
    <row r="4255" spans="47:48" x14ac:dyDescent="0.25">
      <c r="AU4255" s="7"/>
      <c r="AV4255" s="7"/>
    </row>
    <row r="4256" spans="47:48" x14ac:dyDescent="0.25">
      <c r="AU4256" s="7"/>
      <c r="AV4256" s="7"/>
    </row>
    <row r="4257" spans="47:48" x14ac:dyDescent="0.25">
      <c r="AU4257" s="7"/>
      <c r="AV4257" s="7"/>
    </row>
    <row r="4258" spans="47:48" x14ac:dyDescent="0.25">
      <c r="AU4258" s="7"/>
      <c r="AV4258" s="7"/>
    </row>
    <row r="4259" spans="47:48" x14ac:dyDescent="0.25">
      <c r="AU4259" s="7"/>
      <c r="AV4259" s="7"/>
    </row>
    <row r="4260" spans="47:48" x14ac:dyDescent="0.25">
      <c r="AU4260" s="7"/>
      <c r="AV4260" s="7"/>
    </row>
    <row r="4261" spans="47:48" x14ac:dyDescent="0.25">
      <c r="AU4261" s="7"/>
      <c r="AV4261" s="7"/>
    </row>
    <row r="4262" spans="47:48" x14ac:dyDescent="0.25">
      <c r="AU4262" s="7"/>
      <c r="AV4262" s="7"/>
    </row>
    <row r="4263" spans="47:48" x14ac:dyDescent="0.25">
      <c r="AU4263" s="7"/>
      <c r="AV4263" s="7"/>
    </row>
    <row r="4264" spans="47:48" x14ac:dyDescent="0.25">
      <c r="AU4264" s="7"/>
      <c r="AV4264" s="7"/>
    </row>
    <row r="4265" spans="47:48" x14ac:dyDescent="0.25">
      <c r="AU4265" s="7"/>
      <c r="AV4265" s="7"/>
    </row>
    <row r="4266" spans="47:48" x14ac:dyDescent="0.25">
      <c r="AU4266" s="7"/>
      <c r="AV4266" s="7"/>
    </row>
    <row r="4267" spans="47:48" x14ac:dyDescent="0.25">
      <c r="AU4267" s="7"/>
      <c r="AV4267" s="7"/>
    </row>
    <row r="4268" spans="47:48" x14ac:dyDescent="0.25">
      <c r="AU4268" s="7"/>
      <c r="AV4268" s="7"/>
    </row>
    <row r="4269" spans="47:48" x14ac:dyDescent="0.25">
      <c r="AU4269" s="7"/>
      <c r="AV4269" s="7"/>
    </row>
    <row r="4270" spans="47:48" x14ac:dyDescent="0.25">
      <c r="AU4270" s="7"/>
      <c r="AV4270" s="7"/>
    </row>
    <row r="4271" spans="47:48" x14ac:dyDescent="0.25">
      <c r="AU4271" s="7"/>
      <c r="AV4271" s="7"/>
    </row>
    <row r="4272" spans="47:48" x14ac:dyDescent="0.25">
      <c r="AU4272" s="7"/>
      <c r="AV4272" s="7"/>
    </row>
    <row r="4273" spans="47:48" x14ac:dyDescent="0.25">
      <c r="AU4273" s="7"/>
      <c r="AV4273" s="7"/>
    </row>
    <row r="4274" spans="47:48" x14ac:dyDescent="0.25">
      <c r="AU4274" s="7"/>
      <c r="AV4274" s="7"/>
    </row>
    <row r="4275" spans="47:48" x14ac:dyDescent="0.25">
      <c r="AU4275" s="7"/>
      <c r="AV4275" s="7"/>
    </row>
    <row r="4276" spans="47:48" x14ac:dyDescent="0.25">
      <c r="AU4276" s="7"/>
      <c r="AV4276" s="7"/>
    </row>
    <row r="4277" spans="47:48" x14ac:dyDescent="0.25">
      <c r="AU4277" s="7"/>
      <c r="AV4277" s="7"/>
    </row>
    <row r="4278" spans="47:48" x14ac:dyDescent="0.25">
      <c r="AU4278" s="7"/>
      <c r="AV4278" s="7"/>
    </row>
    <row r="4279" spans="47:48" x14ac:dyDescent="0.25">
      <c r="AU4279" s="7"/>
      <c r="AV4279" s="7"/>
    </row>
    <row r="4280" spans="47:48" x14ac:dyDescent="0.25">
      <c r="AU4280" s="7"/>
      <c r="AV4280" s="7"/>
    </row>
    <row r="4281" spans="47:48" x14ac:dyDescent="0.25">
      <c r="AU4281" s="7"/>
      <c r="AV4281" s="7"/>
    </row>
    <row r="4282" spans="47:48" x14ac:dyDescent="0.25">
      <c r="AU4282" s="7"/>
      <c r="AV4282" s="7"/>
    </row>
    <row r="4283" spans="47:48" x14ac:dyDescent="0.25">
      <c r="AU4283" s="7"/>
      <c r="AV4283" s="7"/>
    </row>
    <row r="4284" spans="47:48" x14ac:dyDescent="0.25">
      <c r="AU4284" s="7"/>
      <c r="AV4284" s="7"/>
    </row>
    <row r="4285" spans="47:48" x14ac:dyDescent="0.25">
      <c r="AU4285" s="7"/>
      <c r="AV4285" s="7"/>
    </row>
    <row r="4286" spans="47:48" x14ac:dyDescent="0.25">
      <c r="AU4286" s="7"/>
      <c r="AV4286" s="7"/>
    </row>
    <row r="4287" spans="47:48" x14ac:dyDescent="0.25">
      <c r="AU4287" s="7"/>
      <c r="AV4287" s="7"/>
    </row>
    <row r="4288" spans="47:48" x14ac:dyDescent="0.25">
      <c r="AU4288" s="7"/>
      <c r="AV4288" s="7"/>
    </row>
    <row r="4289" spans="47:48" x14ac:dyDescent="0.25">
      <c r="AU4289" s="7"/>
      <c r="AV4289" s="7"/>
    </row>
    <row r="4290" spans="47:48" x14ac:dyDescent="0.25">
      <c r="AU4290" s="7"/>
      <c r="AV4290" s="7"/>
    </row>
    <row r="4291" spans="47:48" x14ac:dyDescent="0.25">
      <c r="AU4291" s="7"/>
      <c r="AV4291" s="7"/>
    </row>
    <row r="4292" spans="47:48" x14ac:dyDescent="0.25">
      <c r="AU4292" s="7"/>
      <c r="AV4292" s="7"/>
    </row>
    <row r="4293" spans="47:48" x14ac:dyDescent="0.25">
      <c r="AU4293" s="7"/>
      <c r="AV4293" s="7"/>
    </row>
    <row r="4294" spans="47:48" x14ac:dyDescent="0.25">
      <c r="AU4294" s="7"/>
      <c r="AV4294" s="7"/>
    </row>
    <row r="4295" spans="47:48" x14ac:dyDescent="0.25">
      <c r="AU4295" s="7"/>
      <c r="AV4295" s="7"/>
    </row>
    <row r="4296" spans="47:48" x14ac:dyDescent="0.25">
      <c r="AU4296" s="7"/>
      <c r="AV4296" s="7"/>
    </row>
    <row r="4297" spans="47:48" x14ac:dyDescent="0.25">
      <c r="AU4297" s="7"/>
      <c r="AV4297" s="7"/>
    </row>
    <row r="4298" spans="47:48" x14ac:dyDescent="0.25">
      <c r="AU4298" s="7"/>
      <c r="AV4298" s="7"/>
    </row>
    <row r="4299" spans="47:48" x14ac:dyDescent="0.25">
      <c r="AU4299" s="7"/>
      <c r="AV4299" s="7"/>
    </row>
    <row r="4300" spans="47:48" x14ac:dyDescent="0.25">
      <c r="AU4300" s="7"/>
      <c r="AV4300" s="7"/>
    </row>
    <row r="4301" spans="47:48" x14ac:dyDescent="0.25">
      <c r="AU4301" s="7"/>
      <c r="AV4301" s="7"/>
    </row>
    <row r="4302" spans="47:48" x14ac:dyDescent="0.25">
      <c r="AU4302" s="7"/>
      <c r="AV4302" s="7"/>
    </row>
    <row r="4303" spans="47:48" x14ac:dyDescent="0.25">
      <c r="AU4303" s="7"/>
      <c r="AV4303" s="7"/>
    </row>
    <row r="4304" spans="47:48" x14ac:dyDescent="0.25">
      <c r="AU4304" s="7"/>
      <c r="AV4304" s="7"/>
    </row>
    <row r="4305" spans="47:48" x14ac:dyDescent="0.25">
      <c r="AU4305" s="7"/>
      <c r="AV4305" s="7"/>
    </row>
    <row r="4306" spans="47:48" x14ac:dyDescent="0.25">
      <c r="AU4306" s="7"/>
      <c r="AV4306" s="7"/>
    </row>
    <row r="4307" spans="47:48" x14ac:dyDescent="0.25">
      <c r="AU4307" s="7"/>
      <c r="AV4307" s="7"/>
    </row>
    <row r="4308" spans="47:48" x14ac:dyDescent="0.25">
      <c r="AU4308" s="7"/>
      <c r="AV4308" s="7"/>
    </row>
    <row r="4309" spans="47:48" x14ac:dyDescent="0.25">
      <c r="AU4309" s="7"/>
      <c r="AV4309" s="7"/>
    </row>
    <row r="4310" spans="47:48" x14ac:dyDescent="0.25">
      <c r="AU4310" s="7"/>
      <c r="AV4310" s="7"/>
    </row>
    <row r="4311" spans="47:48" x14ac:dyDescent="0.25">
      <c r="AU4311" s="7"/>
      <c r="AV4311" s="7"/>
    </row>
    <row r="4312" spans="47:48" x14ac:dyDescent="0.25">
      <c r="AU4312" s="7"/>
      <c r="AV4312" s="7"/>
    </row>
    <row r="4313" spans="47:48" x14ac:dyDescent="0.25">
      <c r="AU4313" s="7"/>
      <c r="AV4313" s="7"/>
    </row>
    <row r="4314" spans="47:48" x14ac:dyDescent="0.25">
      <c r="AU4314" s="7"/>
      <c r="AV4314" s="7"/>
    </row>
    <row r="4315" spans="47:48" x14ac:dyDescent="0.25">
      <c r="AU4315" s="7"/>
      <c r="AV4315" s="7"/>
    </row>
    <row r="4316" spans="47:48" x14ac:dyDescent="0.25">
      <c r="AU4316" s="7"/>
      <c r="AV4316" s="7"/>
    </row>
    <row r="4317" spans="47:48" x14ac:dyDescent="0.25">
      <c r="AU4317" s="7"/>
      <c r="AV4317" s="7"/>
    </row>
    <row r="4318" spans="47:48" x14ac:dyDescent="0.25">
      <c r="AU4318" s="7"/>
      <c r="AV4318" s="7"/>
    </row>
    <row r="4319" spans="47:48" x14ac:dyDescent="0.25">
      <c r="AU4319" s="7"/>
      <c r="AV4319" s="7"/>
    </row>
    <row r="4320" spans="47:48" x14ac:dyDescent="0.25">
      <c r="AU4320" s="7"/>
      <c r="AV4320" s="7"/>
    </row>
    <row r="4321" spans="47:48" x14ac:dyDescent="0.25">
      <c r="AU4321" s="7"/>
      <c r="AV4321" s="7"/>
    </row>
    <row r="4322" spans="47:48" x14ac:dyDescent="0.25">
      <c r="AU4322" s="7"/>
      <c r="AV4322" s="7"/>
    </row>
    <row r="4323" spans="47:48" x14ac:dyDescent="0.25">
      <c r="AU4323" s="7"/>
      <c r="AV4323" s="7"/>
    </row>
    <row r="4324" spans="47:48" x14ac:dyDescent="0.25">
      <c r="AU4324" s="7"/>
      <c r="AV4324" s="7"/>
    </row>
    <row r="4325" spans="47:48" x14ac:dyDescent="0.25">
      <c r="AU4325" s="7"/>
      <c r="AV4325" s="7"/>
    </row>
    <row r="4326" spans="47:48" x14ac:dyDescent="0.25">
      <c r="AU4326" s="7"/>
      <c r="AV4326" s="7"/>
    </row>
    <row r="4327" spans="47:48" x14ac:dyDescent="0.25">
      <c r="AU4327" s="7"/>
      <c r="AV4327" s="7"/>
    </row>
    <row r="4328" spans="47:48" x14ac:dyDescent="0.25">
      <c r="AU4328" s="7"/>
      <c r="AV4328" s="7"/>
    </row>
    <row r="4329" spans="47:48" x14ac:dyDescent="0.25">
      <c r="AU4329" s="7"/>
      <c r="AV4329" s="7"/>
    </row>
    <row r="4330" spans="47:48" x14ac:dyDescent="0.25">
      <c r="AU4330" s="7"/>
      <c r="AV4330" s="7"/>
    </row>
    <row r="4331" spans="47:48" x14ac:dyDescent="0.25">
      <c r="AU4331" s="7"/>
      <c r="AV4331" s="7"/>
    </row>
    <row r="4332" spans="47:48" x14ac:dyDescent="0.25">
      <c r="AU4332" s="7"/>
      <c r="AV4332" s="7"/>
    </row>
    <row r="4333" spans="47:48" x14ac:dyDescent="0.25">
      <c r="AU4333" s="7"/>
      <c r="AV4333" s="7"/>
    </row>
    <row r="4334" spans="47:48" x14ac:dyDescent="0.25">
      <c r="AU4334" s="7"/>
      <c r="AV4334" s="7"/>
    </row>
    <row r="4335" spans="47:48" x14ac:dyDescent="0.25">
      <c r="AU4335" s="7"/>
      <c r="AV4335" s="7"/>
    </row>
    <row r="4336" spans="47:48" x14ac:dyDescent="0.25">
      <c r="AU4336" s="7"/>
      <c r="AV4336" s="7"/>
    </row>
    <row r="4337" spans="47:48" x14ac:dyDescent="0.25">
      <c r="AU4337" s="7"/>
      <c r="AV4337" s="7"/>
    </row>
    <row r="4338" spans="47:48" x14ac:dyDescent="0.25">
      <c r="AU4338" s="7"/>
      <c r="AV4338" s="7"/>
    </row>
    <row r="4339" spans="47:48" x14ac:dyDescent="0.25">
      <c r="AU4339" s="7"/>
      <c r="AV4339" s="7"/>
    </row>
    <row r="4340" spans="47:48" x14ac:dyDescent="0.25">
      <c r="AU4340" s="7"/>
      <c r="AV4340" s="7"/>
    </row>
    <row r="4341" spans="47:48" x14ac:dyDescent="0.25">
      <c r="AU4341" s="7"/>
      <c r="AV4341" s="7"/>
    </row>
    <row r="4342" spans="47:48" x14ac:dyDescent="0.25">
      <c r="AU4342" s="7"/>
      <c r="AV4342" s="7"/>
    </row>
    <row r="4343" spans="47:48" x14ac:dyDescent="0.25">
      <c r="AU4343" s="7"/>
      <c r="AV4343" s="7"/>
    </row>
    <row r="4344" spans="47:48" x14ac:dyDescent="0.25">
      <c r="AU4344" s="7"/>
      <c r="AV4344" s="7"/>
    </row>
    <row r="4345" spans="47:48" x14ac:dyDescent="0.25">
      <c r="AU4345" s="7"/>
      <c r="AV4345" s="7"/>
    </row>
    <row r="4346" spans="47:48" x14ac:dyDescent="0.25">
      <c r="AU4346" s="7"/>
      <c r="AV4346" s="7"/>
    </row>
    <row r="4347" spans="47:48" x14ac:dyDescent="0.25">
      <c r="AU4347" s="7"/>
      <c r="AV4347" s="7"/>
    </row>
    <row r="4348" spans="47:48" x14ac:dyDescent="0.25">
      <c r="AU4348" s="7"/>
      <c r="AV4348" s="7"/>
    </row>
    <row r="4349" spans="47:48" x14ac:dyDescent="0.25">
      <c r="AU4349" s="7"/>
      <c r="AV4349" s="7"/>
    </row>
    <row r="4350" spans="47:48" x14ac:dyDescent="0.25">
      <c r="AU4350" s="7"/>
      <c r="AV4350" s="7"/>
    </row>
    <row r="4351" spans="47:48" x14ac:dyDescent="0.25">
      <c r="AU4351" s="7"/>
      <c r="AV4351" s="7"/>
    </row>
    <row r="4352" spans="47:48" x14ac:dyDescent="0.25">
      <c r="AU4352" s="7"/>
      <c r="AV4352" s="7"/>
    </row>
    <row r="4353" spans="47:48" x14ac:dyDescent="0.25">
      <c r="AU4353" s="7"/>
      <c r="AV4353" s="7"/>
    </row>
    <row r="4354" spans="47:48" x14ac:dyDescent="0.25">
      <c r="AU4354" s="7"/>
      <c r="AV4354" s="7"/>
    </row>
    <row r="4355" spans="47:48" x14ac:dyDescent="0.25">
      <c r="AU4355" s="7"/>
      <c r="AV4355" s="7"/>
    </row>
    <row r="4356" spans="47:48" x14ac:dyDescent="0.25">
      <c r="AU4356" s="7"/>
      <c r="AV4356" s="7"/>
    </row>
    <row r="4357" spans="47:48" x14ac:dyDescent="0.25">
      <c r="AU4357" s="7"/>
      <c r="AV4357" s="7"/>
    </row>
    <row r="4358" spans="47:48" x14ac:dyDescent="0.25">
      <c r="AU4358" s="7"/>
      <c r="AV4358" s="7"/>
    </row>
    <row r="4359" spans="47:48" x14ac:dyDescent="0.25">
      <c r="AU4359" s="7"/>
      <c r="AV4359" s="7"/>
    </row>
    <row r="4360" spans="47:48" x14ac:dyDescent="0.25">
      <c r="AU4360" s="7"/>
      <c r="AV4360" s="7"/>
    </row>
    <row r="4361" spans="47:48" x14ac:dyDescent="0.25">
      <c r="AU4361" s="7"/>
      <c r="AV4361" s="7"/>
    </row>
    <row r="4362" spans="47:48" x14ac:dyDescent="0.25">
      <c r="AU4362" s="7"/>
      <c r="AV4362" s="7"/>
    </row>
    <row r="4363" spans="47:48" x14ac:dyDescent="0.25">
      <c r="AU4363" s="7"/>
      <c r="AV4363" s="7"/>
    </row>
    <row r="4364" spans="47:48" x14ac:dyDescent="0.25">
      <c r="AU4364" s="7"/>
      <c r="AV4364" s="7"/>
    </row>
    <row r="4365" spans="47:48" x14ac:dyDescent="0.25">
      <c r="AU4365" s="7"/>
      <c r="AV4365" s="7"/>
    </row>
    <row r="4366" spans="47:48" x14ac:dyDescent="0.25">
      <c r="AU4366" s="7"/>
      <c r="AV4366" s="7"/>
    </row>
    <row r="4367" spans="47:48" x14ac:dyDescent="0.25">
      <c r="AU4367" s="7"/>
      <c r="AV4367" s="7"/>
    </row>
    <row r="4368" spans="47:48" x14ac:dyDescent="0.25">
      <c r="AU4368" s="7"/>
      <c r="AV4368" s="7"/>
    </row>
    <row r="4369" spans="47:48" x14ac:dyDescent="0.25">
      <c r="AU4369" s="7"/>
      <c r="AV4369" s="7"/>
    </row>
    <row r="4370" spans="47:48" x14ac:dyDescent="0.25">
      <c r="AU4370" s="7"/>
      <c r="AV4370" s="7"/>
    </row>
    <row r="4371" spans="47:48" x14ac:dyDescent="0.25">
      <c r="AU4371" s="7"/>
      <c r="AV4371" s="7"/>
    </row>
    <row r="4372" spans="47:48" x14ac:dyDescent="0.25">
      <c r="AU4372" s="7"/>
      <c r="AV4372" s="7"/>
    </row>
    <row r="4373" spans="47:48" x14ac:dyDescent="0.25">
      <c r="AU4373" s="7"/>
      <c r="AV4373" s="7"/>
    </row>
    <row r="4374" spans="47:48" x14ac:dyDescent="0.25">
      <c r="AU4374" s="7"/>
      <c r="AV4374" s="7"/>
    </row>
    <row r="4375" spans="47:48" x14ac:dyDescent="0.25">
      <c r="AU4375" s="7"/>
      <c r="AV4375" s="7"/>
    </row>
    <row r="4376" spans="47:48" x14ac:dyDescent="0.25">
      <c r="AU4376" s="7"/>
      <c r="AV4376" s="7"/>
    </row>
    <row r="4377" spans="47:48" x14ac:dyDescent="0.25">
      <c r="AU4377" s="7"/>
      <c r="AV4377" s="7"/>
    </row>
    <row r="4378" spans="47:48" x14ac:dyDescent="0.25">
      <c r="AU4378" s="7"/>
      <c r="AV4378" s="7"/>
    </row>
    <row r="4379" spans="47:48" x14ac:dyDescent="0.25">
      <c r="AU4379" s="7"/>
      <c r="AV4379" s="7"/>
    </row>
    <row r="4380" spans="47:48" x14ac:dyDescent="0.25">
      <c r="AU4380" s="7"/>
      <c r="AV4380" s="7"/>
    </row>
    <row r="4381" spans="47:48" x14ac:dyDescent="0.25">
      <c r="AU4381" s="7"/>
      <c r="AV4381" s="7"/>
    </row>
    <row r="4382" spans="47:48" x14ac:dyDescent="0.25">
      <c r="AU4382" s="7"/>
      <c r="AV4382" s="7"/>
    </row>
    <row r="4383" spans="47:48" x14ac:dyDescent="0.25">
      <c r="AU4383" s="7"/>
      <c r="AV4383" s="7"/>
    </row>
    <row r="4384" spans="47:48" x14ac:dyDescent="0.25">
      <c r="AU4384" s="7"/>
      <c r="AV4384" s="7"/>
    </row>
    <row r="4385" spans="47:48" x14ac:dyDescent="0.25">
      <c r="AU4385" s="7"/>
      <c r="AV4385" s="7"/>
    </row>
    <row r="4386" spans="47:48" x14ac:dyDescent="0.25">
      <c r="AU4386" s="7"/>
      <c r="AV4386" s="7"/>
    </row>
    <row r="4387" spans="47:48" x14ac:dyDescent="0.25">
      <c r="AU4387" s="7"/>
      <c r="AV4387" s="7"/>
    </row>
    <row r="4388" spans="47:48" x14ac:dyDescent="0.25">
      <c r="AU4388" s="7"/>
      <c r="AV4388" s="7"/>
    </row>
    <row r="4389" spans="47:48" x14ac:dyDescent="0.25">
      <c r="AU4389" s="7"/>
      <c r="AV4389" s="7"/>
    </row>
    <row r="4390" spans="47:48" x14ac:dyDescent="0.25">
      <c r="AU4390" s="7"/>
      <c r="AV4390" s="7"/>
    </row>
    <row r="4391" spans="47:48" x14ac:dyDescent="0.25">
      <c r="AU4391" s="7"/>
      <c r="AV4391" s="7"/>
    </row>
    <row r="4392" spans="47:48" x14ac:dyDescent="0.25">
      <c r="AU4392" s="7"/>
      <c r="AV4392" s="7"/>
    </row>
    <row r="4393" spans="47:48" x14ac:dyDescent="0.25">
      <c r="AU4393" s="7"/>
      <c r="AV4393" s="7"/>
    </row>
    <row r="4394" spans="47:48" x14ac:dyDescent="0.25">
      <c r="AU4394" s="7"/>
      <c r="AV4394" s="7"/>
    </row>
    <row r="4395" spans="47:48" x14ac:dyDescent="0.25">
      <c r="AU4395" s="7"/>
      <c r="AV4395" s="7"/>
    </row>
    <row r="4396" spans="47:48" x14ac:dyDescent="0.25">
      <c r="AU4396" s="7"/>
      <c r="AV4396" s="7"/>
    </row>
    <row r="4397" spans="47:48" x14ac:dyDescent="0.25">
      <c r="AU4397" s="7"/>
      <c r="AV4397" s="7"/>
    </row>
    <row r="4398" spans="47:48" x14ac:dyDescent="0.25">
      <c r="AU4398" s="7"/>
      <c r="AV4398" s="7"/>
    </row>
    <row r="4399" spans="47:48" x14ac:dyDescent="0.25">
      <c r="AU4399" s="7"/>
      <c r="AV4399" s="7"/>
    </row>
    <row r="4400" spans="47:48" x14ac:dyDescent="0.25">
      <c r="AU4400" s="7"/>
      <c r="AV4400" s="7"/>
    </row>
    <row r="4401" spans="47:48" x14ac:dyDescent="0.25">
      <c r="AU4401" s="7"/>
      <c r="AV4401" s="7"/>
    </row>
    <row r="4402" spans="47:48" x14ac:dyDescent="0.25">
      <c r="AU4402" s="7"/>
      <c r="AV4402" s="7"/>
    </row>
    <row r="4403" spans="47:48" x14ac:dyDescent="0.25">
      <c r="AU4403" s="7"/>
      <c r="AV4403" s="7"/>
    </row>
    <row r="4404" spans="47:48" x14ac:dyDescent="0.25">
      <c r="AU4404" s="7"/>
      <c r="AV4404" s="7"/>
    </row>
    <row r="4405" spans="47:48" x14ac:dyDescent="0.25">
      <c r="AU4405" s="7"/>
      <c r="AV4405" s="7"/>
    </row>
    <row r="4406" spans="47:48" x14ac:dyDescent="0.25">
      <c r="AU4406" s="7"/>
      <c r="AV4406" s="7"/>
    </row>
    <row r="4407" spans="47:48" x14ac:dyDescent="0.25">
      <c r="AU4407" s="7"/>
      <c r="AV4407" s="7"/>
    </row>
    <row r="4408" spans="47:48" x14ac:dyDescent="0.25">
      <c r="AU4408" s="7"/>
      <c r="AV4408" s="7"/>
    </row>
    <row r="4409" spans="47:48" x14ac:dyDescent="0.25">
      <c r="AU4409" s="7"/>
      <c r="AV4409" s="7"/>
    </row>
    <row r="4410" spans="47:48" x14ac:dyDescent="0.25">
      <c r="AU4410" s="7"/>
      <c r="AV4410" s="7"/>
    </row>
    <row r="4411" spans="47:48" x14ac:dyDescent="0.25">
      <c r="AU4411" s="7"/>
      <c r="AV4411" s="7"/>
    </row>
    <row r="4412" spans="47:48" x14ac:dyDescent="0.25">
      <c r="AU4412" s="7"/>
      <c r="AV4412" s="7"/>
    </row>
    <row r="4413" spans="47:48" x14ac:dyDescent="0.25">
      <c r="AU4413" s="7"/>
      <c r="AV4413" s="7"/>
    </row>
    <row r="4414" spans="47:48" x14ac:dyDescent="0.25">
      <c r="AU4414" s="7"/>
      <c r="AV4414" s="7"/>
    </row>
    <row r="4415" spans="47:48" x14ac:dyDescent="0.25">
      <c r="AU4415" s="7"/>
      <c r="AV4415" s="7"/>
    </row>
    <row r="4416" spans="47:48" x14ac:dyDescent="0.25">
      <c r="AU4416" s="7"/>
      <c r="AV4416" s="7"/>
    </row>
    <row r="4417" spans="47:48" x14ac:dyDescent="0.25">
      <c r="AU4417" s="7"/>
      <c r="AV4417" s="7"/>
    </row>
    <row r="4418" spans="47:48" x14ac:dyDescent="0.25">
      <c r="AU4418" s="7"/>
      <c r="AV4418" s="7"/>
    </row>
    <row r="4419" spans="47:48" x14ac:dyDescent="0.25">
      <c r="AU4419" s="7"/>
      <c r="AV4419" s="7"/>
    </row>
    <row r="4420" spans="47:48" x14ac:dyDescent="0.25">
      <c r="AU4420" s="7"/>
      <c r="AV4420" s="7"/>
    </row>
    <row r="4421" spans="47:48" x14ac:dyDescent="0.25">
      <c r="AU4421" s="7"/>
      <c r="AV4421" s="7"/>
    </row>
    <row r="4422" spans="47:48" x14ac:dyDescent="0.25">
      <c r="AU4422" s="7"/>
      <c r="AV4422" s="7"/>
    </row>
    <row r="4423" spans="47:48" x14ac:dyDescent="0.25">
      <c r="AU4423" s="7"/>
      <c r="AV4423" s="7"/>
    </row>
    <row r="4424" spans="47:48" x14ac:dyDescent="0.25">
      <c r="AU4424" s="7"/>
      <c r="AV4424" s="7"/>
    </row>
    <row r="4425" spans="47:48" x14ac:dyDescent="0.25">
      <c r="AU4425" s="7"/>
      <c r="AV4425" s="7"/>
    </row>
    <row r="4426" spans="47:48" x14ac:dyDescent="0.25">
      <c r="AU4426" s="7"/>
      <c r="AV4426" s="7"/>
    </row>
    <row r="4427" spans="47:48" x14ac:dyDescent="0.25">
      <c r="AU4427" s="7"/>
      <c r="AV4427" s="7"/>
    </row>
    <row r="4428" spans="47:48" x14ac:dyDescent="0.25">
      <c r="AU4428" s="7"/>
      <c r="AV4428" s="7"/>
    </row>
    <row r="4429" spans="47:48" x14ac:dyDescent="0.25">
      <c r="AU4429" s="7"/>
      <c r="AV4429" s="7"/>
    </row>
    <row r="4430" spans="47:48" x14ac:dyDescent="0.25">
      <c r="AU4430" s="7"/>
      <c r="AV4430" s="7"/>
    </row>
    <row r="4431" spans="47:48" x14ac:dyDescent="0.25">
      <c r="AU4431" s="7"/>
      <c r="AV4431" s="7"/>
    </row>
    <row r="4432" spans="47:48" x14ac:dyDescent="0.25">
      <c r="AU4432" s="7"/>
      <c r="AV4432" s="7"/>
    </row>
    <row r="4433" spans="47:48" x14ac:dyDescent="0.25">
      <c r="AU4433" s="7"/>
      <c r="AV4433" s="7"/>
    </row>
    <row r="4434" spans="47:48" x14ac:dyDescent="0.25">
      <c r="AU4434" s="7"/>
      <c r="AV4434" s="7"/>
    </row>
    <row r="4435" spans="47:48" x14ac:dyDescent="0.25">
      <c r="AU4435" s="7"/>
      <c r="AV4435" s="7"/>
    </row>
    <row r="4436" spans="47:48" x14ac:dyDescent="0.25">
      <c r="AU4436" s="7"/>
      <c r="AV4436" s="7"/>
    </row>
    <row r="4437" spans="47:48" x14ac:dyDescent="0.25">
      <c r="AU4437" s="7"/>
      <c r="AV4437" s="7"/>
    </row>
    <row r="4438" spans="47:48" x14ac:dyDescent="0.25">
      <c r="AU4438" s="7"/>
      <c r="AV4438" s="7"/>
    </row>
    <row r="4439" spans="47:48" x14ac:dyDescent="0.25">
      <c r="AU4439" s="7"/>
      <c r="AV4439" s="7"/>
    </row>
    <row r="4440" spans="47:48" x14ac:dyDescent="0.25">
      <c r="AU4440" s="7"/>
      <c r="AV4440" s="7"/>
    </row>
    <row r="4441" spans="47:48" x14ac:dyDescent="0.25">
      <c r="AU4441" s="7"/>
      <c r="AV4441" s="7"/>
    </row>
    <row r="4442" spans="47:48" x14ac:dyDescent="0.25">
      <c r="AU4442" s="7"/>
      <c r="AV4442" s="7"/>
    </row>
    <row r="4443" spans="47:48" x14ac:dyDescent="0.25">
      <c r="AU4443" s="7"/>
      <c r="AV4443" s="7"/>
    </row>
    <row r="4444" spans="47:48" x14ac:dyDescent="0.25">
      <c r="AU4444" s="7"/>
      <c r="AV4444" s="7"/>
    </row>
    <row r="4445" spans="47:48" x14ac:dyDescent="0.25">
      <c r="AU4445" s="7"/>
      <c r="AV4445" s="7"/>
    </row>
    <row r="4446" spans="47:48" x14ac:dyDescent="0.25">
      <c r="AU4446" s="7"/>
      <c r="AV4446" s="7"/>
    </row>
    <row r="4447" spans="47:48" x14ac:dyDescent="0.25">
      <c r="AU4447" s="7"/>
      <c r="AV4447" s="7"/>
    </row>
    <row r="4448" spans="47:48" x14ac:dyDescent="0.25">
      <c r="AU4448" s="7"/>
      <c r="AV4448" s="7"/>
    </row>
    <row r="4449" spans="47:48" x14ac:dyDescent="0.25">
      <c r="AU4449" s="7"/>
      <c r="AV4449" s="7"/>
    </row>
    <row r="4450" spans="47:48" x14ac:dyDescent="0.25">
      <c r="AU4450" s="7"/>
      <c r="AV4450" s="7"/>
    </row>
    <row r="4451" spans="47:48" x14ac:dyDescent="0.25">
      <c r="AU4451" s="7"/>
      <c r="AV4451" s="7"/>
    </row>
    <row r="4452" spans="47:48" x14ac:dyDescent="0.25">
      <c r="AU4452" s="7"/>
      <c r="AV4452" s="7"/>
    </row>
    <row r="4453" spans="47:48" x14ac:dyDescent="0.25">
      <c r="AU4453" s="7"/>
      <c r="AV4453" s="7"/>
    </row>
    <row r="4454" spans="47:48" x14ac:dyDescent="0.25">
      <c r="AU4454" s="7"/>
      <c r="AV4454" s="7"/>
    </row>
    <row r="4455" spans="47:48" x14ac:dyDescent="0.25">
      <c r="AU4455" s="7"/>
      <c r="AV4455" s="7"/>
    </row>
    <row r="4456" spans="47:48" x14ac:dyDescent="0.25">
      <c r="AU4456" s="7"/>
      <c r="AV4456" s="7"/>
    </row>
    <row r="4457" spans="47:48" x14ac:dyDescent="0.25">
      <c r="AU4457" s="7"/>
      <c r="AV4457" s="7"/>
    </row>
    <row r="4458" spans="47:48" x14ac:dyDescent="0.25">
      <c r="AU4458" s="7"/>
      <c r="AV4458" s="7"/>
    </row>
    <row r="4459" spans="47:48" x14ac:dyDescent="0.25">
      <c r="AU4459" s="7"/>
      <c r="AV4459" s="7"/>
    </row>
    <row r="4460" spans="47:48" x14ac:dyDescent="0.25">
      <c r="AU4460" s="7"/>
      <c r="AV4460" s="7"/>
    </row>
    <row r="4461" spans="47:48" x14ac:dyDescent="0.25">
      <c r="AU4461" s="7"/>
      <c r="AV4461" s="7"/>
    </row>
    <row r="4462" spans="47:48" x14ac:dyDescent="0.25">
      <c r="AU4462" s="7"/>
      <c r="AV4462" s="7"/>
    </row>
    <row r="4463" spans="47:48" x14ac:dyDescent="0.25">
      <c r="AU4463" s="7"/>
      <c r="AV4463" s="7"/>
    </row>
    <row r="4464" spans="47:48" x14ac:dyDescent="0.25">
      <c r="AU4464" s="7"/>
      <c r="AV4464" s="7"/>
    </row>
    <row r="4465" spans="47:48" x14ac:dyDescent="0.25">
      <c r="AU4465" s="7"/>
      <c r="AV4465" s="7"/>
    </row>
    <row r="4466" spans="47:48" x14ac:dyDescent="0.25">
      <c r="AU4466" s="7"/>
      <c r="AV4466" s="7"/>
    </row>
    <row r="4467" spans="47:48" x14ac:dyDescent="0.25">
      <c r="AU4467" s="7"/>
      <c r="AV4467" s="7"/>
    </row>
    <row r="4468" spans="47:48" x14ac:dyDescent="0.25">
      <c r="AU4468" s="7"/>
      <c r="AV4468" s="7"/>
    </row>
    <row r="4469" spans="47:48" x14ac:dyDescent="0.25">
      <c r="AU4469" s="7"/>
      <c r="AV4469" s="7"/>
    </row>
    <row r="4470" spans="47:48" x14ac:dyDescent="0.25">
      <c r="AU4470" s="7"/>
      <c r="AV4470" s="7"/>
    </row>
    <row r="4471" spans="47:48" x14ac:dyDescent="0.25">
      <c r="AU4471" s="7"/>
      <c r="AV4471" s="7"/>
    </row>
    <row r="4472" spans="47:48" x14ac:dyDescent="0.25">
      <c r="AU4472" s="7"/>
      <c r="AV4472" s="7"/>
    </row>
    <row r="4473" spans="47:48" x14ac:dyDescent="0.25">
      <c r="AU4473" s="7"/>
      <c r="AV4473" s="7"/>
    </row>
    <row r="4474" spans="47:48" x14ac:dyDescent="0.25">
      <c r="AU4474" s="7"/>
      <c r="AV4474" s="7"/>
    </row>
    <row r="4475" spans="47:48" x14ac:dyDescent="0.25">
      <c r="AU4475" s="7"/>
      <c r="AV4475" s="7"/>
    </row>
    <row r="4476" spans="47:48" x14ac:dyDescent="0.25">
      <c r="AU4476" s="7"/>
      <c r="AV4476" s="7"/>
    </row>
    <row r="4477" spans="47:48" x14ac:dyDescent="0.25">
      <c r="AU4477" s="7"/>
      <c r="AV4477" s="7"/>
    </row>
    <row r="4478" spans="47:48" x14ac:dyDescent="0.25">
      <c r="AU4478" s="7"/>
      <c r="AV4478" s="7"/>
    </row>
    <row r="4479" spans="47:48" x14ac:dyDescent="0.25">
      <c r="AU4479" s="7"/>
      <c r="AV4479" s="7"/>
    </row>
    <row r="4480" spans="47:48" x14ac:dyDescent="0.25">
      <c r="AU4480" s="7"/>
      <c r="AV4480" s="7"/>
    </row>
    <row r="4481" spans="47:48" x14ac:dyDescent="0.25">
      <c r="AU4481" s="7"/>
      <c r="AV4481" s="7"/>
    </row>
    <row r="4482" spans="47:48" x14ac:dyDescent="0.25">
      <c r="AU4482" s="7"/>
      <c r="AV4482" s="7"/>
    </row>
    <row r="4483" spans="47:48" x14ac:dyDescent="0.25">
      <c r="AU4483" s="7"/>
      <c r="AV4483" s="7"/>
    </row>
    <row r="4484" spans="47:48" x14ac:dyDescent="0.25">
      <c r="AU4484" s="7"/>
      <c r="AV4484" s="7"/>
    </row>
    <row r="4485" spans="47:48" x14ac:dyDescent="0.25">
      <c r="AU4485" s="7"/>
      <c r="AV4485" s="7"/>
    </row>
    <row r="4486" spans="47:48" x14ac:dyDescent="0.25">
      <c r="AU4486" s="7"/>
      <c r="AV4486" s="7"/>
    </row>
    <row r="4487" spans="47:48" x14ac:dyDescent="0.25">
      <c r="AU4487" s="7"/>
      <c r="AV4487" s="7"/>
    </row>
    <row r="4488" spans="47:48" x14ac:dyDescent="0.25">
      <c r="AU4488" s="7"/>
      <c r="AV4488" s="7"/>
    </row>
    <row r="4489" spans="47:48" x14ac:dyDescent="0.25">
      <c r="AU4489" s="7"/>
      <c r="AV4489" s="7"/>
    </row>
    <row r="4490" spans="47:48" x14ac:dyDescent="0.25">
      <c r="AU4490" s="7"/>
      <c r="AV4490" s="7"/>
    </row>
    <row r="4491" spans="47:48" x14ac:dyDescent="0.25">
      <c r="AU4491" s="7"/>
      <c r="AV4491" s="7"/>
    </row>
    <row r="4492" spans="47:48" x14ac:dyDescent="0.25">
      <c r="AU4492" s="7"/>
      <c r="AV4492" s="7"/>
    </row>
    <row r="4493" spans="47:48" x14ac:dyDescent="0.25">
      <c r="AU4493" s="7"/>
      <c r="AV4493" s="7"/>
    </row>
    <row r="4494" spans="47:48" x14ac:dyDescent="0.25">
      <c r="AU4494" s="7"/>
      <c r="AV4494" s="7"/>
    </row>
    <row r="4495" spans="47:48" x14ac:dyDescent="0.25">
      <c r="AU4495" s="7"/>
      <c r="AV4495" s="7"/>
    </row>
    <row r="4496" spans="47:48" x14ac:dyDescent="0.25">
      <c r="AU4496" s="7"/>
      <c r="AV4496" s="7"/>
    </row>
    <row r="4497" spans="47:48" x14ac:dyDescent="0.25">
      <c r="AU4497" s="7"/>
      <c r="AV4497" s="7"/>
    </row>
    <row r="4498" spans="47:48" x14ac:dyDescent="0.25">
      <c r="AU4498" s="7"/>
      <c r="AV4498" s="7"/>
    </row>
    <row r="4499" spans="47:48" x14ac:dyDescent="0.25">
      <c r="AU4499" s="7"/>
      <c r="AV4499" s="7"/>
    </row>
    <row r="4500" spans="47:48" x14ac:dyDescent="0.25">
      <c r="AU4500" s="7"/>
      <c r="AV4500" s="7"/>
    </row>
    <row r="4501" spans="47:48" x14ac:dyDescent="0.25">
      <c r="AU4501" s="7"/>
      <c r="AV4501" s="7"/>
    </row>
    <row r="4502" spans="47:48" x14ac:dyDescent="0.25">
      <c r="AU4502" s="7"/>
      <c r="AV4502" s="7"/>
    </row>
    <row r="4503" spans="47:48" x14ac:dyDescent="0.25">
      <c r="AU4503" s="7"/>
      <c r="AV4503" s="7"/>
    </row>
    <row r="4504" spans="47:48" x14ac:dyDescent="0.25">
      <c r="AU4504" s="7"/>
      <c r="AV4504" s="7"/>
    </row>
    <row r="4505" spans="47:48" x14ac:dyDescent="0.25">
      <c r="AU4505" s="7"/>
      <c r="AV4505" s="7"/>
    </row>
    <row r="4506" spans="47:48" x14ac:dyDescent="0.25">
      <c r="AU4506" s="7"/>
      <c r="AV4506" s="7"/>
    </row>
    <row r="4507" spans="47:48" x14ac:dyDescent="0.25">
      <c r="AU4507" s="7"/>
      <c r="AV4507" s="7"/>
    </row>
    <row r="4508" spans="47:48" x14ac:dyDescent="0.25">
      <c r="AU4508" s="7"/>
      <c r="AV4508" s="7"/>
    </row>
    <row r="4509" spans="47:48" x14ac:dyDescent="0.25">
      <c r="AU4509" s="7"/>
      <c r="AV4509" s="7"/>
    </row>
    <row r="4510" spans="47:48" x14ac:dyDescent="0.25">
      <c r="AU4510" s="7"/>
      <c r="AV4510" s="7"/>
    </row>
    <row r="4511" spans="47:48" x14ac:dyDescent="0.25">
      <c r="AU4511" s="7"/>
      <c r="AV4511" s="7"/>
    </row>
    <row r="4512" spans="47:48" x14ac:dyDescent="0.25">
      <c r="AU4512" s="7"/>
      <c r="AV4512" s="7"/>
    </row>
    <row r="4513" spans="47:48" x14ac:dyDescent="0.25">
      <c r="AU4513" s="7"/>
      <c r="AV4513" s="7"/>
    </row>
    <row r="4514" spans="47:48" x14ac:dyDescent="0.25">
      <c r="AU4514" s="7"/>
      <c r="AV4514" s="7"/>
    </row>
    <row r="4515" spans="47:48" x14ac:dyDescent="0.25">
      <c r="AU4515" s="7"/>
      <c r="AV4515" s="7"/>
    </row>
    <row r="4516" spans="47:48" x14ac:dyDescent="0.25">
      <c r="AU4516" s="7"/>
      <c r="AV4516" s="7"/>
    </row>
    <row r="4517" spans="47:48" x14ac:dyDescent="0.25">
      <c r="AU4517" s="7"/>
      <c r="AV4517" s="7"/>
    </row>
    <row r="4518" spans="47:48" x14ac:dyDescent="0.25">
      <c r="AU4518" s="7"/>
      <c r="AV4518" s="7"/>
    </row>
    <row r="4519" spans="47:48" x14ac:dyDescent="0.25">
      <c r="AU4519" s="7"/>
      <c r="AV4519" s="7"/>
    </row>
    <row r="4520" spans="47:48" x14ac:dyDescent="0.25">
      <c r="AU4520" s="7"/>
      <c r="AV4520" s="7"/>
    </row>
    <row r="4521" spans="47:48" x14ac:dyDescent="0.25">
      <c r="AU4521" s="7"/>
      <c r="AV4521" s="7"/>
    </row>
    <row r="4522" spans="47:48" x14ac:dyDescent="0.25">
      <c r="AU4522" s="7"/>
      <c r="AV4522" s="7"/>
    </row>
    <row r="4523" spans="47:48" x14ac:dyDescent="0.25">
      <c r="AU4523" s="7"/>
      <c r="AV4523" s="7"/>
    </row>
    <row r="4524" spans="47:48" x14ac:dyDescent="0.25">
      <c r="AU4524" s="7"/>
      <c r="AV4524" s="7"/>
    </row>
    <row r="4525" spans="47:48" x14ac:dyDescent="0.25">
      <c r="AU4525" s="7"/>
      <c r="AV4525" s="7"/>
    </row>
    <row r="4526" spans="47:48" x14ac:dyDescent="0.25">
      <c r="AU4526" s="7"/>
      <c r="AV4526" s="7"/>
    </row>
    <row r="4527" spans="47:48" x14ac:dyDescent="0.25">
      <c r="AU4527" s="7"/>
      <c r="AV4527" s="7"/>
    </row>
    <row r="4528" spans="47:48" x14ac:dyDescent="0.25">
      <c r="AU4528" s="7"/>
      <c r="AV4528" s="7"/>
    </row>
    <row r="4529" spans="47:48" x14ac:dyDescent="0.25">
      <c r="AU4529" s="7"/>
      <c r="AV4529" s="7"/>
    </row>
    <row r="4530" spans="47:48" x14ac:dyDescent="0.25">
      <c r="AU4530" s="7"/>
      <c r="AV4530" s="7"/>
    </row>
    <row r="4531" spans="47:48" x14ac:dyDescent="0.25">
      <c r="AU4531" s="7"/>
      <c r="AV4531" s="7"/>
    </row>
    <row r="4532" spans="47:48" x14ac:dyDescent="0.25">
      <c r="AU4532" s="7"/>
      <c r="AV4532" s="7"/>
    </row>
    <row r="4533" spans="47:48" x14ac:dyDescent="0.25">
      <c r="AU4533" s="7"/>
      <c r="AV4533" s="7"/>
    </row>
    <row r="4534" spans="47:48" x14ac:dyDescent="0.25">
      <c r="AU4534" s="7"/>
      <c r="AV4534" s="7"/>
    </row>
    <row r="4535" spans="47:48" x14ac:dyDescent="0.25">
      <c r="AU4535" s="7"/>
      <c r="AV4535" s="7"/>
    </row>
    <row r="4536" spans="47:48" x14ac:dyDescent="0.25">
      <c r="AU4536" s="7"/>
      <c r="AV4536" s="7"/>
    </row>
    <row r="4537" spans="47:48" x14ac:dyDescent="0.25">
      <c r="AU4537" s="7"/>
      <c r="AV4537" s="7"/>
    </row>
    <row r="4538" spans="47:48" x14ac:dyDescent="0.25">
      <c r="AU4538" s="7"/>
      <c r="AV4538" s="7"/>
    </row>
    <row r="4539" spans="47:48" x14ac:dyDescent="0.25">
      <c r="AU4539" s="7"/>
      <c r="AV4539" s="7"/>
    </row>
    <row r="4540" spans="47:48" x14ac:dyDescent="0.25">
      <c r="AU4540" s="7"/>
      <c r="AV4540" s="7"/>
    </row>
    <row r="4541" spans="47:48" x14ac:dyDescent="0.25">
      <c r="AU4541" s="7"/>
      <c r="AV4541" s="7"/>
    </row>
    <row r="4542" spans="47:48" x14ac:dyDescent="0.25">
      <c r="AU4542" s="7"/>
      <c r="AV4542" s="7"/>
    </row>
    <row r="4543" spans="47:48" x14ac:dyDescent="0.25">
      <c r="AU4543" s="7"/>
      <c r="AV4543" s="7"/>
    </row>
    <row r="4544" spans="47:48" x14ac:dyDescent="0.25">
      <c r="AU4544" s="7"/>
      <c r="AV4544" s="7"/>
    </row>
    <row r="4545" spans="47:48" x14ac:dyDescent="0.25">
      <c r="AU4545" s="7"/>
      <c r="AV4545" s="7"/>
    </row>
    <row r="4546" spans="47:48" x14ac:dyDescent="0.25">
      <c r="AU4546" s="7"/>
      <c r="AV4546" s="7"/>
    </row>
    <row r="4547" spans="47:48" x14ac:dyDescent="0.25">
      <c r="AU4547" s="7"/>
      <c r="AV4547" s="7"/>
    </row>
    <row r="4548" spans="47:48" x14ac:dyDescent="0.25">
      <c r="AU4548" s="7"/>
      <c r="AV4548" s="7"/>
    </row>
    <row r="4549" spans="47:48" x14ac:dyDescent="0.25">
      <c r="AU4549" s="7"/>
      <c r="AV4549" s="7"/>
    </row>
    <row r="4550" spans="47:48" x14ac:dyDescent="0.25">
      <c r="AU4550" s="7"/>
      <c r="AV4550" s="7"/>
    </row>
    <row r="4551" spans="47:48" x14ac:dyDescent="0.25">
      <c r="AU4551" s="7"/>
      <c r="AV4551" s="7"/>
    </row>
    <row r="4552" spans="47:48" x14ac:dyDescent="0.25">
      <c r="AU4552" s="7"/>
      <c r="AV4552" s="7"/>
    </row>
    <row r="4553" spans="47:48" x14ac:dyDescent="0.25">
      <c r="AU4553" s="7"/>
      <c r="AV4553" s="7"/>
    </row>
    <row r="4554" spans="47:48" x14ac:dyDescent="0.25">
      <c r="AU4554" s="7"/>
      <c r="AV4554" s="7"/>
    </row>
    <row r="4555" spans="47:48" x14ac:dyDescent="0.25">
      <c r="AU4555" s="7"/>
      <c r="AV4555" s="7"/>
    </row>
    <row r="4556" spans="47:48" x14ac:dyDescent="0.25">
      <c r="AU4556" s="7"/>
      <c r="AV4556" s="7"/>
    </row>
    <row r="4557" spans="47:48" x14ac:dyDescent="0.25">
      <c r="AU4557" s="7"/>
      <c r="AV4557" s="7"/>
    </row>
    <row r="4558" spans="47:48" x14ac:dyDescent="0.25">
      <c r="AU4558" s="7"/>
      <c r="AV4558" s="7"/>
    </row>
    <row r="4559" spans="47:48" x14ac:dyDescent="0.25">
      <c r="AU4559" s="7"/>
      <c r="AV4559" s="7"/>
    </row>
    <row r="4560" spans="47:48" x14ac:dyDescent="0.25">
      <c r="AU4560" s="7"/>
      <c r="AV4560" s="7"/>
    </row>
    <row r="4561" spans="47:48" x14ac:dyDescent="0.25">
      <c r="AU4561" s="7"/>
      <c r="AV4561" s="7"/>
    </row>
    <row r="4562" spans="47:48" x14ac:dyDescent="0.25">
      <c r="AU4562" s="7"/>
      <c r="AV4562" s="7"/>
    </row>
    <row r="4563" spans="47:48" x14ac:dyDescent="0.25">
      <c r="AU4563" s="7"/>
      <c r="AV4563" s="7"/>
    </row>
    <row r="4564" spans="47:48" x14ac:dyDescent="0.25">
      <c r="AU4564" s="7"/>
      <c r="AV4564" s="7"/>
    </row>
    <row r="4565" spans="47:48" x14ac:dyDescent="0.25">
      <c r="AU4565" s="7"/>
      <c r="AV4565" s="7"/>
    </row>
    <row r="4566" spans="47:48" x14ac:dyDescent="0.25">
      <c r="AU4566" s="7"/>
      <c r="AV4566" s="7"/>
    </row>
    <row r="4567" spans="47:48" x14ac:dyDescent="0.25">
      <c r="AU4567" s="7"/>
      <c r="AV4567" s="7"/>
    </row>
    <row r="4568" spans="47:48" x14ac:dyDescent="0.25">
      <c r="AU4568" s="7"/>
      <c r="AV4568" s="7"/>
    </row>
    <row r="4569" spans="47:48" x14ac:dyDescent="0.25">
      <c r="AU4569" s="7"/>
      <c r="AV4569" s="7"/>
    </row>
    <row r="4570" spans="47:48" x14ac:dyDescent="0.25">
      <c r="AU4570" s="7"/>
      <c r="AV4570" s="7"/>
    </row>
    <row r="4571" spans="47:48" x14ac:dyDescent="0.25">
      <c r="AU4571" s="7"/>
      <c r="AV4571" s="7"/>
    </row>
    <row r="4572" spans="47:48" x14ac:dyDescent="0.25">
      <c r="AU4572" s="7"/>
      <c r="AV4572" s="7"/>
    </row>
    <row r="4573" spans="47:48" x14ac:dyDescent="0.25">
      <c r="AU4573" s="7"/>
      <c r="AV4573" s="7"/>
    </row>
    <row r="4574" spans="47:48" x14ac:dyDescent="0.25">
      <c r="AU4574" s="7"/>
      <c r="AV4574" s="7"/>
    </row>
    <row r="4575" spans="47:48" x14ac:dyDescent="0.25">
      <c r="AU4575" s="7"/>
      <c r="AV4575" s="7"/>
    </row>
    <row r="4576" spans="47:48" x14ac:dyDescent="0.25">
      <c r="AU4576" s="7"/>
      <c r="AV4576" s="7"/>
    </row>
    <row r="4577" spans="47:48" x14ac:dyDescent="0.25">
      <c r="AU4577" s="7"/>
      <c r="AV4577" s="7"/>
    </row>
    <row r="4578" spans="47:48" x14ac:dyDescent="0.25">
      <c r="AU4578" s="7"/>
      <c r="AV4578" s="7"/>
    </row>
    <row r="4579" spans="47:48" x14ac:dyDescent="0.25">
      <c r="AU4579" s="7"/>
      <c r="AV4579" s="7"/>
    </row>
    <row r="4580" spans="47:48" x14ac:dyDescent="0.25">
      <c r="AU4580" s="7"/>
      <c r="AV4580" s="7"/>
    </row>
    <row r="4581" spans="47:48" x14ac:dyDescent="0.25">
      <c r="AU4581" s="7"/>
      <c r="AV4581" s="7"/>
    </row>
    <row r="4582" spans="47:48" x14ac:dyDescent="0.25">
      <c r="AU4582" s="7"/>
      <c r="AV4582" s="7"/>
    </row>
    <row r="4583" spans="47:48" x14ac:dyDescent="0.25">
      <c r="AU4583" s="7"/>
      <c r="AV4583" s="7"/>
    </row>
    <row r="4584" spans="47:48" x14ac:dyDescent="0.25">
      <c r="AU4584" s="7"/>
      <c r="AV4584" s="7"/>
    </row>
    <row r="4585" spans="47:48" x14ac:dyDescent="0.25">
      <c r="AU4585" s="7"/>
      <c r="AV4585" s="7"/>
    </row>
    <row r="4586" spans="47:48" x14ac:dyDescent="0.25">
      <c r="AU4586" s="7"/>
      <c r="AV4586" s="7"/>
    </row>
    <row r="4587" spans="47:48" x14ac:dyDescent="0.25">
      <c r="AU4587" s="7"/>
      <c r="AV4587" s="7"/>
    </row>
    <row r="4588" spans="47:48" x14ac:dyDescent="0.25">
      <c r="AU4588" s="7"/>
      <c r="AV4588" s="7"/>
    </row>
    <row r="4589" spans="47:48" x14ac:dyDescent="0.25">
      <c r="AU4589" s="7"/>
      <c r="AV4589" s="7"/>
    </row>
    <row r="4590" spans="47:48" x14ac:dyDescent="0.25">
      <c r="AU4590" s="7"/>
      <c r="AV4590" s="7"/>
    </row>
    <row r="4591" spans="47:48" x14ac:dyDescent="0.25">
      <c r="AU4591" s="7"/>
      <c r="AV4591" s="7"/>
    </row>
    <row r="4592" spans="47:48" x14ac:dyDescent="0.25">
      <c r="AU4592" s="7"/>
      <c r="AV4592" s="7"/>
    </row>
    <row r="4593" spans="47:48" x14ac:dyDescent="0.25">
      <c r="AU4593" s="7"/>
      <c r="AV4593" s="7"/>
    </row>
    <row r="4594" spans="47:48" x14ac:dyDescent="0.25">
      <c r="AU4594" s="7"/>
      <c r="AV4594" s="7"/>
    </row>
    <row r="4595" spans="47:48" x14ac:dyDescent="0.25">
      <c r="AU4595" s="7"/>
      <c r="AV4595" s="7"/>
    </row>
    <row r="4596" spans="47:48" x14ac:dyDescent="0.25">
      <c r="AU4596" s="7"/>
      <c r="AV4596" s="7"/>
    </row>
    <row r="4597" spans="47:48" x14ac:dyDescent="0.25">
      <c r="AU4597" s="7"/>
      <c r="AV4597" s="7"/>
    </row>
    <row r="4598" spans="47:48" x14ac:dyDescent="0.25">
      <c r="AU4598" s="7"/>
      <c r="AV4598" s="7"/>
    </row>
    <row r="4599" spans="47:48" x14ac:dyDescent="0.25">
      <c r="AU4599" s="7"/>
      <c r="AV4599" s="7"/>
    </row>
    <row r="4600" spans="47:48" x14ac:dyDescent="0.25">
      <c r="AU4600" s="7"/>
      <c r="AV4600" s="7"/>
    </row>
    <row r="4601" spans="47:48" x14ac:dyDescent="0.25">
      <c r="AU4601" s="7"/>
      <c r="AV4601" s="7"/>
    </row>
    <row r="4602" spans="47:48" x14ac:dyDescent="0.25">
      <c r="AU4602" s="7"/>
      <c r="AV4602" s="7"/>
    </row>
    <row r="4603" spans="47:48" x14ac:dyDescent="0.25">
      <c r="AU4603" s="7"/>
      <c r="AV4603" s="7"/>
    </row>
    <row r="4604" spans="47:48" x14ac:dyDescent="0.25">
      <c r="AU4604" s="7"/>
      <c r="AV4604" s="7"/>
    </row>
    <row r="4605" spans="47:48" x14ac:dyDescent="0.25">
      <c r="AU4605" s="7"/>
      <c r="AV4605" s="7"/>
    </row>
    <row r="4606" spans="47:48" x14ac:dyDescent="0.25">
      <c r="AU4606" s="7"/>
      <c r="AV4606" s="7"/>
    </row>
    <row r="4607" spans="47:48" x14ac:dyDescent="0.25">
      <c r="AU4607" s="7"/>
      <c r="AV4607" s="7"/>
    </row>
    <row r="4608" spans="47:48" x14ac:dyDescent="0.25">
      <c r="AU4608" s="7"/>
      <c r="AV4608" s="7"/>
    </row>
    <row r="4609" spans="47:48" x14ac:dyDescent="0.25">
      <c r="AU4609" s="7"/>
      <c r="AV4609" s="7"/>
    </row>
    <row r="4610" spans="47:48" x14ac:dyDescent="0.25">
      <c r="AU4610" s="7"/>
      <c r="AV4610" s="7"/>
    </row>
    <row r="4611" spans="47:48" x14ac:dyDescent="0.25">
      <c r="AU4611" s="7"/>
      <c r="AV4611" s="7"/>
    </row>
    <row r="4612" spans="47:48" x14ac:dyDescent="0.25">
      <c r="AU4612" s="7"/>
      <c r="AV4612" s="7"/>
    </row>
    <row r="4613" spans="47:48" x14ac:dyDescent="0.25">
      <c r="AU4613" s="7"/>
      <c r="AV4613" s="7"/>
    </row>
    <row r="4614" spans="47:48" x14ac:dyDescent="0.25">
      <c r="AU4614" s="7"/>
      <c r="AV4614" s="7"/>
    </row>
    <row r="4615" spans="47:48" x14ac:dyDescent="0.25">
      <c r="AU4615" s="7"/>
      <c r="AV4615" s="7"/>
    </row>
    <row r="4616" spans="47:48" x14ac:dyDescent="0.25">
      <c r="AU4616" s="7"/>
      <c r="AV4616" s="7"/>
    </row>
    <row r="4617" spans="47:48" x14ac:dyDescent="0.25">
      <c r="AU4617" s="7"/>
      <c r="AV4617" s="7"/>
    </row>
    <row r="4618" spans="47:48" x14ac:dyDescent="0.25">
      <c r="AU4618" s="7"/>
      <c r="AV4618" s="7"/>
    </row>
    <row r="4619" spans="47:48" x14ac:dyDescent="0.25">
      <c r="AU4619" s="7"/>
      <c r="AV4619" s="7"/>
    </row>
    <row r="4620" spans="47:48" x14ac:dyDescent="0.25">
      <c r="AU4620" s="7"/>
      <c r="AV4620" s="7"/>
    </row>
    <row r="4621" spans="47:48" x14ac:dyDescent="0.25">
      <c r="AU4621" s="7"/>
      <c r="AV4621" s="7"/>
    </row>
    <row r="4622" spans="47:48" x14ac:dyDescent="0.25">
      <c r="AU4622" s="7"/>
      <c r="AV4622" s="7"/>
    </row>
    <row r="4623" spans="47:48" x14ac:dyDescent="0.25">
      <c r="AU4623" s="7"/>
      <c r="AV4623" s="7"/>
    </row>
    <row r="4624" spans="47:48" x14ac:dyDescent="0.25">
      <c r="AU4624" s="7"/>
      <c r="AV4624" s="7"/>
    </row>
    <row r="4625" spans="47:48" x14ac:dyDescent="0.25">
      <c r="AU4625" s="7"/>
      <c r="AV4625" s="7"/>
    </row>
    <row r="4626" spans="47:48" x14ac:dyDescent="0.25">
      <c r="AU4626" s="7"/>
      <c r="AV4626" s="7"/>
    </row>
    <row r="4627" spans="47:48" x14ac:dyDescent="0.25">
      <c r="AU4627" s="7"/>
      <c r="AV4627" s="7"/>
    </row>
    <row r="4628" spans="47:48" x14ac:dyDescent="0.25">
      <c r="AU4628" s="7"/>
      <c r="AV4628" s="7"/>
    </row>
    <row r="4629" spans="47:48" x14ac:dyDescent="0.25">
      <c r="AU4629" s="7"/>
      <c r="AV4629" s="7"/>
    </row>
    <row r="4630" spans="47:48" x14ac:dyDescent="0.25">
      <c r="AU4630" s="7"/>
      <c r="AV4630" s="7"/>
    </row>
    <row r="4631" spans="47:48" x14ac:dyDescent="0.25">
      <c r="AU4631" s="7"/>
      <c r="AV4631" s="7"/>
    </row>
    <row r="4632" spans="47:48" x14ac:dyDescent="0.25">
      <c r="AU4632" s="7"/>
      <c r="AV4632" s="7"/>
    </row>
    <row r="4633" spans="47:48" x14ac:dyDescent="0.25">
      <c r="AU4633" s="7"/>
      <c r="AV4633" s="7"/>
    </row>
    <row r="4634" spans="47:48" x14ac:dyDescent="0.25">
      <c r="AU4634" s="7"/>
      <c r="AV4634" s="7"/>
    </row>
    <row r="4635" spans="47:48" x14ac:dyDescent="0.25">
      <c r="AU4635" s="7"/>
      <c r="AV4635" s="7"/>
    </row>
    <row r="4636" spans="47:48" x14ac:dyDescent="0.25">
      <c r="AU4636" s="7"/>
      <c r="AV4636" s="7"/>
    </row>
    <row r="4637" spans="47:48" x14ac:dyDescent="0.25">
      <c r="AU4637" s="7"/>
      <c r="AV4637" s="7"/>
    </row>
    <row r="4638" spans="47:48" x14ac:dyDescent="0.25">
      <c r="AU4638" s="7"/>
      <c r="AV4638" s="7"/>
    </row>
    <row r="4639" spans="47:48" x14ac:dyDescent="0.25">
      <c r="AU4639" s="7"/>
      <c r="AV4639" s="7"/>
    </row>
    <row r="4640" spans="47:48" x14ac:dyDescent="0.25">
      <c r="AU4640" s="7"/>
      <c r="AV4640" s="7"/>
    </row>
    <row r="4641" spans="47:48" x14ac:dyDescent="0.25">
      <c r="AU4641" s="7"/>
      <c r="AV4641" s="7"/>
    </row>
    <row r="4642" spans="47:48" x14ac:dyDescent="0.25">
      <c r="AU4642" s="7"/>
      <c r="AV4642" s="7"/>
    </row>
    <row r="4643" spans="47:48" x14ac:dyDescent="0.25">
      <c r="AU4643" s="7"/>
      <c r="AV4643" s="7"/>
    </row>
    <row r="4644" spans="47:48" x14ac:dyDescent="0.25">
      <c r="AU4644" s="7"/>
      <c r="AV4644" s="7"/>
    </row>
    <row r="4645" spans="47:48" x14ac:dyDescent="0.25">
      <c r="AU4645" s="7"/>
      <c r="AV4645" s="7"/>
    </row>
    <row r="4646" spans="47:48" x14ac:dyDescent="0.25">
      <c r="AU4646" s="7"/>
      <c r="AV4646" s="7"/>
    </row>
    <row r="4647" spans="47:48" x14ac:dyDescent="0.25">
      <c r="AU4647" s="7"/>
      <c r="AV4647" s="7"/>
    </row>
    <row r="4648" spans="47:48" x14ac:dyDescent="0.25">
      <c r="AU4648" s="7"/>
      <c r="AV4648" s="7"/>
    </row>
    <row r="4649" spans="47:48" x14ac:dyDescent="0.25">
      <c r="AU4649" s="7"/>
      <c r="AV4649" s="7"/>
    </row>
    <row r="4650" spans="47:48" x14ac:dyDescent="0.25">
      <c r="AU4650" s="7"/>
      <c r="AV4650" s="7"/>
    </row>
    <row r="4651" spans="47:48" x14ac:dyDescent="0.25">
      <c r="AU4651" s="7"/>
      <c r="AV4651" s="7"/>
    </row>
    <row r="4652" spans="47:48" x14ac:dyDescent="0.25">
      <c r="AU4652" s="7"/>
      <c r="AV4652" s="7"/>
    </row>
    <row r="4653" spans="47:48" x14ac:dyDescent="0.25">
      <c r="AU4653" s="7"/>
      <c r="AV4653" s="7"/>
    </row>
    <row r="4654" spans="47:48" x14ac:dyDescent="0.25">
      <c r="AU4654" s="7"/>
      <c r="AV4654" s="7"/>
    </row>
    <row r="4655" spans="47:48" x14ac:dyDescent="0.25">
      <c r="AU4655" s="7"/>
      <c r="AV4655" s="7"/>
    </row>
    <row r="4656" spans="47:48" x14ac:dyDescent="0.25">
      <c r="AU4656" s="7"/>
      <c r="AV4656" s="7"/>
    </row>
    <row r="4657" spans="47:48" x14ac:dyDescent="0.25">
      <c r="AU4657" s="7"/>
      <c r="AV4657" s="7"/>
    </row>
    <row r="4658" spans="47:48" x14ac:dyDescent="0.25">
      <c r="AU4658" s="7"/>
      <c r="AV4658" s="7"/>
    </row>
    <row r="4659" spans="47:48" x14ac:dyDescent="0.25">
      <c r="AU4659" s="7"/>
      <c r="AV4659" s="7"/>
    </row>
    <row r="4660" spans="47:48" x14ac:dyDescent="0.25">
      <c r="AU4660" s="7"/>
      <c r="AV4660" s="7"/>
    </row>
    <row r="4661" spans="47:48" x14ac:dyDescent="0.25">
      <c r="AU4661" s="7"/>
      <c r="AV4661" s="7"/>
    </row>
    <row r="4662" spans="47:48" x14ac:dyDescent="0.25">
      <c r="AU4662" s="7"/>
      <c r="AV4662" s="7"/>
    </row>
    <row r="4663" spans="47:48" x14ac:dyDescent="0.25">
      <c r="AU4663" s="7"/>
      <c r="AV4663" s="7"/>
    </row>
    <row r="4664" spans="47:48" x14ac:dyDescent="0.25">
      <c r="AU4664" s="7"/>
      <c r="AV4664" s="7"/>
    </row>
    <row r="4665" spans="47:48" x14ac:dyDescent="0.25">
      <c r="AU4665" s="7"/>
      <c r="AV4665" s="7"/>
    </row>
    <row r="4666" spans="47:48" x14ac:dyDescent="0.25">
      <c r="AU4666" s="7"/>
      <c r="AV4666" s="7"/>
    </row>
    <row r="4667" spans="47:48" x14ac:dyDescent="0.25">
      <c r="AU4667" s="7"/>
      <c r="AV4667" s="7"/>
    </row>
    <row r="4668" spans="47:48" x14ac:dyDescent="0.25">
      <c r="AU4668" s="7"/>
      <c r="AV4668" s="7"/>
    </row>
    <row r="4669" spans="47:48" x14ac:dyDescent="0.25">
      <c r="AU4669" s="7"/>
      <c r="AV4669" s="7"/>
    </row>
    <row r="4670" spans="47:48" x14ac:dyDescent="0.25">
      <c r="AU4670" s="7"/>
      <c r="AV4670" s="7"/>
    </row>
    <row r="4671" spans="47:48" x14ac:dyDescent="0.25">
      <c r="AU4671" s="7"/>
      <c r="AV4671" s="7"/>
    </row>
    <row r="4672" spans="47:48" x14ac:dyDescent="0.25">
      <c r="AU4672" s="7"/>
      <c r="AV4672" s="7"/>
    </row>
    <row r="4673" spans="47:48" x14ac:dyDescent="0.25">
      <c r="AU4673" s="7"/>
      <c r="AV4673" s="7"/>
    </row>
    <row r="4674" spans="47:48" x14ac:dyDescent="0.25">
      <c r="AU4674" s="7"/>
      <c r="AV4674" s="7"/>
    </row>
    <row r="4675" spans="47:48" x14ac:dyDescent="0.25">
      <c r="AU4675" s="7"/>
      <c r="AV4675" s="7"/>
    </row>
    <row r="4676" spans="47:48" x14ac:dyDescent="0.25">
      <c r="AU4676" s="7"/>
      <c r="AV4676" s="7"/>
    </row>
    <row r="4677" spans="47:48" x14ac:dyDescent="0.25">
      <c r="AU4677" s="7"/>
      <c r="AV4677" s="7"/>
    </row>
    <row r="4678" spans="47:48" x14ac:dyDescent="0.25">
      <c r="AU4678" s="7"/>
      <c r="AV4678" s="7"/>
    </row>
    <row r="4679" spans="47:48" x14ac:dyDescent="0.25">
      <c r="AU4679" s="7"/>
      <c r="AV4679" s="7"/>
    </row>
    <row r="4680" spans="47:48" x14ac:dyDescent="0.25">
      <c r="AU4680" s="7"/>
      <c r="AV4680" s="7"/>
    </row>
    <row r="4681" spans="47:48" x14ac:dyDescent="0.25">
      <c r="AU4681" s="7"/>
      <c r="AV4681" s="7"/>
    </row>
    <row r="4682" spans="47:48" x14ac:dyDescent="0.25">
      <c r="AU4682" s="7"/>
      <c r="AV4682" s="7"/>
    </row>
    <row r="4683" spans="47:48" x14ac:dyDescent="0.25">
      <c r="AU4683" s="7"/>
      <c r="AV4683" s="7"/>
    </row>
    <row r="4684" spans="47:48" x14ac:dyDescent="0.25">
      <c r="AU4684" s="7"/>
      <c r="AV4684" s="7"/>
    </row>
    <row r="4685" spans="47:48" x14ac:dyDescent="0.25">
      <c r="AU4685" s="7"/>
      <c r="AV4685" s="7"/>
    </row>
    <row r="4686" spans="47:48" x14ac:dyDescent="0.25">
      <c r="AU4686" s="7"/>
      <c r="AV4686" s="7"/>
    </row>
    <row r="4687" spans="47:48" x14ac:dyDescent="0.25">
      <c r="AU4687" s="7"/>
      <c r="AV4687" s="7"/>
    </row>
    <row r="4688" spans="47:48" x14ac:dyDescent="0.25">
      <c r="AU4688" s="7"/>
      <c r="AV4688" s="7"/>
    </row>
    <row r="4689" spans="47:48" x14ac:dyDescent="0.25">
      <c r="AU4689" s="7"/>
      <c r="AV4689" s="7"/>
    </row>
    <row r="4690" spans="47:48" x14ac:dyDescent="0.25">
      <c r="AU4690" s="7"/>
      <c r="AV4690" s="7"/>
    </row>
    <row r="4691" spans="47:48" x14ac:dyDescent="0.25">
      <c r="AU4691" s="7"/>
      <c r="AV4691" s="7"/>
    </row>
    <row r="4692" spans="47:48" x14ac:dyDescent="0.25">
      <c r="AU4692" s="7"/>
      <c r="AV4692" s="7"/>
    </row>
    <row r="4693" spans="47:48" x14ac:dyDescent="0.25">
      <c r="AU4693" s="7"/>
      <c r="AV4693" s="7"/>
    </row>
    <row r="4694" spans="47:48" x14ac:dyDescent="0.25">
      <c r="AU4694" s="7"/>
      <c r="AV4694" s="7"/>
    </row>
    <row r="4695" spans="47:48" x14ac:dyDescent="0.25">
      <c r="AU4695" s="7"/>
      <c r="AV4695" s="7"/>
    </row>
    <row r="4696" spans="47:48" x14ac:dyDescent="0.25">
      <c r="AU4696" s="7"/>
      <c r="AV4696" s="7"/>
    </row>
    <row r="4697" spans="47:48" x14ac:dyDescent="0.25">
      <c r="AU4697" s="7"/>
      <c r="AV4697" s="7"/>
    </row>
    <row r="4698" spans="47:48" x14ac:dyDescent="0.25">
      <c r="AU4698" s="7"/>
      <c r="AV4698" s="7"/>
    </row>
    <row r="4699" spans="47:48" x14ac:dyDescent="0.25">
      <c r="AU4699" s="7"/>
      <c r="AV4699" s="7"/>
    </row>
    <row r="4700" spans="47:48" x14ac:dyDescent="0.25">
      <c r="AU4700" s="7"/>
      <c r="AV4700" s="7"/>
    </row>
    <row r="4701" spans="47:48" x14ac:dyDescent="0.25">
      <c r="AU4701" s="7"/>
      <c r="AV4701" s="7"/>
    </row>
    <row r="4702" spans="47:48" x14ac:dyDescent="0.25">
      <c r="AU4702" s="7"/>
      <c r="AV4702" s="7"/>
    </row>
    <row r="4703" spans="47:48" x14ac:dyDescent="0.25">
      <c r="AU4703" s="7"/>
      <c r="AV4703" s="7"/>
    </row>
    <row r="4704" spans="47:48" x14ac:dyDescent="0.25">
      <c r="AU4704" s="7"/>
      <c r="AV4704" s="7"/>
    </row>
    <row r="4705" spans="47:48" x14ac:dyDescent="0.25">
      <c r="AU4705" s="7"/>
      <c r="AV4705" s="7"/>
    </row>
    <row r="4706" spans="47:48" x14ac:dyDescent="0.25">
      <c r="AU4706" s="7"/>
      <c r="AV4706" s="7"/>
    </row>
    <row r="4707" spans="47:48" x14ac:dyDescent="0.25">
      <c r="AU4707" s="7"/>
      <c r="AV4707" s="7"/>
    </row>
    <row r="4708" spans="47:48" x14ac:dyDescent="0.25">
      <c r="AU4708" s="7"/>
      <c r="AV4708" s="7"/>
    </row>
    <row r="4709" spans="47:48" x14ac:dyDescent="0.25">
      <c r="AU4709" s="7"/>
      <c r="AV4709" s="7"/>
    </row>
    <row r="4710" spans="47:48" x14ac:dyDescent="0.25">
      <c r="AU4710" s="7"/>
      <c r="AV4710" s="7"/>
    </row>
    <row r="4711" spans="47:48" x14ac:dyDescent="0.25">
      <c r="AU4711" s="7"/>
      <c r="AV4711" s="7"/>
    </row>
    <row r="4712" spans="47:48" x14ac:dyDescent="0.25">
      <c r="AU4712" s="7"/>
      <c r="AV4712" s="7"/>
    </row>
    <row r="4713" spans="47:48" x14ac:dyDescent="0.25">
      <c r="AU4713" s="7"/>
      <c r="AV4713" s="7"/>
    </row>
    <row r="4714" spans="47:48" x14ac:dyDescent="0.25">
      <c r="AU4714" s="7"/>
      <c r="AV4714" s="7"/>
    </row>
    <row r="4715" spans="47:48" x14ac:dyDescent="0.25">
      <c r="AU4715" s="7"/>
      <c r="AV4715" s="7"/>
    </row>
    <row r="4716" spans="47:48" x14ac:dyDescent="0.25">
      <c r="AU4716" s="7"/>
      <c r="AV4716" s="7"/>
    </row>
    <row r="4717" spans="47:48" x14ac:dyDescent="0.25">
      <c r="AU4717" s="7"/>
      <c r="AV4717" s="7"/>
    </row>
    <row r="4718" spans="47:48" x14ac:dyDescent="0.25">
      <c r="AU4718" s="7"/>
      <c r="AV4718" s="7"/>
    </row>
    <row r="4719" spans="47:48" x14ac:dyDescent="0.25">
      <c r="AU4719" s="7"/>
      <c r="AV4719" s="7"/>
    </row>
    <row r="4720" spans="47:48" x14ac:dyDescent="0.25">
      <c r="AU4720" s="7"/>
      <c r="AV4720" s="7"/>
    </row>
    <row r="4721" spans="47:48" x14ac:dyDescent="0.25">
      <c r="AU4721" s="7"/>
      <c r="AV4721" s="7"/>
    </row>
    <row r="4722" spans="47:48" x14ac:dyDescent="0.25">
      <c r="AU4722" s="7"/>
      <c r="AV4722" s="7"/>
    </row>
    <row r="4723" spans="47:48" x14ac:dyDescent="0.25">
      <c r="AU4723" s="7"/>
      <c r="AV4723" s="7"/>
    </row>
    <row r="4724" spans="47:48" x14ac:dyDescent="0.25">
      <c r="AU4724" s="7"/>
      <c r="AV4724" s="7"/>
    </row>
    <row r="4725" spans="47:48" x14ac:dyDescent="0.25">
      <c r="AU4725" s="7"/>
      <c r="AV4725" s="7"/>
    </row>
    <row r="4726" spans="47:48" x14ac:dyDescent="0.25">
      <c r="AU4726" s="7"/>
      <c r="AV4726" s="7"/>
    </row>
    <row r="4727" spans="47:48" x14ac:dyDescent="0.25">
      <c r="AU4727" s="7"/>
      <c r="AV4727" s="7"/>
    </row>
    <row r="4728" spans="47:48" x14ac:dyDescent="0.25">
      <c r="AU4728" s="7"/>
      <c r="AV4728" s="7"/>
    </row>
    <row r="4729" spans="47:48" x14ac:dyDescent="0.25">
      <c r="AU4729" s="7"/>
      <c r="AV4729" s="7"/>
    </row>
    <row r="4730" spans="47:48" x14ac:dyDescent="0.25">
      <c r="AU4730" s="7"/>
      <c r="AV4730" s="7"/>
    </row>
    <row r="4731" spans="47:48" x14ac:dyDescent="0.25">
      <c r="AU4731" s="7"/>
      <c r="AV4731" s="7"/>
    </row>
    <row r="4732" spans="47:48" x14ac:dyDescent="0.25">
      <c r="AU4732" s="7"/>
      <c r="AV4732" s="7"/>
    </row>
    <row r="4733" spans="47:48" x14ac:dyDescent="0.25">
      <c r="AU4733" s="7"/>
      <c r="AV4733" s="7"/>
    </row>
    <row r="4734" spans="47:48" x14ac:dyDescent="0.25">
      <c r="AU4734" s="7"/>
      <c r="AV4734" s="7"/>
    </row>
    <row r="4735" spans="47:48" x14ac:dyDescent="0.25">
      <c r="AU4735" s="7"/>
      <c r="AV4735" s="7"/>
    </row>
    <row r="4736" spans="47:48" x14ac:dyDescent="0.25">
      <c r="AU4736" s="7"/>
      <c r="AV4736" s="7"/>
    </row>
    <row r="4737" spans="47:48" x14ac:dyDescent="0.25">
      <c r="AU4737" s="7"/>
      <c r="AV4737" s="7"/>
    </row>
    <row r="4738" spans="47:48" x14ac:dyDescent="0.25">
      <c r="AU4738" s="7"/>
      <c r="AV4738" s="7"/>
    </row>
    <row r="4739" spans="47:48" x14ac:dyDescent="0.25">
      <c r="AU4739" s="7"/>
      <c r="AV4739" s="7"/>
    </row>
    <row r="4740" spans="47:48" x14ac:dyDescent="0.25">
      <c r="AU4740" s="7"/>
      <c r="AV4740" s="7"/>
    </row>
    <row r="4741" spans="47:48" x14ac:dyDescent="0.25">
      <c r="AU4741" s="7"/>
      <c r="AV4741" s="7"/>
    </row>
    <row r="4742" spans="47:48" x14ac:dyDescent="0.25">
      <c r="AU4742" s="7"/>
      <c r="AV4742" s="7"/>
    </row>
    <row r="4743" spans="47:48" x14ac:dyDescent="0.25">
      <c r="AU4743" s="7"/>
      <c r="AV4743" s="7"/>
    </row>
    <row r="4744" spans="47:48" x14ac:dyDescent="0.25">
      <c r="AU4744" s="7"/>
      <c r="AV4744" s="7"/>
    </row>
    <row r="4745" spans="47:48" x14ac:dyDescent="0.25">
      <c r="AU4745" s="7"/>
      <c r="AV4745" s="7"/>
    </row>
    <row r="4746" spans="47:48" x14ac:dyDescent="0.25">
      <c r="AU4746" s="7"/>
      <c r="AV4746" s="7"/>
    </row>
    <row r="4747" spans="47:48" x14ac:dyDescent="0.25">
      <c r="AU4747" s="7"/>
      <c r="AV4747" s="7"/>
    </row>
    <row r="4748" spans="47:48" x14ac:dyDescent="0.25">
      <c r="AU4748" s="7"/>
      <c r="AV4748" s="7"/>
    </row>
    <row r="4749" spans="47:48" x14ac:dyDescent="0.25">
      <c r="AU4749" s="7"/>
      <c r="AV4749" s="7"/>
    </row>
    <row r="4750" spans="47:48" x14ac:dyDescent="0.25">
      <c r="AU4750" s="7"/>
      <c r="AV4750" s="7"/>
    </row>
    <row r="4751" spans="47:48" x14ac:dyDescent="0.25">
      <c r="AU4751" s="7"/>
      <c r="AV4751" s="7"/>
    </row>
    <row r="4752" spans="47:48" x14ac:dyDescent="0.25">
      <c r="AU4752" s="7"/>
      <c r="AV4752" s="7"/>
    </row>
    <row r="4753" spans="47:48" x14ac:dyDescent="0.25">
      <c r="AU4753" s="7"/>
      <c r="AV4753" s="7"/>
    </row>
    <row r="4754" spans="47:48" x14ac:dyDescent="0.25">
      <c r="AU4754" s="7"/>
      <c r="AV4754" s="7"/>
    </row>
    <row r="4755" spans="47:48" x14ac:dyDescent="0.25">
      <c r="AU4755" s="7"/>
      <c r="AV4755" s="7"/>
    </row>
    <row r="4756" spans="47:48" x14ac:dyDescent="0.25">
      <c r="AU4756" s="7"/>
      <c r="AV4756" s="7"/>
    </row>
    <row r="4757" spans="47:48" x14ac:dyDescent="0.25">
      <c r="AU4757" s="7"/>
      <c r="AV4757" s="7"/>
    </row>
    <row r="4758" spans="47:48" x14ac:dyDescent="0.25">
      <c r="AU4758" s="7"/>
      <c r="AV4758" s="7"/>
    </row>
    <row r="4759" spans="47:48" x14ac:dyDescent="0.25">
      <c r="AU4759" s="7"/>
      <c r="AV4759" s="7"/>
    </row>
    <row r="4760" spans="47:48" x14ac:dyDescent="0.25">
      <c r="AU4760" s="7"/>
      <c r="AV4760" s="7"/>
    </row>
    <row r="4761" spans="47:48" x14ac:dyDescent="0.25">
      <c r="AU4761" s="7"/>
      <c r="AV4761" s="7"/>
    </row>
    <row r="4762" spans="47:48" x14ac:dyDescent="0.25">
      <c r="AU4762" s="7"/>
      <c r="AV4762" s="7"/>
    </row>
    <row r="4763" spans="47:48" x14ac:dyDescent="0.25">
      <c r="AU4763" s="7"/>
      <c r="AV4763" s="7"/>
    </row>
    <row r="4764" spans="47:48" x14ac:dyDescent="0.25">
      <c r="AU4764" s="7"/>
      <c r="AV4764" s="7"/>
    </row>
    <row r="4765" spans="47:48" x14ac:dyDescent="0.25">
      <c r="AU4765" s="7"/>
      <c r="AV4765" s="7"/>
    </row>
    <row r="4766" spans="47:48" x14ac:dyDescent="0.25">
      <c r="AU4766" s="7"/>
      <c r="AV4766" s="7"/>
    </row>
    <row r="4767" spans="47:48" x14ac:dyDescent="0.25">
      <c r="AU4767" s="7"/>
      <c r="AV4767" s="7"/>
    </row>
    <row r="4768" spans="47:48" x14ac:dyDescent="0.25">
      <c r="AU4768" s="7"/>
      <c r="AV4768" s="7"/>
    </row>
    <row r="4769" spans="47:48" x14ac:dyDescent="0.25">
      <c r="AU4769" s="7"/>
      <c r="AV4769" s="7"/>
    </row>
    <row r="4770" spans="47:48" x14ac:dyDescent="0.25">
      <c r="AU4770" s="7"/>
      <c r="AV4770" s="7"/>
    </row>
    <row r="4771" spans="47:48" x14ac:dyDescent="0.25">
      <c r="AU4771" s="7"/>
      <c r="AV4771" s="7"/>
    </row>
    <row r="4772" spans="47:48" x14ac:dyDescent="0.25">
      <c r="AU4772" s="7"/>
      <c r="AV4772" s="7"/>
    </row>
    <row r="4773" spans="47:48" x14ac:dyDescent="0.25">
      <c r="AU4773" s="7"/>
      <c r="AV4773" s="7"/>
    </row>
    <row r="4774" spans="47:48" x14ac:dyDescent="0.25">
      <c r="AU4774" s="7"/>
      <c r="AV4774" s="7"/>
    </row>
    <row r="4775" spans="47:48" x14ac:dyDescent="0.25">
      <c r="AU4775" s="7"/>
      <c r="AV4775" s="7"/>
    </row>
    <row r="4776" spans="47:48" x14ac:dyDescent="0.25">
      <c r="AU4776" s="7"/>
      <c r="AV4776" s="7"/>
    </row>
    <row r="4777" spans="47:48" x14ac:dyDescent="0.25">
      <c r="AU4777" s="7"/>
      <c r="AV4777" s="7"/>
    </row>
    <row r="4778" spans="47:48" x14ac:dyDescent="0.25">
      <c r="AU4778" s="7"/>
      <c r="AV4778" s="7"/>
    </row>
    <row r="4779" spans="47:48" x14ac:dyDescent="0.25">
      <c r="AU4779" s="7"/>
      <c r="AV4779" s="7"/>
    </row>
    <row r="4780" spans="47:48" x14ac:dyDescent="0.25">
      <c r="AU4780" s="7"/>
      <c r="AV4780" s="7"/>
    </row>
    <row r="4781" spans="47:48" x14ac:dyDescent="0.25">
      <c r="AU4781" s="7"/>
      <c r="AV4781" s="7"/>
    </row>
    <row r="4782" spans="47:48" x14ac:dyDescent="0.25">
      <c r="AU4782" s="7"/>
      <c r="AV4782" s="7"/>
    </row>
    <row r="4783" spans="47:48" x14ac:dyDescent="0.25">
      <c r="AU4783" s="7"/>
      <c r="AV4783" s="7"/>
    </row>
    <row r="4784" spans="47:48" x14ac:dyDescent="0.25">
      <c r="AU4784" s="7"/>
      <c r="AV4784" s="7"/>
    </row>
    <row r="4785" spans="47:48" x14ac:dyDescent="0.25">
      <c r="AU4785" s="7"/>
      <c r="AV4785" s="7"/>
    </row>
    <row r="4786" spans="47:48" x14ac:dyDescent="0.25">
      <c r="AU4786" s="7"/>
      <c r="AV4786" s="7"/>
    </row>
    <row r="4787" spans="47:48" x14ac:dyDescent="0.25">
      <c r="AU4787" s="7"/>
      <c r="AV4787" s="7"/>
    </row>
    <row r="4788" spans="47:48" x14ac:dyDescent="0.25">
      <c r="AU4788" s="7"/>
      <c r="AV4788" s="7"/>
    </row>
    <row r="4789" spans="47:48" x14ac:dyDescent="0.25">
      <c r="AU4789" s="7"/>
      <c r="AV4789" s="7"/>
    </row>
    <row r="4790" spans="47:48" x14ac:dyDescent="0.25">
      <c r="AU4790" s="7"/>
      <c r="AV4790" s="7"/>
    </row>
    <row r="4791" spans="47:48" x14ac:dyDescent="0.25">
      <c r="AU4791" s="7"/>
      <c r="AV4791" s="7"/>
    </row>
    <row r="4792" spans="47:48" x14ac:dyDescent="0.25">
      <c r="AU4792" s="7"/>
      <c r="AV4792" s="7"/>
    </row>
    <row r="4793" spans="47:48" x14ac:dyDescent="0.25">
      <c r="AU4793" s="7"/>
      <c r="AV4793" s="7"/>
    </row>
    <row r="4794" spans="47:48" x14ac:dyDescent="0.25">
      <c r="AU4794" s="7"/>
      <c r="AV4794" s="7"/>
    </row>
    <row r="4795" spans="47:48" x14ac:dyDescent="0.25">
      <c r="AU4795" s="7"/>
      <c r="AV4795" s="7"/>
    </row>
    <row r="4796" spans="47:48" x14ac:dyDescent="0.25">
      <c r="AU4796" s="7"/>
      <c r="AV4796" s="7"/>
    </row>
    <row r="4797" spans="47:48" x14ac:dyDescent="0.25">
      <c r="AU4797" s="7"/>
      <c r="AV4797" s="7"/>
    </row>
    <row r="4798" spans="47:48" x14ac:dyDescent="0.25">
      <c r="AU4798" s="7"/>
      <c r="AV4798" s="7"/>
    </row>
    <row r="4799" spans="47:48" x14ac:dyDescent="0.25">
      <c r="AU4799" s="7"/>
      <c r="AV4799" s="7"/>
    </row>
    <row r="4800" spans="47:48" x14ac:dyDescent="0.25">
      <c r="AU4800" s="7"/>
      <c r="AV4800" s="7"/>
    </row>
    <row r="4801" spans="47:48" x14ac:dyDescent="0.25">
      <c r="AU4801" s="7"/>
      <c r="AV4801" s="7"/>
    </row>
    <row r="4802" spans="47:48" x14ac:dyDescent="0.25">
      <c r="AU4802" s="7"/>
      <c r="AV4802" s="7"/>
    </row>
    <row r="4803" spans="47:48" x14ac:dyDescent="0.25">
      <c r="AU4803" s="7"/>
      <c r="AV4803" s="7"/>
    </row>
    <row r="4804" spans="47:48" x14ac:dyDescent="0.25">
      <c r="AU4804" s="7"/>
      <c r="AV4804" s="7"/>
    </row>
    <row r="4805" spans="47:48" x14ac:dyDescent="0.25">
      <c r="AU4805" s="7"/>
      <c r="AV4805" s="7"/>
    </row>
    <row r="4806" spans="47:48" x14ac:dyDescent="0.25">
      <c r="AU4806" s="7"/>
      <c r="AV4806" s="7"/>
    </row>
    <row r="4807" spans="47:48" x14ac:dyDescent="0.25">
      <c r="AU4807" s="7"/>
      <c r="AV4807" s="7"/>
    </row>
    <row r="4808" spans="47:48" x14ac:dyDescent="0.25">
      <c r="AU4808" s="7"/>
      <c r="AV4808" s="7"/>
    </row>
    <row r="4809" spans="47:48" x14ac:dyDescent="0.25">
      <c r="AU4809" s="7"/>
      <c r="AV4809" s="7"/>
    </row>
    <row r="4810" spans="47:48" x14ac:dyDescent="0.25">
      <c r="AU4810" s="7"/>
      <c r="AV4810" s="7"/>
    </row>
    <row r="4811" spans="47:48" x14ac:dyDescent="0.25">
      <c r="AU4811" s="7"/>
      <c r="AV4811" s="7"/>
    </row>
    <row r="4812" spans="47:48" x14ac:dyDescent="0.25">
      <c r="AU4812" s="7"/>
      <c r="AV4812" s="7"/>
    </row>
    <row r="4813" spans="47:48" x14ac:dyDescent="0.25">
      <c r="AU4813" s="7"/>
      <c r="AV4813" s="7"/>
    </row>
    <row r="4814" spans="47:48" x14ac:dyDescent="0.25">
      <c r="AU4814" s="7"/>
      <c r="AV4814" s="7"/>
    </row>
    <row r="4815" spans="47:48" x14ac:dyDescent="0.25">
      <c r="AU4815" s="7"/>
      <c r="AV4815" s="7"/>
    </row>
    <row r="4816" spans="47:48" x14ac:dyDescent="0.25">
      <c r="AU4816" s="7"/>
      <c r="AV4816" s="7"/>
    </row>
    <row r="4817" spans="47:48" x14ac:dyDescent="0.25">
      <c r="AU4817" s="7"/>
      <c r="AV4817" s="7"/>
    </row>
    <row r="4818" spans="47:48" x14ac:dyDescent="0.25">
      <c r="AU4818" s="7"/>
      <c r="AV4818" s="7"/>
    </row>
    <row r="4819" spans="47:48" x14ac:dyDescent="0.25">
      <c r="AU4819" s="7"/>
      <c r="AV4819" s="7"/>
    </row>
    <row r="4820" spans="47:48" x14ac:dyDescent="0.25">
      <c r="AU4820" s="7"/>
      <c r="AV4820" s="7"/>
    </row>
    <row r="4821" spans="47:48" x14ac:dyDescent="0.25">
      <c r="AU4821" s="7"/>
      <c r="AV4821" s="7"/>
    </row>
    <row r="4822" spans="47:48" x14ac:dyDescent="0.25">
      <c r="AU4822" s="7"/>
      <c r="AV4822" s="7"/>
    </row>
    <row r="4823" spans="47:48" x14ac:dyDescent="0.25">
      <c r="AU4823" s="7"/>
      <c r="AV4823" s="7"/>
    </row>
    <row r="4824" spans="47:48" x14ac:dyDescent="0.25">
      <c r="AU4824" s="7"/>
      <c r="AV4824" s="7"/>
    </row>
    <row r="4825" spans="47:48" x14ac:dyDescent="0.25">
      <c r="AU4825" s="7"/>
      <c r="AV4825" s="7"/>
    </row>
    <row r="4826" spans="47:48" x14ac:dyDescent="0.25">
      <c r="AU4826" s="7"/>
      <c r="AV4826" s="7"/>
    </row>
    <row r="4827" spans="47:48" x14ac:dyDescent="0.25">
      <c r="AU4827" s="7"/>
      <c r="AV4827" s="7"/>
    </row>
    <row r="4828" spans="47:48" x14ac:dyDescent="0.25">
      <c r="AU4828" s="7"/>
      <c r="AV4828" s="7"/>
    </row>
    <row r="4829" spans="47:48" x14ac:dyDescent="0.25">
      <c r="AU4829" s="7"/>
      <c r="AV4829" s="7"/>
    </row>
    <row r="4830" spans="47:48" x14ac:dyDescent="0.25">
      <c r="AU4830" s="7"/>
      <c r="AV4830" s="7"/>
    </row>
    <row r="4831" spans="47:48" x14ac:dyDescent="0.25">
      <c r="AU4831" s="7"/>
      <c r="AV4831" s="7"/>
    </row>
    <row r="4832" spans="47:48" x14ac:dyDescent="0.25">
      <c r="AU4832" s="7"/>
      <c r="AV4832" s="7"/>
    </row>
    <row r="4833" spans="47:48" x14ac:dyDescent="0.25">
      <c r="AU4833" s="7"/>
      <c r="AV4833" s="7"/>
    </row>
    <row r="4834" spans="47:48" x14ac:dyDescent="0.25">
      <c r="AU4834" s="7"/>
      <c r="AV4834" s="7"/>
    </row>
    <row r="4835" spans="47:48" x14ac:dyDescent="0.25">
      <c r="AU4835" s="7"/>
      <c r="AV4835" s="7"/>
    </row>
    <row r="4836" spans="47:48" x14ac:dyDescent="0.25">
      <c r="AU4836" s="7"/>
      <c r="AV4836" s="7"/>
    </row>
    <row r="4837" spans="47:48" x14ac:dyDescent="0.25">
      <c r="AU4837" s="7"/>
      <c r="AV4837" s="7"/>
    </row>
    <row r="4838" spans="47:48" x14ac:dyDescent="0.25">
      <c r="AU4838" s="7"/>
      <c r="AV4838" s="7"/>
    </row>
    <row r="4839" spans="47:48" x14ac:dyDescent="0.25">
      <c r="AU4839" s="7"/>
      <c r="AV4839" s="7"/>
    </row>
    <row r="4840" spans="47:48" x14ac:dyDescent="0.25">
      <c r="AU4840" s="7"/>
      <c r="AV4840" s="7"/>
    </row>
    <row r="4841" spans="47:48" x14ac:dyDescent="0.25">
      <c r="AU4841" s="7"/>
      <c r="AV4841" s="7"/>
    </row>
    <row r="4842" spans="47:48" x14ac:dyDescent="0.25">
      <c r="AU4842" s="7"/>
      <c r="AV4842" s="7"/>
    </row>
    <row r="4843" spans="47:48" x14ac:dyDescent="0.25">
      <c r="AU4843" s="7"/>
      <c r="AV4843" s="7"/>
    </row>
    <row r="4844" spans="47:48" x14ac:dyDescent="0.25">
      <c r="AU4844" s="7"/>
      <c r="AV4844" s="7"/>
    </row>
    <row r="4845" spans="47:48" x14ac:dyDescent="0.25">
      <c r="AU4845" s="7"/>
      <c r="AV4845" s="7"/>
    </row>
    <row r="4846" spans="47:48" x14ac:dyDescent="0.25">
      <c r="AU4846" s="7"/>
      <c r="AV4846" s="7"/>
    </row>
    <row r="4847" spans="47:48" x14ac:dyDescent="0.25">
      <c r="AU4847" s="7"/>
      <c r="AV4847" s="7"/>
    </row>
    <row r="4848" spans="47:48" x14ac:dyDescent="0.25">
      <c r="AU4848" s="7"/>
      <c r="AV4848" s="7"/>
    </row>
    <row r="4849" spans="47:48" x14ac:dyDescent="0.25">
      <c r="AU4849" s="7"/>
      <c r="AV4849" s="7"/>
    </row>
    <row r="4850" spans="47:48" x14ac:dyDescent="0.25">
      <c r="AU4850" s="7"/>
      <c r="AV4850" s="7"/>
    </row>
    <row r="4851" spans="47:48" x14ac:dyDescent="0.25">
      <c r="AU4851" s="7"/>
      <c r="AV4851" s="7"/>
    </row>
    <row r="4852" spans="47:48" x14ac:dyDescent="0.25">
      <c r="AU4852" s="7"/>
      <c r="AV4852" s="7"/>
    </row>
    <row r="4853" spans="47:48" x14ac:dyDescent="0.25">
      <c r="AU4853" s="7"/>
      <c r="AV4853" s="7"/>
    </row>
    <row r="4854" spans="47:48" x14ac:dyDescent="0.25">
      <c r="AU4854" s="7"/>
      <c r="AV4854" s="7"/>
    </row>
    <row r="4855" spans="47:48" x14ac:dyDescent="0.25">
      <c r="AU4855" s="7"/>
      <c r="AV4855" s="7"/>
    </row>
    <row r="4856" spans="47:48" x14ac:dyDescent="0.25">
      <c r="AU4856" s="7"/>
      <c r="AV4856" s="7"/>
    </row>
    <row r="4857" spans="47:48" x14ac:dyDescent="0.25">
      <c r="AU4857" s="7"/>
      <c r="AV4857" s="7"/>
    </row>
    <row r="4858" spans="47:48" x14ac:dyDescent="0.25">
      <c r="AU4858" s="7"/>
      <c r="AV4858" s="7"/>
    </row>
    <row r="4859" spans="47:48" x14ac:dyDescent="0.25">
      <c r="AU4859" s="7"/>
      <c r="AV4859" s="7"/>
    </row>
    <row r="4860" spans="47:48" x14ac:dyDescent="0.25">
      <c r="AU4860" s="7"/>
      <c r="AV4860" s="7"/>
    </row>
    <row r="4861" spans="47:48" x14ac:dyDescent="0.25">
      <c r="AU4861" s="7"/>
      <c r="AV4861" s="7"/>
    </row>
    <row r="4862" spans="47:48" x14ac:dyDescent="0.25">
      <c r="AU4862" s="7"/>
      <c r="AV4862" s="7"/>
    </row>
    <row r="4863" spans="47:48" x14ac:dyDescent="0.25">
      <c r="AU4863" s="7"/>
      <c r="AV4863" s="7"/>
    </row>
    <row r="4864" spans="47:48" x14ac:dyDescent="0.25">
      <c r="AU4864" s="7"/>
      <c r="AV4864" s="7"/>
    </row>
    <row r="4865" spans="47:48" x14ac:dyDescent="0.25">
      <c r="AU4865" s="7"/>
      <c r="AV4865" s="7"/>
    </row>
    <row r="4866" spans="47:48" x14ac:dyDescent="0.25">
      <c r="AU4866" s="7"/>
      <c r="AV4866" s="7"/>
    </row>
    <row r="4867" spans="47:48" x14ac:dyDescent="0.25">
      <c r="AU4867" s="7"/>
      <c r="AV4867" s="7"/>
    </row>
    <row r="4868" spans="47:48" x14ac:dyDescent="0.25">
      <c r="AU4868" s="7"/>
      <c r="AV4868" s="7"/>
    </row>
    <row r="4869" spans="47:48" x14ac:dyDescent="0.25">
      <c r="AU4869" s="7"/>
      <c r="AV4869" s="7"/>
    </row>
    <row r="4870" spans="47:48" x14ac:dyDescent="0.25">
      <c r="AU4870" s="7"/>
      <c r="AV4870" s="7"/>
    </row>
    <row r="4871" spans="47:48" x14ac:dyDescent="0.25">
      <c r="AU4871" s="7"/>
      <c r="AV4871" s="7"/>
    </row>
    <row r="4872" spans="47:48" x14ac:dyDescent="0.25">
      <c r="AU4872" s="7"/>
      <c r="AV4872" s="7"/>
    </row>
    <row r="4873" spans="47:48" x14ac:dyDescent="0.25">
      <c r="AU4873" s="7"/>
      <c r="AV4873" s="7"/>
    </row>
    <row r="4874" spans="47:48" x14ac:dyDescent="0.25">
      <c r="AU4874" s="7"/>
      <c r="AV4874" s="7"/>
    </row>
    <row r="4875" spans="47:48" x14ac:dyDescent="0.25">
      <c r="AU4875" s="7"/>
      <c r="AV4875" s="7"/>
    </row>
    <row r="4876" spans="47:48" x14ac:dyDescent="0.25">
      <c r="AU4876" s="7"/>
      <c r="AV4876" s="7"/>
    </row>
    <row r="4877" spans="47:48" x14ac:dyDescent="0.25">
      <c r="AU4877" s="7"/>
      <c r="AV4877" s="7"/>
    </row>
    <row r="4878" spans="47:48" x14ac:dyDescent="0.25">
      <c r="AU4878" s="7"/>
      <c r="AV4878" s="7"/>
    </row>
    <row r="4879" spans="47:48" x14ac:dyDescent="0.25">
      <c r="AU4879" s="7"/>
      <c r="AV4879" s="7"/>
    </row>
    <row r="4880" spans="47:48" x14ac:dyDescent="0.25">
      <c r="AU4880" s="7"/>
      <c r="AV4880" s="7"/>
    </row>
    <row r="4881" spans="47:48" x14ac:dyDescent="0.25">
      <c r="AU4881" s="7"/>
      <c r="AV4881" s="7"/>
    </row>
    <row r="4882" spans="47:48" x14ac:dyDescent="0.25">
      <c r="AU4882" s="7"/>
      <c r="AV4882" s="7"/>
    </row>
    <row r="4883" spans="47:48" x14ac:dyDescent="0.25">
      <c r="AU4883" s="7"/>
      <c r="AV4883" s="7"/>
    </row>
    <row r="4884" spans="47:48" x14ac:dyDescent="0.25">
      <c r="AU4884" s="7"/>
      <c r="AV4884" s="7"/>
    </row>
    <row r="4885" spans="47:48" x14ac:dyDescent="0.25">
      <c r="AU4885" s="7"/>
      <c r="AV4885" s="7"/>
    </row>
    <row r="4886" spans="47:48" x14ac:dyDescent="0.25">
      <c r="AU4886" s="7"/>
      <c r="AV4886" s="7"/>
    </row>
    <row r="4887" spans="47:48" x14ac:dyDescent="0.25">
      <c r="AU4887" s="7"/>
      <c r="AV4887" s="7"/>
    </row>
    <row r="4888" spans="47:48" x14ac:dyDescent="0.25">
      <c r="AU4888" s="7"/>
      <c r="AV4888" s="7"/>
    </row>
    <row r="4889" spans="47:48" x14ac:dyDescent="0.25">
      <c r="AU4889" s="7"/>
      <c r="AV4889" s="7"/>
    </row>
    <row r="4890" spans="47:48" x14ac:dyDescent="0.25">
      <c r="AU4890" s="7"/>
      <c r="AV4890" s="7"/>
    </row>
    <row r="4891" spans="47:48" x14ac:dyDescent="0.25">
      <c r="AU4891" s="7"/>
      <c r="AV4891" s="7"/>
    </row>
    <row r="4892" spans="47:48" x14ac:dyDescent="0.25">
      <c r="AU4892" s="7"/>
      <c r="AV4892" s="7"/>
    </row>
    <row r="4893" spans="47:48" x14ac:dyDescent="0.25">
      <c r="AU4893" s="7"/>
      <c r="AV4893" s="7"/>
    </row>
    <row r="4894" spans="47:48" x14ac:dyDescent="0.25">
      <c r="AU4894" s="7"/>
      <c r="AV4894" s="7"/>
    </row>
    <row r="4895" spans="47:48" x14ac:dyDescent="0.25">
      <c r="AU4895" s="7"/>
      <c r="AV4895" s="7"/>
    </row>
    <row r="4896" spans="47:48" x14ac:dyDescent="0.25">
      <c r="AU4896" s="7"/>
      <c r="AV4896" s="7"/>
    </row>
    <row r="4897" spans="47:48" x14ac:dyDescent="0.25">
      <c r="AU4897" s="7"/>
      <c r="AV4897" s="7"/>
    </row>
    <row r="4898" spans="47:48" x14ac:dyDescent="0.25">
      <c r="AU4898" s="7"/>
      <c r="AV4898" s="7"/>
    </row>
    <row r="4899" spans="47:48" x14ac:dyDescent="0.25">
      <c r="AU4899" s="7"/>
      <c r="AV4899" s="7"/>
    </row>
    <row r="4900" spans="47:48" x14ac:dyDescent="0.25">
      <c r="AU4900" s="7"/>
      <c r="AV4900" s="7"/>
    </row>
    <row r="4901" spans="47:48" x14ac:dyDescent="0.25">
      <c r="AU4901" s="7"/>
      <c r="AV4901" s="7"/>
    </row>
    <row r="4902" spans="47:48" x14ac:dyDescent="0.25">
      <c r="AU4902" s="7"/>
      <c r="AV4902" s="7"/>
    </row>
    <row r="4903" spans="47:48" x14ac:dyDescent="0.25">
      <c r="AU4903" s="7"/>
      <c r="AV4903" s="7"/>
    </row>
    <row r="4904" spans="47:48" x14ac:dyDescent="0.25">
      <c r="AU4904" s="7"/>
      <c r="AV4904" s="7"/>
    </row>
    <row r="4905" spans="47:48" x14ac:dyDescent="0.25">
      <c r="AU4905" s="7"/>
      <c r="AV4905" s="7"/>
    </row>
    <row r="4906" spans="47:48" x14ac:dyDescent="0.25">
      <c r="AU4906" s="7"/>
      <c r="AV4906" s="7"/>
    </row>
    <row r="4907" spans="47:48" x14ac:dyDescent="0.25">
      <c r="AU4907" s="7"/>
      <c r="AV4907" s="7"/>
    </row>
    <row r="4908" spans="47:48" x14ac:dyDescent="0.25">
      <c r="AU4908" s="7"/>
      <c r="AV4908" s="7"/>
    </row>
    <row r="4909" spans="47:48" x14ac:dyDescent="0.25">
      <c r="AU4909" s="7"/>
      <c r="AV4909" s="7"/>
    </row>
    <row r="4910" spans="47:48" x14ac:dyDescent="0.25">
      <c r="AU4910" s="7"/>
      <c r="AV4910" s="7"/>
    </row>
    <row r="4911" spans="47:48" x14ac:dyDescent="0.25">
      <c r="AU4911" s="7"/>
      <c r="AV4911" s="7"/>
    </row>
    <row r="4912" spans="47:48" x14ac:dyDescent="0.25">
      <c r="AU4912" s="7"/>
      <c r="AV4912" s="7"/>
    </row>
    <row r="4913" spans="47:48" x14ac:dyDescent="0.25">
      <c r="AU4913" s="7"/>
      <c r="AV4913" s="7"/>
    </row>
    <row r="4914" spans="47:48" x14ac:dyDescent="0.25">
      <c r="AU4914" s="7"/>
      <c r="AV4914" s="7"/>
    </row>
    <row r="4915" spans="47:48" x14ac:dyDescent="0.25">
      <c r="AU4915" s="7"/>
      <c r="AV4915" s="7"/>
    </row>
    <row r="4916" spans="47:48" x14ac:dyDescent="0.25">
      <c r="AU4916" s="7"/>
      <c r="AV4916" s="7"/>
    </row>
    <row r="4917" spans="47:48" x14ac:dyDescent="0.25">
      <c r="AU4917" s="7"/>
      <c r="AV4917" s="7"/>
    </row>
    <row r="4918" spans="47:48" x14ac:dyDescent="0.25">
      <c r="AU4918" s="7"/>
      <c r="AV4918" s="7"/>
    </row>
    <row r="4919" spans="47:48" x14ac:dyDescent="0.25">
      <c r="AU4919" s="7"/>
      <c r="AV4919" s="7"/>
    </row>
    <row r="4920" spans="47:48" x14ac:dyDescent="0.25">
      <c r="AU4920" s="7"/>
      <c r="AV4920" s="7"/>
    </row>
    <row r="4921" spans="47:48" x14ac:dyDescent="0.25">
      <c r="AU4921" s="7"/>
      <c r="AV4921" s="7"/>
    </row>
    <row r="4922" spans="47:48" x14ac:dyDescent="0.25">
      <c r="AU4922" s="7"/>
      <c r="AV4922" s="7"/>
    </row>
    <row r="4923" spans="47:48" x14ac:dyDescent="0.25">
      <c r="AU4923" s="7"/>
      <c r="AV4923" s="7"/>
    </row>
    <row r="4924" spans="47:48" x14ac:dyDescent="0.25">
      <c r="AU4924" s="7"/>
      <c r="AV4924" s="7"/>
    </row>
    <row r="4925" spans="47:48" x14ac:dyDescent="0.25">
      <c r="AU4925" s="7"/>
      <c r="AV4925" s="7"/>
    </row>
    <row r="4926" spans="47:48" x14ac:dyDescent="0.25">
      <c r="AU4926" s="7"/>
      <c r="AV4926" s="7"/>
    </row>
    <row r="4927" spans="47:48" x14ac:dyDescent="0.25">
      <c r="AU4927" s="7"/>
      <c r="AV4927" s="7"/>
    </row>
    <row r="4928" spans="47:48" x14ac:dyDescent="0.25">
      <c r="AU4928" s="7"/>
      <c r="AV4928" s="7"/>
    </row>
    <row r="4929" spans="47:48" x14ac:dyDescent="0.25">
      <c r="AU4929" s="7"/>
      <c r="AV4929" s="7"/>
    </row>
    <row r="4930" spans="47:48" x14ac:dyDescent="0.25">
      <c r="AU4930" s="7"/>
      <c r="AV4930" s="7"/>
    </row>
    <row r="4931" spans="47:48" x14ac:dyDescent="0.25">
      <c r="AU4931" s="7"/>
      <c r="AV4931" s="7"/>
    </row>
    <row r="4932" spans="47:48" x14ac:dyDescent="0.25">
      <c r="AU4932" s="7"/>
      <c r="AV4932" s="7"/>
    </row>
    <row r="4933" spans="47:48" x14ac:dyDescent="0.25">
      <c r="AU4933" s="7"/>
      <c r="AV4933" s="7"/>
    </row>
    <row r="4934" spans="47:48" x14ac:dyDescent="0.25">
      <c r="AU4934" s="7"/>
      <c r="AV4934" s="7"/>
    </row>
    <row r="4935" spans="47:48" x14ac:dyDescent="0.25">
      <c r="AU4935" s="7"/>
      <c r="AV4935" s="7"/>
    </row>
    <row r="4936" spans="47:48" x14ac:dyDescent="0.25">
      <c r="AU4936" s="7"/>
      <c r="AV4936" s="7"/>
    </row>
    <row r="4937" spans="47:48" x14ac:dyDescent="0.25">
      <c r="AU4937" s="7"/>
      <c r="AV4937" s="7"/>
    </row>
    <row r="4938" spans="47:48" x14ac:dyDescent="0.25">
      <c r="AU4938" s="7"/>
      <c r="AV4938" s="7"/>
    </row>
    <row r="4939" spans="47:48" x14ac:dyDescent="0.25">
      <c r="AU4939" s="7"/>
      <c r="AV4939" s="7"/>
    </row>
    <row r="4940" spans="47:48" x14ac:dyDescent="0.25">
      <c r="AU4940" s="7"/>
      <c r="AV4940" s="7"/>
    </row>
    <row r="4941" spans="47:48" x14ac:dyDescent="0.25">
      <c r="AU4941" s="7"/>
      <c r="AV4941" s="7"/>
    </row>
    <row r="4942" spans="47:48" x14ac:dyDescent="0.25">
      <c r="AU4942" s="7"/>
      <c r="AV4942" s="7"/>
    </row>
    <row r="4943" spans="47:48" x14ac:dyDescent="0.25">
      <c r="AU4943" s="7"/>
      <c r="AV4943" s="7"/>
    </row>
    <row r="4944" spans="47:48" x14ac:dyDescent="0.25">
      <c r="AU4944" s="7"/>
      <c r="AV4944" s="7"/>
    </row>
    <row r="4945" spans="47:48" x14ac:dyDescent="0.25">
      <c r="AU4945" s="7"/>
      <c r="AV4945" s="7"/>
    </row>
    <row r="4946" spans="47:48" x14ac:dyDescent="0.25">
      <c r="AU4946" s="7"/>
      <c r="AV4946" s="7"/>
    </row>
    <row r="4947" spans="47:48" x14ac:dyDescent="0.25">
      <c r="AU4947" s="7"/>
      <c r="AV4947" s="7"/>
    </row>
    <row r="4948" spans="47:48" x14ac:dyDescent="0.25">
      <c r="AU4948" s="7"/>
      <c r="AV4948" s="7"/>
    </row>
    <row r="4949" spans="47:48" x14ac:dyDescent="0.25">
      <c r="AU4949" s="7"/>
      <c r="AV4949" s="7"/>
    </row>
    <row r="4950" spans="47:48" x14ac:dyDescent="0.25">
      <c r="AU4950" s="7"/>
      <c r="AV4950" s="7"/>
    </row>
    <row r="4951" spans="47:48" x14ac:dyDescent="0.25">
      <c r="AU4951" s="7"/>
      <c r="AV4951" s="7"/>
    </row>
    <row r="4952" spans="47:48" x14ac:dyDescent="0.25">
      <c r="AU4952" s="7"/>
      <c r="AV4952" s="7"/>
    </row>
    <row r="4953" spans="47:48" x14ac:dyDescent="0.25">
      <c r="AU4953" s="7"/>
      <c r="AV4953" s="7"/>
    </row>
    <row r="4954" spans="47:48" x14ac:dyDescent="0.25">
      <c r="AU4954" s="7"/>
      <c r="AV4954" s="7"/>
    </row>
    <row r="4955" spans="47:48" x14ac:dyDescent="0.25">
      <c r="AU4955" s="7"/>
      <c r="AV4955" s="7"/>
    </row>
    <row r="4956" spans="47:48" x14ac:dyDescent="0.25">
      <c r="AU4956" s="7"/>
      <c r="AV4956" s="7"/>
    </row>
    <row r="4957" spans="47:48" x14ac:dyDescent="0.25">
      <c r="AU4957" s="7"/>
      <c r="AV4957" s="7"/>
    </row>
    <row r="4958" spans="47:48" x14ac:dyDescent="0.25">
      <c r="AU4958" s="7"/>
      <c r="AV4958" s="7"/>
    </row>
    <row r="4959" spans="47:48" x14ac:dyDescent="0.25">
      <c r="AU4959" s="7"/>
      <c r="AV4959" s="7"/>
    </row>
    <row r="4960" spans="47:48" x14ac:dyDescent="0.25">
      <c r="AU4960" s="7"/>
      <c r="AV4960" s="7"/>
    </row>
    <row r="4961" spans="47:48" x14ac:dyDescent="0.25">
      <c r="AU4961" s="7"/>
      <c r="AV4961" s="7"/>
    </row>
    <row r="4962" spans="47:48" x14ac:dyDescent="0.25">
      <c r="AU4962" s="7"/>
      <c r="AV4962" s="7"/>
    </row>
    <row r="4963" spans="47:48" x14ac:dyDescent="0.25">
      <c r="AU4963" s="7"/>
      <c r="AV4963" s="7"/>
    </row>
    <row r="4964" spans="47:48" x14ac:dyDescent="0.25">
      <c r="AU4964" s="7"/>
      <c r="AV4964" s="7"/>
    </row>
    <row r="4965" spans="47:48" x14ac:dyDescent="0.25">
      <c r="AU4965" s="7"/>
      <c r="AV4965" s="7"/>
    </row>
    <row r="4966" spans="47:48" x14ac:dyDescent="0.25">
      <c r="AU4966" s="7"/>
      <c r="AV4966" s="7"/>
    </row>
    <row r="4967" spans="47:48" x14ac:dyDescent="0.25">
      <c r="AU4967" s="7"/>
      <c r="AV4967" s="7"/>
    </row>
    <row r="4968" spans="47:48" x14ac:dyDescent="0.25">
      <c r="AU4968" s="7"/>
      <c r="AV4968" s="7"/>
    </row>
    <row r="4969" spans="47:48" x14ac:dyDescent="0.25">
      <c r="AU4969" s="7"/>
      <c r="AV4969" s="7"/>
    </row>
    <row r="4970" spans="47:48" x14ac:dyDescent="0.25">
      <c r="AU4970" s="7"/>
      <c r="AV4970" s="7"/>
    </row>
    <row r="4971" spans="47:48" x14ac:dyDescent="0.25">
      <c r="AU4971" s="7"/>
      <c r="AV4971" s="7"/>
    </row>
    <row r="4972" spans="47:48" x14ac:dyDescent="0.25">
      <c r="AU4972" s="7"/>
      <c r="AV4972" s="7"/>
    </row>
    <row r="4973" spans="47:48" x14ac:dyDescent="0.25">
      <c r="AU4973" s="7"/>
      <c r="AV4973" s="7"/>
    </row>
    <row r="4974" spans="47:48" x14ac:dyDescent="0.25">
      <c r="AU4974" s="7"/>
      <c r="AV4974" s="7"/>
    </row>
    <row r="4975" spans="47:48" x14ac:dyDescent="0.25">
      <c r="AU4975" s="7"/>
      <c r="AV4975" s="7"/>
    </row>
    <row r="4976" spans="47:48" x14ac:dyDescent="0.25">
      <c r="AU4976" s="7"/>
      <c r="AV4976" s="7"/>
    </row>
    <row r="4977" spans="47:48" x14ac:dyDescent="0.25">
      <c r="AU4977" s="7"/>
      <c r="AV4977" s="7"/>
    </row>
    <row r="4978" spans="47:48" x14ac:dyDescent="0.25">
      <c r="AU4978" s="7"/>
      <c r="AV4978" s="7"/>
    </row>
    <row r="4979" spans="47:48" x14ac:dyDescent="0.25">
      <c r="AU4979" s="7"/>
      <c r="AV4979" s="7"/>
    </row>
    <row r="4980" spans="47:48" x14ac:dyDescent="0.25">
      <c r="AU4980" s="7"/>
      <c r="AV4980" s="7"/>
    </row>
    <row r="4981" spans="47:48" x14ac:dyDescent="0.25">
      <c r="AU4981" s="7"/>
      <c r="AV4981" s="7"/>
    </row>
    <row r="4982" spans="47:48" x14ac:dyDescent="0.25">
      <c r="AU4982" s="7"/>
      <c r="AV4982" s="7"/>
    </row>
    <row r="4983" spans="47:48" x14ac:dyDescent="0.25">
      <c r="AU4983" s="7"/>
      <c r="AV4983" s="7"/>
    </row>
    <row r="4984" spans="47:48" x14ac:dyDescent="0.25">
      <c r="AU4984" s="7"/>
      <c r="AV4984" s="7"/>
    </row>
    <row r="4985" spans="47:48" x14ac:dyDescent="0.25">
      <c r="AU4985" s="7"/>
      <c r="AV4985" s="7"/>
    </row>
    <row r="4986" spans="47:48" x14ac:dyDescent="0.25">
      <c r="AU4986" s="7"/>
      <c r="AV4986" s="7"/>
    </row>
    <row r="4987" spans="47:48" x14ac:dyDescent="0.25">
      <c r="AU4987" s="7"/>
      <c r="AV4987" s="7"/>
    </row>
    <row r="4988" spans="47:48" x14ac:dyDescent="0.25">
      <c r="AU4988" s="7"/>
      <c r="AV4988" s="7"/>
    </row>
    <row r="4989" spans="47:48" x14ac:dyDescent="0.25">
      <c r="AU4989" s="7"/>
      <c r="AV4989" s="7"/>
    </row>
    <row r="4990" spans="47:48" x14ac:dyDescent="0.25">
      <c r="AU4990" s="7"/>
      <c r="AV4990" s="7"/>
    </row>
    <row r="4991" spans="47:48" x14ac:dyDescent="0.25">
      <c r="AU4991" s="7"/>
      <c r="AV4991" s="7"/>
    </row>
    <row r="4992" spans="47:48" x14ac:dyDescent="0.25">
      <c r="AU4992" s="7"/>
      <c r="AV4992" s="7"/>
    </row>
    <row r="4993" spans="47:48" x14ac:dyDescent="0.25">
      <c r="AU4993" s="7"/>
      <c r="AV4993" s="7"/>
    </row>
    <row r="4994" spans="47:48" x14ac:dyDescent="0.25">
      <c r="AU4994" s="7"/>
      <c r="AV4994" s="7"/>
    </row>
    <row r="4995" spans="47:48" x14ac:dyDescent="0.25">
      <c r="AU4995" s="7"/>
      <c r="AV4995" s="7"/>
    </row>
    <row r="4996" spans="47:48" x14ac:dyDescent="0.25">
      <c r="AU4996" s="7"/>
      <c r="AV4996" s="7"/>
    </row>
    <row r="4997" spans="47:48" x14ac:dyDescent="0.25">
      <c r="AU4997" s="7"/>
      <c r="AV4997" s="7"/>
    </row>
    <row r="4998" spans="47:48" x14ac:dyDescent="0.25">
      <c r="AU4998" s="7"/>
      <c r="AV4998" s="7"/>
    </row>
    <row r="4999" spans="47:48" x14ac:dyDescent="0.25">
      <c r="AU4999" s="7"/>
      <c r="AV4999" s="7"/>
    </row>
    <row r="5000" spans="47:48" x14ac:dyDescent="0.25">
      <c r="AU5000" s="7"/>
      <c r="AV5000" s="7"/>
    </row>
    <row r="5001" spans="47:48" x14ac:dyDescent="0.25">
      <c r="AU5001" s="7"/>
      <c r="AV5001" s="7"/>
    </row>
    <row r="5002" spans="47:48" x14ac:dyDescent="0.25">
      <c r="AU5002" s="7"/>
      <c r="AV5002" s="7"/>
    </row>
    <row r="5003" spans="47:48" x14ac:dyDescent="0.25">
      <c r="AU5003" s="7"/>
      <c r="AV5003" s="7"/>
    </row>
    <row r="5004" spans="47:48" x14ac:dyDescent="0.25">
      <c r="AU5004" s="7"/>
      <c r="AV5004" s="7"/>
    </row>
    <row r="5005" spans="47:48" x14ac:dyDescent="0.25">
      <c r="AU5005" s="7"/>
      <c r="AV5005" s="7"/>
    </row>
    <row r="5006" spans="47:48" x14ac:dyDescent="0.25">
      <c r="AU5006" s="7"/>
      <c r="AV5006" s="7"/>
    </row>
    <row r="5007" spans="47:48" x14ac:dyDescent="0.25">
      <c r="AU5007" s="7"/>
      <c r="AV5007" s="7"/>
    </row>
    <row r="5008" spans="47:48" x14ac:dyDescent="0.25">
      <c r="AU5008" s="7"/>
      <c r="AV5008" s="7"/>
    </row>
    <row r="5009" spans="47:48" x14ac:dyDescent="0.25">
      <c r="AU5009" s="7"/>
      <c r="AV5009" s="7"/>
    </row>
    <row r="5010" spans="47:48" x14ac:dyDescent="0.25">
      <c r="AU5010" s="7"/>
      <c r="AV5010" s="7"/>
    </row>
    <row r="5011" spans="47:48" x14ac:dyDescent="0.25">
      <c r="AU5011" s="7"/>
      <c r="AV5011" s="7"/>
    </row>
    <row r="5012" spans="47:48" x14ac:dyDescent="0.25">
      <c r="AU5012" s="7"/>
      <c r="AV5012" s="7"/>
    </row>
    <row r="5013" spans="47:48" x14ac:dyDescent="0.25">
      <c r="AU5013" s="7"/>
      <c r="AV5013" s="7"/>
    </row>
    <row r="5014" spans="47:48" x14ac:dyDescent="0.25">
      <c r="AU5014" s="7"/>
      <c r="AV5014" s="7"/>
    </row>
    <row r="5015" spans="47:48" x14ac:dyDescent="0.25">
      <c r="AU5015" s="7"/>
      <c r="AV5015" s="7"/>
    </row>
    <row r="5016" spans="47:48" x14ac:dyDescent="0.25">
      <c r="AU5016" s="7"/>
      <c r="AV5016" s="7"/>
    </row>
    <row r="5017" spans="47:48" x14ac:dyDescent="0.25">
      <c r="AU5017" s="7"/>
      <c r="AV5017" s="7"/>
    </row>
    <row r="5018" spans="47:48" x14ac:dyDescent="0.25">
      <c r="AU5018" s="7"/>
      <c r="AV5018" s="7"/>
    </row>
    <row r="5019" spans="47:48" x14ac:dyDescent="0.25">
      <c r="AU5019" s="7"/>
      <c r="AV5019" s="7"/>
    </row>
    <row r="5020" spans="47:48" x14ac:dyDescent="0.25">
      <c r="AU5020" s="7"/>
      <c r="AV5020" s="7"/>
    </row>
    <row r="5021" spans="47:48" x14ac:dyDescent="0.25">
      <c r="AU5021" s="7"/>
      <c r="AV5021" s="7"/>
    </row>
    <row r="5022" spans="47:48" x14ac:dyDescent="0.25">
      <c r="AU5022" s="7"/>
      <c r="AV5022" s="7"/>
    </row>
    <row r="5023" spans="47:48" x14ac:dyDescent="0.25">
      <c r="AU5023" s="7"/>
      <c r="AV5023" s="7"/>
    </row>
    <row r="5024" spans="47:48" x14ac:dyDescent="0.25">
      <c r="AU5024" s="7"/>
      <c r="AV5024" s="7"/>
    </row>
    <row r="5025" spans="47:48" x14ac:dyDescent="0.25">
      <c r="AU5025" s="7"/>
      <c r="AV5025" s="7"/>
    </row>
    <row r="5026" spans="47:48" x14ac:dyDescent="0.25">
      <c r="AU5026" s="7"/>
      <c r="AV5026" s="7"/>
    </row>
    <row r="5027" spans="47:48" x14ac:dyDescent="0.25">
      <c r="AU5027" s="7"/>
      <c r="AV5027" s="7"/>
    </row>
    <row r="5028" spans="47:48" x14ac:dyDescent="0.25">
      <c r="AU5028" s="7"/>
      <c r="AV5028" s="7"/>
    </row>
    <row r="5029" spans="47:48" x14ac:dyDescent="0.25">
      <c r="AU5029" s="7"/>
      <c r="AV5029" s="7"/>
    </row>
    <row r="5030" spans="47:48" x14ac:dyDescent="0.25">
      <c r="AU5030" s="7"/>
      <c r="AV5030" s="7"/>
    </row>
    <row r="5031" spans="47:48" x14ac:dyDescent="0.25">
      <c r="AU5031" s="7"/>
      <c r="AV5031" s="7"/>
    </row>
    <row r="5032" spans="47:48" x14ac:dyDescent="0.25">
      <c r="AU5032" s="7"/>
      <c r="AV5032" s="7"/>
    </row>
    <row r="5033" spans="47:48" x14ac:dyDescent="0.25">
      <c r="AU5033" s="7"/>
      <c r="AV5033" s="7"/>
    </row>
    <row r="5034" spans="47:48" x14ac:dyDescent="0.25">
      <c r="AU5034" s="7"/>
      <c r="AV5034" s="7"/>
    </row>
    <row r="5035" spans="47:48" x14ac:dyDescent="0.25">
      <c r="AU5035" s="7"/>
      <c r="AV5035" s="7"/>
    </row>
    <row r="5036" spans="47:48" x14ac:dyDescent="0.25">
      <c r="AU5036" s="7"/>
      <c r="AV5036" s="7"/>
    </row>
    <row r="5037" spans="47:48" x14ac:dyDescent="0.25">
      <c r="AU5037" s="7"/>
      <c r="AV5037" s="7"/>
    </row>
    <row r="5038" spans="47:48" x14ac:dyDescent="0.25">
      <c r="AU5038" s="7"/>
      <c r="AV5038" s="7"/>
    </row>
    <row r="5039" spans="47:48" x14ac:dyDescent="0.25">
      <c r="AU5039" s="7"/>
      <c r="AV5039" s="7"/>
    </row>
    <row r="5040" spans="47:48" x14ac:dyDescent="0.25">
      <c r="AU5040" s="7"/>
      <c r="AV5040" s="7"/>
    </row>
    <row r="5041" spans="47:48" x14ac:dyDescent="0.25">
      <c r="AU5041" s="7"/>
      <c r="AV5041" s="7"/>
    </row>
    <row r="5042" spans="47:48" x14ac:dyDescent="0.25">
      <c r="AU5042" s="7"/>
      <c r="AV5042" s="7"/>
    </row>
    <row r="5043" spans="47:48" x14ac:dyDescent="0.25">
      <c r="AU5043" s="7"/>
      <c r="AV5043" s="7"/>
    </row>
    <row r="5044" spans="47:48" x14ac:dyDescent="0.25">
      <c r="AU5044" s="7"/>
      <c r="AV5044" s="7"/>
    </row>
    <row r="5045" spans="47:48" x14ac:dyDescent="0.25">
      <c r="AU5045" s="7"/>
      <c r="AV5045" s="7"/>
    </row>
    <row r="5046" spans="47:48" x14ac:dyDescent="0.25">
      <c r="AU5046" s="7"/>
      <c r="AV5046" s="7"/>
    </row>
    <row r="5047" spans="47:48" x14ac:dyDescent="0.25">
      <c r="AU5047" s="7"/>
      <c r="AV5047" s="7"/>
    </row>
    <row r="5048" spans="47:48" x14ac:dyDescent="0.25">
      <c r="AU5048" s="7"/>
      <c r="AV5048" s="7"/>
    </row>
    <row r="5049" spans="47:48" x14ac:dyDescent="0.25">
      <c r="AU5049" s="7"/>
      <c r="AV5049" s="7"/>
    </row>
    <row r="5050" spans="47:48" x14ac:dyDescent="0.25">
      <c r="AU5050" s="7"/>
      <c r="AV5050" s="7"/>
    </row>
    <row r="5051" spans="47:48" x14ac:dyDescent="0.25">
      <c r="AU5051" s="7"/>
      <c r="AV5051" s="7"/>
    </row>
    <row r="5052" spans="47:48" x14ac:dyDescent="0.25">
      <c r="AU5052" s="7"/>
      <c r="AV5052" s="7"/>
    </row>
    <row r="5053" spans="47:48" x14ac:dyDescent="0.25">
      <c r="AU5053" s="7"/>
      <c r="AV5053" s="7"/>
    </row>
    <row r="5054" spans="47:48" x14ac:dyDescent="0.25">
      <c r="AU5054" s="7"/>
      <c r="AV5054" s="7"/>
    </row>
    <row r="5055" spans="47:48" x14ac:dyDescent="0.25">
      <c r="AU5055" s="7"/>
      <c r="AV5055" s="7"/>
    </row>
    <row r="5056" spans="47:48" x14ac:dyDescent="0.25">
      <c r="AU5056" s="7"/>
      <c r="AV5056" s="7"/>
    </row>
    <row r="5057" spans="47:48" x14ac:dyDescent="0.25">
      <c r="AU5057" s="7"/>
      <c r="AV5057" s="7"/>
    </row>
    <row r="5058" spans="47:48" x14ac:dyDescent="0.25">
      <c r="AU5058" s="7"/>
      <c r="AV5058" s="7"/>
    </row>
    <row r="5059" spans="47:48" x14ac:dyDescent="0.25">
      <c r="AU5059" s="7"/>
      <c r="AV5059" s="7"/>
    </row>
    <row r="5060" spans="47:48" x14ac:dyDescent="0.25">
      <c r="AU5060" s="7"/>
      <c r="AV5060" s="7"/>
    </row>
    <row r="5061" spans="47:48" x14ac:dyDescent="0.25">
      <c r="AU5061" s="7"/>
      <c r="AV5061" s="7"/>
    </row>
    <row r="5062" spans="47:48" x14ac:dyDescent="0.25">
      <c r="AU5062" s="7"/>
      <c r="AV5062" s="7"/>
    </row>
    <row r="5063" spans="47:48" x14ac:dyDescent="0.25">
      <c r="AU5063" s="7"/>
      <c r="AV5063" s="7"/>
    </row>
    <row r="5064" spans="47:48" x14ac:dyDescent="0.25">
      <c r="AU5064" s="7"/>
      <c r="AV5064" s="7"/>
    </row>
    <row r="5065" spans="47:48" x14ac:dyDescent="0.25">
      <c r="AU5065" s="7"/>
      <c r="AV5065" s="7"/>
    </row>
    <row r="5066" spans="47:48" x14ac:dyDescent="0.25">
      <c r="AU5066" s="7"/>
      <c r="AV5066" s="7"/>
    </row>
    <row r="5067" spans="47:48" x14ac:dyDescent="0.25">
      <c r="AU5067" s="7"/>
      <c r="AV5067" s="7"/>
    </row>
    <row r="5068" spans="47:48" x14ac:dyDescent="0.25">
      <c r="AU5068" s="7"/>
      <c r="AV5068" s="7"/>
    </row>
    <row r="5069" spans="47:48" x14ac:dyDescent="0.25">
      <c r="AU5069" s="7"/>
      <c r="AV5069" s="7"/>
    </row>
    <row r="5070" spans="47:48" x14ac:dyDescent="0.25">
      <c r="AU5070" s="7"/>
      <c r="AV5070" s="7"/>
    </row>
    <row r="5071" spans="47:48" x14ac:dyDescent="0.25">
      <c r="AU5071" s="7"/>
      <c r="AV5071" s="7"/>
    </row>
    <row r="5072" spans="47:48" x14ac:dyDescent="0.25">
      <c r="AU5072" s="7"/>
      <c r="AV5072" s="7"/>
    </row>
    <row r="5073" spans="47:48" x14ac:dyDescent="0.25">
      <c r="AU5073" s="7"/>
      <c r="AV5073" s="7"/>
    </row>
    <row r="5074" spans="47:48" x14ac:dyDescent="0.25">
      <c r="AU5074" s="7"/>
      <c r="AV5074" s="7"/>
    </row>
    <row r="5075" spans="47:48" x14ac:dyDescent="0.25">
      <c r="AU5075" s="7"/>
      <c r="AV5075" s="7"/>
    </row>
    <row r="5076" spans="47:48" x14ac:dyDescent="0.25">
      <c r="AU5076" s="7"/>
      <c r="AV5076" s="7"/>
    </row>
    <row r="5077" spans="47:48" x14ac:dyDescent="0.25">
      <c r="AU5077" s="7"/>
      <c r="AV5077" s="7"/>
    </row>
    <row r="5078" spans="47:48" x14ac:dyDescent="0.25">
      <c r="AU5078" s="7"/>
      <c r="AV5078" s="7"/>
    </row>
    <row r="5079" spans="47:48" x14ac:dyDescent="0.25">
      <c r="AU5079" s="7"/>
      <c r="AV5079" s="7"/>
    </row>
    <row r="5080" spans="47:48" x14ac:dyDescent="0.25">
      <c r="AU5080" s="7"/>
      <c r="AV5080" s="7"/>
    </row>
    <row r="5081" spans="47:48" x14ac:dyDescent="0.25">
      <c r="AU5081" s="7"/>
      <c r="AV5081" s="7"/>
    </row>
    <row r="5082" spans="47:48" x14ac:dyDescent="0.25">
      <c r="AU5082" s="7"/>
      <c r="AV5082" s="7"/>
    </row>
    <row r="5083" spans="47:48" x14ac:dyDescent="0.25">
      <c r="AU5083" s="7"/>
      <c r="AV5083" s="7"/>
    </row>
    <row r="5084" spans="47:48" x14ac:dyDescent="0.25">
      <c r="AU5084" s="7"/>
      <c r="AV5084" s="7"/>
    </row>
    <row r="5085" spans="47:48" x14ac:dyDescent="0.25">
      <c r="AU5085" s="7"/>
      <c r="AV5085" s="7"/>
    </row>
    <row r="5086" spans="47:48" x14ac:dyDescent="0.25">
      <c r="AU5086" s="7"/>
      <c r="AV5086" s="7"/>
    </row>
    <row r="5087" spans="47:48" x14ac:dyDescent="0.25">
      <c r="AU5087" s="7"/>
      <c r="AV5087" s="7"/>
    </row>
    <row r="5088" spans="47:48" x14ac:dyDescent="0.25">
      <c r="AU5088" s="7"/>
      <c r="AV5088" s="7"/>
    </row>
    <row r="5089" spans="47:48" x14ac:dyDescent="0.25">
      <c r="AU5089" s="7"/>
      <c r="AV5089" s="7"/>
    </row>
    <row r="5090" spans="47:48" x14ac:dyDescent="0.25">
      <c r="AU5090" s="7"/>
      <c r="AV5090" s="7"/>
    </row>
    <row r="5091" spans="47:48" x14ac:dyDescent="0.25">
      <c r="AU5091" s="7"/>
      <c r="AV5091" s="7"/>
    </row>
    <row r="5092" spans="47:48" x14ac:dyDescent="0.25">
      <c r="AU5092" s="7"/>
      <c r="AV5092" s="7"/>
    </row>
    <row r="5093" spans="47:48" x14ac:dyDescent="0.25">
      <c r="AU5093" s="7"/>
      <c r="AV5093" s="7"/>
    </row>
    <row r="5094" spans="47:48" x14ac:dyDescent="0.25">
      <c r="AU5094" s="7"/>
      <c r="AV5094" s="7"/>
    </row>
    <row r="5095" spans="47:48" x14ac:dyDescent="0.25">
      <c r="AU5095" s="7"/>
      <c r="AV5095" s="7"/>
    </row>
    <row r="5096" spans="47:48" x14ac:dyDescent="0.25">
      <c r="AU5096" s="7"/>
      <c r="AV5096" s="7"/>
    </row>
    <row r="5097" spans="47:48" x14ac:dyDescent="0.25">
      <c r="AU5097" s="7"/>
      <c r="AV5097" s="7"/>
    </row>
    <row r="5098" spans="47:48" x14ac:dyDescent="0.25">
      <c r="AU5098" s="7"/>
      <c r="AV5098" s="7"/>
    </row>
    <row r="5099" spans="47:48" x14ac:dyDescent="0.25">
      <c r="AU5099" s="7"/>
      <c r="AV5099" s="7"/>
    </row>
    <row r="5100" spans="47:48" x14ac:dyDescent="0.25">
      <c r="AU5100" s="7"/>
      <c r="AV5100" s="7"/>
    </row>
    <row r="5101" spans="47:48" x14ac:dyDescent="0.25">
      <c r="AU5101" s="7"/>
      <c r="AV5101" s="7"/>
    </row>
    <row r="5102" spans="47:48" x14ac:dyDescent="0.25">
      <c r="AU5102" s="7"/>
      <c r="AV5102" s="7"/>
    </row>
    <row r="5103" spans="47:48" x14ac:dyDescent="0.25">
      <c r="AU5103" s="7"/>
      <c r="AV5103" s="7"/>
    </row>
    <row r="5104" spans="47:48" x14ac:dyDescent="0.25">
      <c r="AU5104" s="7"/>
      <c r="AV5104" s="7"/>
    </row>
    <row r="5105" spans="47:48" x14ac:dyDescent="0.25">
      <c r="AU5105" s="7"/>
      <c r="AV5105" s="7"/>
    </row>
    <row r="5106" spans="47:48" x14ac:dyDescent="0.25">
      <c r="AU5106" s="7"/>
      <c r="AV5106" s="7"/>
    </row>
    <row r="5107" spans="47:48" x14ac:dyDescent="0.25">
      <c r="AU5107" s="7"/>
      <c r="AV5107" s="7"/>
    </row>
    <row r="5108" spans="47:48" x14ac:dyDescent="0.25">
      <c r="AU5108" s="7"/>
      <c r="AV5108" s="7"/>
    </row>
    <row r="5109" spans="47:48" x14ac:dyDescent="0.25">
      <c r="AU5109" s="7"/>
      <c r="AV5109" s="7"/>
    </row>
    <row r="5110" spans="47:48" x14ac:dyDescent="0.25">
      <c r="AU5110" s="7"/>
      <c r="AV5110" s="7"/>
    </row>
    <row r="5111" spans="47:48" x14ac:dyDescent="0.25">
      <c r="AU5111" s="7"/>
      <c r="AV5111" s="7"/>
    </row>
    <row r="5112" spans="47:48" x14ac:dyDescent="0.25">
      <c r="AU5112" s="7"/>
      <c r="AV5112" s="7"/>
    </row>
    <row r="5113" spans="47:48" x14ac:dyDescent="0.25">
      <c r="AU5113" s="7"/>
      <c r="AV5113" s="7"/>
    </row>
    <row r="5114" spans="47:48" x14ac:dyDescent="0.25">
      <c r="AU5114" s="7"/>
      <c r="AV5114" s="7"/>
    </row>
    <row r="5115" spans="47:48" x14ac:dyDescent="0.25">
      <c r="AU5115" s="7"/>
      <c r="AV5115" s="7"/>
    </row>
    <row r="5116" spans="47:48" x14ac:dyDescent="0.25">
      <c r="AU5116" s="7"/>
      <c r="AV5116" s="7"/>
    </row>
    <row r="5117" spans="47:48" x14ac:dyDescent="0.25">
      <c r="AU5117" s="7"/>
      <c r="AV5117" s="7"/>
    </row>
    <row r="5118" spans="47:48" x14ac:dyDescent="0.25">
      <c r="AU5118" s="7"/>
      <c r="AV5118" s="7"/>
    </row>
    <row r="5119" spans="47:48" x14ac:dyDescent="0.25">
      <c r="AU5119" s="7"/>
      <c r="AV5119" s="7"/>
    </row>
    <row r="5120" spans="47:48" x14ac:dyDescent="0.25">
      <c r="AU5120" s="7"/>
      <c r="AV5120" s="7"/>
    </row>
    <row r="5121" spans="47:48" x14ac:dyDescent="0.25">
      <c r="AU5121" s="7"/>
      <c r="AV5121" s="7"/>
    </row>
    <row r="5122" spans="47:48" x14ac:dyDescent="0.25">
      <c r="AU5122" s="7"/>
      <c r="AV5122" s="7"/>
    </row>
    <row r="5123" spans="47:48" x14ac:dyDescent="0.25">
      <c r="AU5123" s="7"/>
      <c r="AV5123" s="7"/>
    </row>
    <row r="5124" spans="47:48" x14ac:dyDescent="0.25">
      <c r="AU5124" s="7"/>
      <c r="AV5124" s="7"/>
    </row>
    <row r="5125" spans="47:48" x14ac:dyDescent="0.25">
      <c r="AU5125" s="7"/>
      <c r="AV5125" s="7"/>
    </row>
    <row r="5126" spans="47:48" x14ac:dyDescent="0.25">
      <c r="AU5126" s="7"/>
      <c r="AV5126" s="7"/>
    </row>
    <row r="5127" spans="47:48" x14ac:dyDescent="0.25">
      <c r="AU5127" s="7"/>
      <c r="AV5127" s="7"/>
    </row>
    <row r="5128" spans="47:48" x14ac:dyDescent="0.25">
      <c r="AU5128" s="7"/>
      <c r="AV5128" s="7"/>
    </row>
    <row r="5129" spans="47:48" x14ac:dyDescent="0.25">
      <c r="AU5129" s="7"/>
      <c r="AV5129" s="7"/>
    </row>
    <row r="5130" spans="47:48" x14ac:dyDescent="0.25">
      <c r="AU5130" s="7"/>
      <c r="AV5130" s="7"/>
    </row>
    <row r="5131" spans="47:48" x14ac:dyDescent="0.25">
      <c r="AU5131" s="7"/>
      <c r="AV5131" s="7"/>
    </row>
    <row r="5132" spans="47:48" x14ac:dyDescent="0.25">
      <c r="AU5132" s="7"/>
      <c r="AV5132" s="7"/>
    </row>
    <row r="5133" spans="47:48" x14ac:dyDescent="0.25">
      <c r="AU5133" s="7"/>
      <c r="AV5133" s="7"/>
    </row>
    <row r="5134" spans="47:48" x14ac:dyDescent="0.25">
      <c r="AU5134" s="7"/>
      <c r="AV5134" s="7"/>
    </row>
    <row r="5135" spans="47:48" x14ac:dyDescent="0.25">
      <c r="AU5135" s="7"/>
      <c r="AV5135" s="7"/>
    </row>
    <row r="5136" spans="47:48" x14ac:dyDescent="0.25">
      <c r="AU5136" s="7"/>
      <c r="AV5136" s="7"/>
    </row>
    <row r="5137" spans="47:48" x14ac:dyDescent="0.25">
      <c r="AU5137" s="7"/>
      <c r="AV5137" s="7"/>
    </row>
    <row r="5138" spans="47:48" x14ac:dyDescent="0.25">
      <c r="AU5138" s="7"/>
      <c r="AV5138" s="7"/>
    </row>
    <row r="5139" spans="47:48" x14ac:dyDescent="0.25">
      <c r="AU5139" s="7"/>
      <c r="AV5139" s="7"/>
    </row>
    <row r="5140" spans="47:48" x14ac:dyDescent="0.25">
      <c r="AU5140" s="7"/>
      <c r="AV5140" s="7"/>
    </row>
    <row r="5141" spans="47:48" x14ac:dyDescent="0.25">
      <c r="AU5141" s="7"/>
      <c r="AV5141" s="7"/>
    </row>
    <row r="5142" spans="47:48" x14ac:dyDescent="0.25">
      <c r="AU5142" s="7"/>
      <c r="AV5142" s="7"/>
    </row>
    <row r="5143" spans="47:48" x14ac:dyDescent="0.25">
      <c r="AU5143" s="7"/>
      <c r="AV5143" s="7"/>
    </row>
    <row r="5144" spans="47:48" x14ac:dyDescent="0.25">
      <c r="AU5144" s="7"/>
      <c r="AV5144" s="7"/>
    </row>
    <row r="5145" spans="47:48" x14ac:dyDescent="0.25">
      <c r="AU5145" s="7"/>
      <c r="AV5145" s="7"/>
    </row>
    <row r="5146" spans="47:48" x14ac:dyDescent="0.25">
      <c r="AU5146" s="7"/>
      <c r="AV5146" s="7"/>
    </row>
    <row r="5147" spans="47:48" x14ac:dyDescent="0.25">
      <c r="AU5147" s="7"/>
      <c r="AV5147" s="7"/>
    </row>
    <row r="5148" spans="47:48" x14ac:dyDescent="0.25">
      <c r="AU5148" s="7"/>
      <c r="AV5148" s="7"/>
    </row>
    <row r="5149" spans="47:48" x14ac:dyDescent="0.25">
      <c r="AU5149" s="7"/>
      <c r="AV5149" s="7"/>
    </row>
    <row r="5150" spans="47:48" x14ac:dyDescent="0.25">
      <c r="AU5150" s="7"/>
      <c r="AV5150" s="7"/>
    </row>
    <row r="5151" spans="47:48" x14ac:dyDescent="0.25">
      <c r="AU5151" s="7"/>
      <c r="AV5151" s="7"/>
    </row>
    <row r="5152" spans="47:48" x14ac:dyDescent="0.25">
      <c r="AU5152" s="7"/>
      <c r="AV5152" s="7"/>
    </row>
    <row r="5153" spans="47:48" x14ac:dyDescent="0.25">
      <c r="AU5153" s="7"/>
      <c r="AV5153" s="7"/>
    </row>
    <row r="5154" spans="47:48" x14ac:dyDescent="0.25">
      <c r="AU5154" s="7"/>
      <c r="AV5154" s="7"/>
    </row>
    <row r="5155" spans="47:48" x14ac:dyDescent="0.25">
      <c r="AU5155" s="7"/>
      <c r="AV5155" s="7"/>
    </row>
    <row r="5156" spans="47:48" x14ac:dyDescent="0.25">
      <c r="AU5156" s="7"/>
      <c r="AV5156" s="7"/>
    </row>
    <row r="5157" spans="47:48" x14ac:dyDescent="0.25">
      <c r="AU5157" s="7"/>
      <c r="AV5157" s="7"/>
    </row>
    <row r="5158" spans="47:48" x14ac:dyDescent="0.25">
      <c r="AU5158" s="7"/>
      <c r="AV5158" s="7"/>
    </row>
    <row r="5159" spans="47:48" x14ac:dyDescent="0.25">
      <c r="AU5159" s="7"/>
      <c r="AV5159" s="7"/>
    </row>
    <row r="5160" spans="47:48" x14ac:dyDescent="0.25">
      <c r="AU5160" s="7"/>
      <c r="AV5160" s="7"/>
    </row>
    <row r="5161" spans="47:48" x14ac:dyDescent="0.25">
      <c r="AU5161" s="7"/>
      <c r="AV5161" s="7"/>
    </row>
    <row r="5162" spans="47:48" x14ac:dyDescent="0.25">
      <c r="AU5162" s="7"/>
      <c r="AV5162" s="7"/>
    </row>
    <row r="5163" spans="47:48" x14ac:dyDescent="0.25">
      <c r="AU5163" s="7"/>
      <c r="AV5163" s="7"/>
    </row>
    <row r="5164" spans="47:48" x14ac:dyDescent="0.25">
      <c r="AU5164" s="7"/>
      <c r="AV5164" s="7"/>
    </row>
    <row r="5165" spans="47:48" x14ac:dyDescent="0.25">
      <c r="AU5165" s="7"/>
      <c r="AV5165" s="7"/>
    </row>
    <row r="5166" spans="47:48" x14ac:dyDescent="0.25">
      <c r="AU5166" s="7"/>
      <c r="AV5166" s="7"/>
    </row>
    <row r="5167" spans="47:48" x14ac:dyDescent="0.25">
      <c r="AU5167" s="7"/>
      <c r="AV5167" s="7"/>
    </row>
    <row r="5168" spans="47:48" x14ac:dyDescent="0.25">
      <c r="AU5168" s="7"/>
      <c r="AV5168" s="7"/>
    </row>
    <row r="5169" spans="47:48" x14ac:dyDescent="0.25">
      <c r="AU5169" s="7"/>
      <c r="AV5169" s="7"/>
    </row>
    <row r="5170" spans="47:48" x14ac:dyDescent="0.25">
      <c r="AU5170" s="7"/>
      <c r="AV5170" s="7"/>
    </row>
    <row r="5171" spans="47:48" x14ac:dyDescent="0.25">
      <c r="AU5171" s="7"/>
      <c r="AV5171" s="7"/>
    </row>
    <row r="5172" spans="47:48" x14ac:dyDescent="0.25">
      <c r="AU5172" s="7"/>
      <c r="AV5172" s="7"/>
    </row>
    <row r="5173" spans="47:48" x14ac:dyDescent="0.25">
      <c r="AU5173" s="7"/>
      <c r="AV5173" s="7"/>
    </row>
    <row r="5174" spans="47:48" x14ac:dyDescent="0.25">
      <c r="AU5174" s="7"/>
      <c r="AV5174" s="7"/>
    </row>
    <row r="5175" spans="47:48" x14ac:dyDescent="0.25">
      <c r="AU5175" s="7"/>
      <c r="AV5175" s="7"/>
    </row>
    <row r="5176" spans="47:48" x14ac:dyDescent="0.25">
      <c r="AU5176" s="7"/>
      <c r="AV5176" s="7"/>
    </row>
    <row r="5177" spans="47:48" x14ac:dyDescent="0.25">
      <c r="AU5177" s="7"/>
      <c r="AV5177" s="7"/>
    </row>
    <row r="5178" spans="47:48" x14ac:dyDescent="0.25">
      <c r="AU5178" s="7"/>
      <c r="AV5178" s="7"/>
    </row>
    <row r="5179" spans="47:48" x14ac:dyDescent="0.25">
      <c r="AU5179" s="7"/>
      <c r="AV5179" s="7"/>
    </row>
    <row r="5180" spans="47:48" x14ac:dyDescent="0.25">
      <c r="AU5180" s="7"/>
      <c r="AV5180" s="7"/>
    </row>
    <row r="5181" spans="47:48" x14ac:dyDescent="0.25">
      <c r="AU5181" s="7"/>
      <c r="AV5181" s="7"/>
    </row>
    <row r="5182" spans="47:48" x14ac:dyDescent="0.25">
      <c r="AU5182" s="7"/>
      <c r="AV5182" s="7"/>
    </row>
    <row r="5183" spans="47:48" x14ac:dyDescent="0.25">
      <c r="AU5183" s="7"/>
      <c r="AV5183" s="7"/>
    </row>
    <row r="5184" spans="47:48" x14ac:dyDescent="0.25">
      <c r="AU5184" s="7"/>
      <c r="AV5184" s="7"/>
    </row>
    <row r="5185" spans="47:48" x14ac:dyDescent="0.25">
      <c r="AU5185" s="7"/>
      <c r="AV5185" s="7"/>
    </row>
    <row r="5186" spans="47:48" x14ac:dyDescent="0.25">
      <c r="AU5186" s="7"/>
      <c r="AV5186" s="7"/>
    </row>
    <row r="5187" spans="47:48" x14ac:dyDescent="0.25">
      <c r="AU5187" s="7"/>
      <c r="AV5187" s="7"/>
    </row>
    <row r="5188" spans="47:48" x14ac:dyDescent="0.25">
      <c r="AU5188" s="7"/>
      <c r="AV5188" s="7"/>
    </row>
    <row r="5189" spans="47:48" x14ac:dyDescent="0.25">
      <c r="AU5189" s="7"/>
      <c r="AV5189" s="7"/>
    </row>
    <row r="5190" spans="47:48" x14ac:dyDescent="0.25">
      <c r="AU5190" s="7"/>
      <c r="AV5190" s="7"/>
    </row>
    <row r="5191" spans="47:48" x14ac:dyDescent="0.25">
      <c r="AU5191" s="7"/>
      <c r="AV5191" s="7"/>
    </row>
    <row r="5192" spans="47:48" x14ac:dyDescent="0.25">
      <c r="AU5192" s="7"/>
      <c r="AV5192" s="7"/>
    </row>
    <row r="5193" spans="47:48" x14ac:dyDescent="0.25">
      <c r="AU5193" s="7"/>
      <c r="AV5193" s="7"/>
    </row>
    <row r="5194" spans="47:48" x14ac:dyDescent="0.25">
      <c r="AU5194" s="7"/>
      <c r="AV5194" s="7"/>
    </row>
    <row r="5195" spans="47:48" x14ac:dyDescent="0.25">
      <c r="AU5195" s="7"/>
      <c r="AV5195" s="7"/>
    </row>
    <row r="5196" spans="47:48" x14ac:dyDescent="0.25">
      <c r="AU5196" s="7"/>
      <c r="AV5196" s="7"/>
    </row>
    <row r="5197" spans="47:48" x14ac:dyDescent="0.25">
      <c r="AU5197" s="7"/>
      <c r="AV5197" s="7"/>
    </row>
    <row r="5198" spans="47:48" x14ac:dyDescent="0.25">
      <c r="AU5198" s="7"/>
      <c r="AV5198" s="7"/>
    </row>
    <row r="5199" spans="47:48" x14ac:dyDescent="0.25">
      <c r="AU5199" s="7"/>
      <c r="AV5199" s="7"/>
    </row>
    <row r="5200" spans="47:48" x14ac:dyDescent="0.25">
      <c r="AU5200" s="7"/>
      <c r="AV5200" s="7"/>
    </row>
    <row r="5201" spans="47:48" x14ac:dyDescent="0.25">
      <c r="AU5201" s="7"/>
      <c r="AV5201" s="7"/>
    </row>
    <row r="5202" spans="47:48" x14ac:dyDescent="0.25">
      <c r="AU5202" s="7"/>
      <c r="AV5202" s="7"/>
    </row>
    <row r="5203" spans="47:48" x14ac:dyDescent="0.25">
      <c r="AU5203" s="7"/>
      <c r="AV5203" s="7"/>
    </row>
    <row r="5204" spans="47:48" x14ac:dyDescent="0.25">
      <c r="AU5204" s="7"/>
      <c r="AV5204" s="7"/>
    </row>
    <row r="5205" spans="47:48" x14ac:dyDescent="0.25">
      <c r="AU5205" s="7"/>
      <c r="AV5205" s="7"/>
    </row>
    <row r="5206" spans="47:48" x14ac:dyDescent="0.25">
      <c r="AU5206" s="7"/>
      <c r="AV5206" s="7"/>
    </row>
    <row r="5207" spans="47:48" x14ac:dyDescent="0.25">
      <c r="AU5207" s="7"/>
      <c r="AV5207" s="7"/>
    </row>
    <row r="5208" spans="47:48" x14ac:dyDescent="0.25">
      <c r="AU5208" s="7"/>
      <c r="AV5208" s="7"/>
    </row>
    <row r="5209" spans="47:48" x14ac:dyDescent="0.25">
      <c r="AU5209" s="7"/>
      <c r="AV5209" s="7"/>
    </row>
    <row r="5210" spans="47:48" x14ac:dyDescent="0.25">
      <c r="AU5210" s="7"/>
      <c r="AV5210" s="7"/>
    </row>
    <row r="5211" spans="47:48" x14ac:dyDescent="0.25">
      <c r="AU5211" s="7"/>
      <c r="AV5211" s="7"/>
    </row>
    <row r="5212" spans="47:48" x14ac:dyDescent="0.25">
      <c r="AU5212" s="7"/>
      <c r="AV5212" s="7"/>
    </row>
    <row r="5213" spans="47:48" x14ac:dyDescent="0.25">
      <c r="AU5213" s="7"/>
      <c r="AV5213" s="7"/>
    </row>
    <row r="5214" spans="47:48" x14ac:dyDescent="0.25">
      <c r="AU5214" s="7"/>
      <c r="AV5214" s="7"/>
    </row>
    <row r="5215" spans="47:48" x14ac:dyDescent="0.25">
      <c r="AU5215" s="7"/>
      <c r="AV5215" s="7"/>
    </row>
    <row r="5216" spans="47:48" x14ac:dyDescent="0.25">
      <c r="AU5216" s="7"/>
      <c r="AV5216" s="7"/>
    </row>
    <row r="5217" spans="47:48" x14ac:dyDescent="0.25">
      <c r="AU5217" s="7"/>
      <c r="AV5217" s="7"/>
    </row>
    <row r="5218" spans="47:48" x14ac:dyDescent="0.25">
      <c r="AU5218" s="7"/>
      <c r="AV5218" s="7"/>
    </row>
    <row r="5219" spans="47:48" x14ac:dyDescent="0.25">
      <c r="AU5219" s="7"/>
      <c r="AV5219" s="7"/>
    </row>
    <row r="5220" spans="47:48" x14ac:dyDescent="0.25">
      <c r="AU5220" s="7"/>
      <c r="AV5220" s="7"/>
    </row>
    <row r="5221" spans="47:48" x14ac:dyDescent="0.25">
      <c r="AU5221" s="7"/>
      <c r="AV5221" s="7"/>
    </row>
    <row r="5222" spans="47:48" x14ac:dyDescent="0.25">
      <c r="AU5222" s="7"/>
      <c r="AV5222" s="7"/>
    </row>
    <row r="5223" spans="47:48" x14ac:dyDescent="0.25">
      <c r="AU5223" s="7"/>
      <c r="AV5223" s="7"/>
    </row>
    <row r="5224" spans="47:48" x14ac:dyDescent="0.25">
      <c r="AU5224" s="7"/>
      <c r="AV5224" s="7"/>
    </row>
    <row r="5225" spans="47:48" x14ac:dyDescent="0.25">
      <c r="AU5225" s="7"/>
      <c r="AV5225" s="7"/>
    </row>
    <row r="5226" spans="47:48" x14ac:dyDescent="0.25">
      <c r="AU5226" s="7"/>
      <c r="AV5226" s="7"/>
    </row>
    <row r="5227" spans="47:48" x14ac:dyDescent="0.25">
      <c r="AU5227" s="7"/>
      <c r="AV5227" s="7"/>
    </row>
    <row r="5228" spans="47:48" x14ac:dyDescent="0.25">
      <c r="AU5228" s="7"/>
      <c r="AV5228" s="7"/>
    </row>
    <row r="5229" spans="47:48" x14ac:dyDescent="0.25">
      <c r="AU5229" s="7"/>
      <c r="AV5229" s="7"/>
    </row>
    <row r="5230" spans="47:48" x14ac:dyDescent="0.25">
      <c r="AU5230" s="7"/>
      <c r="AV5230" s="7"/>
    </row>
    <row r="5231" spans="47:48" x14ac:dyDescent="0.25">
      <c r="AU5231" s="7"/>
      <c r="AV5231" s="7"/>
    </row>
    <row r="5232" spans="47:48" x14ac:dyDescent="0.25">
      <c r="AU5232" s="7"/>
      <c r="AV5232" s="7"/>
    </row>
    <row r="5233" spans="47:48" x14ac:dyDescent="0.25">
      <c r="AU5233" s="7"/>
      <c r="AV5233" s="7"/>
    </row>
    <row r="5234" spans="47:48" x14ac:dyDescent="0.25">
      <c r="AU5234" s="7"/>
      <c r="AV5234" s="7"/>
    </row>
    <row r="5235" spans="47:48" x14ac:dyDescent="0.25">
      <c r="AU5235" s="7"/>
      <c r="AV5235" s="7"/>
    </row>
    <row r="5236" spans="47:48" x14ac:dyDescent="0.25">
      <c r="AU5236" s="7"/>
      <c r="AV5236" s="7"/>
    </row>
    <row r="5237" spans="47:48" x14ac:dyDescent="0.25">
      <c r="AU5237" s="7"/>
      <c r="AV5237" s="7"/>
    </row>
    <row r="5238" spans="47:48" x14ac:dyDescent="0.25">
      <c r="AU5238" s="7"/>
      <c r="AV5238" s="7"/>
    </row>
    <row r="5239" spans="47:48" x14ac:dyDescent="0.25">
      <c r="AU5239" s="7"/>
      <c r="AV5239" s="7"/>
    </row>
    <row r="5240" spans="47:48" x14ac:dyDescent="0.25">
      <c r="AU5240" s="7"/>
      <c r="AV5240" s="7"/>
    </row>
    <row r="5241" spans="47:48" x14ac:dyDescent="0.25">
      <c r="AU5241" s="7"/>
      <c r="AV5241" s="7"/>
    </row>
    <row r="5242" spans="47:48" x14ac:dyDescent="0.25">
      <c r="AU5242" s="7"/>
      <c r="AV5242" s="7"/>
    </row>
    <row r="5243" spans="47:48" x14ac:dyDescent="0.25">
      <c r="AU5243" s="7"/>
      <c r="AV5243" s="7"/>
    </row>
    <row r="5244" spans="47:48" x14ac:dyDescent="0.25">
      <c r="AU5244" s="7"/>
      <c r="AV5244" s="7"/>
    </row>
    <row r="5245" spans="47:48" x14ac:dyDescent="0.25">
      <c r="AU5245" s="7"/>
      <c r="AV5245" s="7"/>
    </row>
    <row r="5246" spans="47:48" x14ac:dyDescent="0.25">
      <c r="AU5246" s="7"/>
      <c r="AV5246" s="7"/>
    </row>
    <row r="5247" spans="47:48" x14ac:dyDescent="0.25">
      <c r="AU5247" s="7"/>
      <c r="AV5247" s="7"/>
    </row>
    <row r="5248" spans="47:48" x14ac:dyDescent="0.25">
      <c r="AU5248" s="7"/>
      <c r="AV5248" s="7"/>
    </row>
    <row r="5249" spans="47:48" x14ac:dyDescent="0.25">
      <c r="AU5249" s="7"/>
      <c r="AV5249" s="7"/>
    </row>
    <row r="5250" spans="47:48" x14ac:dyDescent="0.25">
      <c r="AU5250" s="7"/>
      <c r="AV5250" s="7"/>
    </row>
    <row r="5251" spans="47:48" x14ac:dyDescent="0.25">
      <c r="AU5251" s="7"/>
      <c r="AV5251" s="7"/>
    </row>
    <row r="5252" spans="47:48" x14ac:dyDescent="0.25">
      <c r="AU5252" s="7"/>
      <c r="AV5252" s="7"/>
    </row>
    <row r="5253" spans="47:48" x14ac:dyDescent="0.25">
      <c r="AU5253" s="7"/>
      <c r="AV5253" s="7"/>
    </row>
    <row r="5254" spans="47:48" x14ac:dyDescent="0.25">
      <c r="AU5254" s="7"/>
      <c r="AV5254" s="7"/>
    </row>
    <row r="5255" spans="47:48" x14ac:dyDescent="0.25">
      <c r="AU5255" s="7"/>
      <c r="AV5255" s="7"/>
    </row>
    <row r="5256" spans="47:48" x14ac:dyDescent="0.25">
      <c r="AU5256" s="7"/>
      <c r="AV5256" s="7"/>
    </row>
    <row r="5257" spans="47:48" x14ac:dyDescent="0.25">
      <c r="AU5257" s="7"/>
      <c r="AV5257" s="7"/>
    </row>
    <row r="5258" spans="47:48" x14ac:dyDescent="0.25">
      <c r="AU5258" s="7"/>
      <c r="AV5258" s="7"/>
    </row>
    <row r="5259" spans="47:48" x14ac:dyDescent="0.25">
      <c r="AU5259" s="7"/>
      <c r="AV5259" s="7"/>
    </row>
    <row r="5260" spans="47:48" x14ac:dyDescent="0.25">
      <c r="AU5260" s="7"/>
      <c r="AV5260" s="7"/>
    </row>
    <row r="5261" spans="47:48" x14ac:dyDescent="0.25">
      <c r="AU5261" s="7"/>
      <c r="AV5261" s="7"/>
    </row>
    <row r="5262" spans="47:48" x14ac:dyDescent="0.25">
      <c r="AU5262" s="7"/>
      <c r="AV5262" s="7"/>
    </row>
    <row r="5263" spans="47:48" x14ac:dyDescent="0.25">
      <c r="AU5263" s="7"/>
      <c r="AV5263" s="7"/>
    </row>
    <row r="5264" spans="47:48" x14ac:dyDescent="0.25">
      <c r="AU5264" s="7"/>
      <c r="AV5264" s="7"/>
    </row>
    <row r="5265" spans="47:48" x14ac:dyDescent="0.25">
      <c r="AU5265" s="7"/>
      <c r="AV5265" s="7"/>
    </row>
    <row r="5266" spans="47:48" x14ac:dyDescent="0.25">
      <c r="AU5266" s="7"/>
      <c r="AV5266" s="7"/>
    </row>
    <row r="5267" spans="47:48" x14ac:dyDescent="0.25">
      <c r="AU5267" s="7"/>
      <c r="AV5267" s="7"/>
    </row>
    <row r="5268" spans="47:48" x14ac:dyDescent="0.25">
      <c r="AU5268" s="7"/>
      <c r="AV5268" s="7"/>
    </row>
    <row r="5269" spans="47:48" x14ac:dyDescent="0.25">
      <c r="AU5269" s="7"/>
      <c r="AV5269" s="7"/>
    </row>
    <row r="5270" spans="47:48" x14ac:dyDescent="0.25">
      <c r="AU5270" s="7"/>
      <c r="AV5270" s="7"/>
    </row>
    <row r="5271" spans="47:48" x14ac:dyDescent="0.25">
      <c r="AU5271" s="7"/>
      <c r="AV5271" s="7"/>
    </row>
    <row r="5272" spans="47:48" x14ac:dyDescent="0.25">
      <c r="AU5272" s="7"/>
      <c r="AV5272" s="7"/>
    </row>
    <row r="5273" spans="47:48" x14ac:dyDescent="0.25">
      <c r="AU5273" s="7"/>
      <c r="AV5273" s="7"/>
    </row>
    <row r="5274" spans="47:48" x14ac:dyDescent="0.25">
      <c r="AU5274" s="7"/>
      <c r="AV5274" s="7"/>
    </row>
    <row r="5275" spans="47:48" x14ac:dyDescent="0.25">
      <c r="AU5275" s="7"/>
      <c r="AV5275" s="7"/>
    </row>
    <row r="5276" spans="47:48" x14ac:dyDescent="0.25">
      <c r="AU5276" s="7"/>
      <c r="AV5276" s="7"/>
    </row>
    <row r="5277" spans="47:48" x14ac:dyDescent="0.25">
      <c r="AU5277" s="7"/>
      <c r="AV5277" s="7"/>
    </row>
    <row r="5278" spans="47:48" x14ac:dyDescent="0.25">
      <c r="AU5278" s="7"/>
      <c r="AV5278" s="7"/>
    </row>
    <row r="5279" spans="47:48" x14ac:dyDescent="0.25">
      <c r="AU5279" s="7"/>
      <c r="AV5279" s="7"/>
    </row>
    <row r="5280" spans="47:48" x14ac:dyDescent="0.25">
      <c r="AU5280" s="7"/>
      <c r="AV5280" s="7"/>
    </row>
    <row r="5281" spans="47:48" x14ac:dyDescent="0.25">
      <c r="AU5281" s="7"/>
      <c r="AV5281" s="7"/>
    </row>
    <row r="5282" spans="47:48" x14ac:dyDescent="0.25">
      <c r="AU5282" s="7"/>
      <c r="AV5282" s="7"/>
    </row>
    <row r="5283" spans="47:48" x14ac:dyDescent="0.25">
      <c r="AU5283" s="7"/>
      <c r="AV5283" s="7"/>
    </row>
    <row r="5284" spans="47:48" x14ac:dyDescent="0.25">
      <c r="AU5284" s="7"/>
      <c r="AV5284" s="7"/>
    </row>
    <row r="5285" spans="47:48" x14ac:dyDescent="0.25">
      <c r="AU5285" s="7"/>
      <c r="AV5285" s="7"/>
    </row>
    <row r="5286" spans="47:48" x14ac:dyDescent="0.25">
      <c r="AU5286" s="7"/>
      <c r="AV5286" s="7"/>
    </row>
    <row r="5287" spans="47:48" x14ac:dyDescent="0.25">
      <c r="AU5287" s="7"/>
      <c r="AV5287" s="7"/>
    </row>
    <row r="5288" spans="47:48" x14ac:dyDescent="0.25">
      <c r="AU5288" s="7"/>
      <c r="AV5288" s="7"/>
    </row>
    <row r="5289" spans="47:48" x14ac:dyDescent="0.25">
      <c r="AU5289" s="7"/>
      <c r="AV5289" s="7"/>
    </row>
    <row r="5290" spans="47:48" x14ac:dyDescent="0.25">
      <c r="AU5290" s="7"/>
      <c r="AV5290" s="7"/>
    </row>
    <row r="5291" spans="47:48" x14ac:dyDescent="0.25">
      <c r="AU5291" s="7"/>
      <c r="AV5291" s="7"/>
    </row>
    <row r="5292" spans="47:48" x14ac:dyDescent="0.25">
      <c r="AU5292" s="7"/>
      <c r="AV5292" s="7"/>
    </row>
    <row r="5293" spans="47:48" x14ac:dyDescent="0.25">
      <c r="AU5293" s="7"/>
      <c r="AV5293" s="7"/>
    </row>
    <row r="5294" spans="47:48" x14ac:dyDescent="0.25">
      <c r="AU5294" s="7"/>
      <c r="AV5294" s="7"/>
    </row>
    <row r="5295" spans="47:48" x14ac:dyDescent="0.25">
      <c r="AU5295" s="7"/>
      <c r="AV5295" s="7"/>
    </row>
    <row r="5296" spans="47:48" x14ac:dyDescent="0.25">
      <c r="AU5296" s="7"/>
      <c r="AV5296" s="7"/>
    </row>
    <row r="5297" spans="47:48" x14ac:dyDescent="0.25">
      <c r="AU5297" s="7"/>
      <c r="AV5297" s="7"/>
    </row>
    <row r="5298" spans="47:48" x14ac:dyDescent="0.25">
      <c r="AU5298" s="7"/>
      <c r="AV5298" s="7"/>
    </row>
    <row r="5299" spans="47:48" x14ac:dyDescent="0.25">
      <c r="AU5299" s="7"/>
      <c r="AV5299" s="7"/>
    </row>
    <row r="5300" spans="47:48" x14ac:dyDescent="0.25">
      <c r="AU5300" s="7"/>
      <c r="AV5300" s="7"/>
    </row>
    <row r="5301" spans="47:48" x14ac:dyDescent="0.25">
      <c r="AU5301" s="7"/>
      <c r="AV5301" s="7"/>
    </row>
    <row r="5302" spans="47:48" x14ac:dyDescent="0.25">
      <c r="AU5302" s="7"/>
      <c r="AV5302" s="7"/>
    </row>
    <row r="5303" spans="47:48" x14ac:dyDescent="0.25">
      <c r="AU5303" s="7"/>
      <c r="AV5303" s="7"/>
    </row>
    <row r="5304" spans="47:48" x14ac:dyDescent="0.25">
      <c r="AU5304" s="7"/>
      <c r="AV5304" s="7"/>
    </row>
    <row r="5305" spans="47:48" x14ac:dyDescent="0.25">
      <c r="AU5305" s="7"/>
      <c r="AV5305" s="7"/>
    </row>
    <row r="5306" spans="47:48" x14ac:dyDescent="0.25">
      <c r="AU5306" s="7"/>
      <c r="AV5306" s="7"/>
    </row>
    <row r="5307" spans="47:48" x14ac:dyDescent="0.25">
      <c r="AU5307" s="7"/>
      <c r="AV5307" s="7"/>
    </row>
    <row r="5308" spans="47:48" x14ac:dyDescent="0.25">
      <c r="AU5308" s="7"/>
      <c r="AV5308" s="7"/>
    </row>
    <row r="5309" spans="47:48" x14ac:dyDescent="0.25">
      <c r="AU5309" s="7"/>
      <c r="AV5309" s="7"/>
    </row>
    <row r="5310" spans="47:48" x14ac:dyDescent="0.25">
      <c r="AU5310" s="7"/>
      <c r="AV5310" s="7"/>
    </row>
    <row r="5311" spans="47:48" x14ac:dyDescent="0.25">
      <c r="AU5311" s="7"/>
      <c r="AV5311" s="7"/>
    </row>
    <row r="5312" spans="47:48" x14ac:dyDescent="0.25">
      <c r="AU5312" s="7"/>
      <c r="AV5312" s="7"/>
    </row>
    <row r="5313" spans="47:48" x14ac:dyDescent="0.25">
      <c r="AU5313" s="7"/>
      <c r="AV5313" s="7"/>
    </row>
    <row r="5314" spans="47:48" x14ac:dyDescent="0.25">
      <c r="AU5314" s="7"/>
      <c r="AV5314" s="7"/>
    </row>
    <row r="5315" spans="47:48" x14ac:dyDescent="0.25">
      <c r="AU5315" s="7"/>
      <c r="AV5315" s="7"/>
    </row>
    <row r="5316" spans="47:48" x14ac:dyDescent="0.25">
      <c r="AU5316" s="7"/>
      <c r="AV5316" s="7"/>
    </row>
    <row r="5317" spans="47:48" x14ac:dyDescent="0.25">
      <c r="AU5317" s="7"/>
      <c r="AV5317" s="7"/>
    </row>
    <row r="5318" spans="47:48" x14ac:dyDescent="0.25">
      <c r="AU5318" s="7"/>
      <c r="AV5318" s="7"/>
    </row>
    <row r="5319" spans="47:48" x14ac:dyDescent="0.25">
      <c r="AU5319" s="7"/>
      <c r="AV5319" s="7"/>
    </row>
    <row r="5320" spans="47:48" x14ac:dyDescent="0.25">
      <c r="AU5320" s="7"/>
      <c r="AV5320" s="7"/>
    </row>
    <row r="5321" spans="47:48" x14ac:dyDescent="0.25">
      <c r="AU5321" s="7"/>
      <c r="AV5321" s="7"/>
    </row>
    <row r="5322" spans="47:48" x14ac:dyDescent="0.25">
      <c r="AU5322" s="7"/>
      <c r="AV5322" s="7"/>
    </row>
    <row r="5323" spans="47:48" x14ac:dyDescent="0.25">
      <c r="AU5323" s="7"/>
      <c r="AV5323" s="7"/>
    </row>
    <row r="5324" spans="47:48" x14ac:dyDescent="0.25">
      <c r="AU5324" s="7"/>
      <c r="AV5324" s="7"/>
    </row>
    <row r="5325" spans="47:48" x14ac:dyDescent="0.25">
      <c r="AU5325" s="7"/>
      <c r="AV5325" s="7"/>
    </row>
    <row r="5326" spans="47:48" x14ac:dyDescent="0.25">
      <c r="AU5326" s="7"/>
      <c r="AV5326" s="7"/>
    </row>
    <row r="5327" spans="47:48" x14ac:dyDescent="0.25">
      <c r="AU5327" s="7"/>
      <c r="AV5327" s="7"/>
    </row>
    <row r="5328" spans="47:48" x14ac:dyDescent="0.25">
      <c r="AU5328" s="7"/>
      <c r="AV5328" s="7"/>
    </row>
    <row r="5329" spans="47:48" x14ac:dyDescent="0.25">
      <c r="AU5329" s="7"/>
      <c r="AV5329" s="7"/>
    </row>
    <row r="5330" spans="47:48" x14ac:dyDescent="0.25">
      <c r="AU5330" s="7"/>
      <c r="AV5330" s="7"/>
    </row>
    <row r="5331" spans="47:48" x14ac:dyDescent="0.25">
      <c r="AU5331" s="7"/>
      <c r="AV5331" s="7"/>
    </row>
    <row r="5332" spans="47:48" x14ac:dyDescent="0.25">
      <c r="AU5332" s="7"/>
      <c r="AV5332" s="7"/>
    </row>
    <row r="5333" spans="47:48" x14ac:dyDescent="0.25">
      <c r="AU5333" s="7"/>
      <c r="AV5333" s="7"/>
    </row>
    <row r="5334" spans="47:48" x14ac:dyDescent="0.25">
      <c r="AU5334" s="7"/>
      <c r="AV5334" s="7"/>
    </row>
    <row r="5335" spans="47:48" x14ac:dyDescent="0.25">
      <c r="AU5335" s="7"/>
      <c r="AV5335" s="7"/>
    </row>
    <row r="5336" spans="47:48" x14ac:dyDescent="0.25">
      <c r="AU5336" s="7"/>
      <c r="AV5336" s="7"/>
    </row>
    <row r="5337" spans="47:48" x14ac:dyDescent="0.25">
      <c r="AU5337" s="7"/>
      <c r="AV5337" s="7"/>
    </row>
    <row r="5338" spans="47:48" x14ac:dyDescent="0.25">
      <c r="AU5338" s="7"/>
      <c r="AV5338" s="7"/>
    </row>
    <row r="5339" spans="47:48" x14ac:dyDescent="0.25">
      <c r="AU5339" s="7"/>
      <c r="AV5339" s="7"/>
    </row>
    <row r="5340" spans="47:48" x14ac:dyDescent="0.25">
      <c r="AU5340" s="7"/>
      <c r="AV5340" s="7"/>
    </row>
    <row r="5341" spans="47:48" x14ac:dyDescent="0.25">
      <c r="AU5341" s="7"/>
      <c r="AV5341" s="7"/>
    </row>
    <row r="5342" spans="47:48" x14ac:dyDescent="0.25">
      <c r="AU5342" s="7"/>
      <c r="AV5342" s="7"/>
    </row>
    <row r="5343" spans="47:48" x14ac:dyDescent="0.25">
      <c r="AU5343" s="7"/>
      <c r="AV5343" s="7"/>
    </row>
    <row r="5344" spans="47:48" x14ac:dyDescent="0.25">
      <c r="AU5344" s="7"/>
      <c r="AV5344" s="7"/>
    </row>
    <row r="5345" spans="47:48" x14ac:dyDescent="0.25">
      <c r="AU5345" s="7"/>
      <c r="AV5345" s="7"/>
    </row>
    <row r="5346" spans="47:48" x14ac:dyDescent="0.25">
      <c r="AU5346" s="7"/>
      <c r="AV5346" s="7"/>
    </row>
    <row r="5347" spans="47:48" x14ac:dyDescent="0.25">
      <c r="AU5347" s="7"/>
      <c r="AV5347" s="7"/>
    </row>
    <row r="5348" spans="47:48" x14ac:dyDescent="0.25">
      <c r="AU5348" s="7"/>
      <c r="AV5348" s="7"/>
    </row>
    <row r="5349" spans="47:48" x14ac:dyDescent="0.25">
      <c r="AU5349" s="7"/>
      <c r="AV5349" s="7"/>
    </row>
    <row r="5350" spans="47:48" x14ac:dyDescent="0.25">
      <c r="AU5350" s="7"/>
      <c r="AV5350" s="7"/>
    </row>
    <row r="5351" spans="47:48" x14ac:dyDescent="0.25">
      <c r="AU5351" s="7"/>
      <c r="AV5351" s="7"/>
    </row>
    <row r="5352" spans="47:48" x14ac:dyDescent="0.25">
      <c r="AU5352" s="7"/>
      <c r="AV5352" s="7"/>
    </row>
    <row r="5353" spans="47:48" x14ac:dyDescent="0.25">
      <c r="AU5353" s="7"/>
      <c r="AV5353" s="7"/>
    </row>
    <row r="5354" spans="47:48" x14ac:dyDescent="0.25">
      <c r="AU5354" s="7"/>
      <c r="AV5354" s="7"/>
    </row>
    <row r="5355" spans="47:48" x14ac:dyDescent="0.25">
      <c r="AU5355" s="7"/>
      <c r="AV5355" s="7"/>
    </row>
    <row r="5356" spans="47:48" x14ac:dyDescent="0.25">
      <c r="AU5356" s="7"/>
      <c r="AV5356" s="7"/>
    </row>
    <row r="5357" spans="47:48" x14ac:dyDescent="0.25">
      <c r="AU5357" s="7"/>
      <c r="AV5357" s="7"/>
    </row>
    <row r="5358" spans="47:48" x14ac:dyDescent="0.25">
      <c r="AU5358" s="7"/>
      <c r="AV5358" s="7"/>
    </row>
    <row r="5359" spans="47:48" x14ac:dyDescent="0.25">
      <c r="AU5359" s="7"/>
      <c r="AV5359" s="7"/>
    </row>
    <row r="5360" spans="47:48" x14ac:dyDescent="0.25">
      <c r="AU5360" s="7"/>
      <c r="AV5360" s="7"/>
    </row>
    <row r="5361" spans="47:48" x14ac:dyDescent="0.25">
      <c r="AU5361" s="7"/>
      <c r="AV5361" s="7"/>
    </row>
    <row r="5362" spans="47:48" x14ac:dyDescent="0.25">
      <c r="AU5362" s="7"/>
      <c r="AV5362" s="7"/>
    </row>
    <row r="5363" spans="47:48" x14ac:dyDescent="0.25">
      <c r="AU5363" s="7"/>
      <c r="AV5363" s="7"/>
    </row>
    <row r="5364" spans="47:48" x14ac:dyDescent="0.25">
      <c r="AU5364" s="7"/>
      <c r="AV5364" s="7"/>
    </row>
    <row r="5365" spans="47:48" x14ac:dyDescent="0.25">
      <c r="AU5365" s="7"/>
      <c r="AV5365" s="7"/>
    </row>
    <row r="5366" spans="47:48" x14ac:dyDescent="0.25">
      <c r="AU5366" s="7"/>
      <c r="AV5366" s="7"/>
    </row>
    <row r="5367" spans="47:48" x14ac:dyDescent="0.25">
      <c r="AU5367" s="7"/>
      <c r="AV5367" s="7"/>
    </row>
    <row r="5368" spans="47:48" x14ac:dyDescent="0.25">
      <c r="AU5368" s="7"/>
      <c r="AV5368" s="7"/>
    </row>
    <row r="5369" spans="47:48" x14ac:dyDescent="0.25">
      <c r="AU5369" s="7"/>
      <c r="AV5369" s="7"/>
    </row>
    <row r="5370" spans="47:48" x14ac:dyDescent="0.25">
      <c r="AU5370" s="7"/>
      <c r="AV5370" s="7"/>
    </row>
    <row r="5371" spans="47:48" x14ac:dyDescent="0.25">
      <c r="AU5371" s="7"/>
      <c r="AV5371" s="7"/>
    </row>
    <row r="5372" spans="47:48" x14ac:dyDescent="0.25">
      <c r="AU5372" s="7"/>
      <c r="AV5372" s="7"/>
    </row>
    <row r="5373" spans="47:48" x14ac:dyDescent="0.25">
      <c r="AU5373" s="7"/>
      <c r="AV5373" s="7"/>
    </row>
    <row r="5374" spans="47:48" x14ac:dyDescent="0.25">
      <c r="AU5374" s="7"/>
      <c r="AV5374" s="7"/>
    </row>
    <row r="5375" spans="47:48" x14ac:dyDescent="0.25">
      <c r="AU5375" s="7"/>
      <c r="AV5375" s="7"/>
    </row>
    <row r="5376" spans="47:48" x14ac:dyDescent="0.25">
      <c r="AU5376" s="7"/>
      <c r="AV5376" s="7"/>
    </row>
    <row r="5377" spans="47:48" x14ac:dyDescent="0.25">
      <c r="AU5377" s="7"/>
      <c r="AV5377" s="7"/>
    </row>
    <row r="5378" spans="47:48" x14ac:dyDescent="0.25">
      <c r="AU5378" s="7"/>
      <c r="AV5378" s="7"/>
    </row>
    <row r="5379" spans="47:48" x14ac:dyDescent="0.25">
      <c r="AU5379" s="7"/>
      <c r="AV5379" s="7"/>
    </row>
    <row r="5380" spans="47:48" x14ac:dyDescent="0.25">
      <c r="AU5380" s="7"/>
      <c r="AV5380" s="7"/>
    </row>
    <row r="5381" spans="47:48" x14ac:dyDescent="0.25">
      <c r="AU5381" s="7"/>
      <c r="AV5381" s="7"/>
    </row>
    <row r="5382" spans="47:48" x14ac:dyDescent="0.25">
      <c r="AU5382" s="7"/>
      <c r="AV5382" s="7"/>
    </row>
    <row r="5383" spans="47:48" x14ac:dyDescent="0.25">
      <c r="AU5383" s="7"/>
      <c r="AV5383" s="7"/>
    </row>
    <row r="5384" spans="47:48" x14ac:dyDescent="0.25">
      <c r="AU5384" s="7"/>
      <c r="AV5384" s="7"/>
    </row>
    <row r="5385" spans="47:48" x14ac:dyDescent="0.25">
      <c r="AU5385" s="7"/>
      <c r="AV5385" s="7"/>
    </row>
    <row r="5386" spans="47:48" x14ac:dyDescent="0.25">
      <c r="AU5386" s="7"/>
      <c r="AV5386" s="7"/>
    </row>
    <row r="5387" spans="47:48" x14ac:dyDescent="0.25">
      <c r="AU5387" s="7"/>
      <c r="AV5387" s="7"/>
    </row>
    <row r="5388" spans="47:48" x14ac:dyDescent="0.25">
      <c r="AU5388" s="7"/>
      <c r="AV5388" s="7"/>
    </row>
    <row r="5389" spans="47:48" x14ac:dyDescent="0.25">
      <c r="AU5389" s="7"/>
      <c r="AV5389" s="7"/>
    </row>
    <row r="5390" spans="47:48" x14ac:dyDescent="0.25">
      <c r="AU5390" s="7"/>
      <c r="AV5390" s="7"/>
    </row>
    <row r="5391" spans="47:48" x14ac:dyDescent="0.25">
      <c r="AU5391" s="7"/>
      <c r="AV5391" s="7"/>
    </row>
    <row r="5392" spans="47:48" x14ac:dyDescent="0.25">
      <c r="AU5392" s="7"/>
      <c r="AV5392" s="7"/>
    </row>
    <row r="5393" spans="47:48" x14ac:dyDescent="0.25">
      <c r="AU5393" s="7"/>
      <c r="AV5393" s="7"/>
    </row>
    <row r="5394" spans="47:48" x14ac:dyDescent="0.25">
      <c r="AU5394" s="7"/>
      <c r="AV5394" s="7"/>
    </row>
    <row r="5395" spans="47:48" x14ac:dyDescent="0.25">
      <c r="AU5395" s="7"/>
      <c r="AV5395" s="7"/>
    </row>
    <row r="5396" spans="47:48" x14ac:dyDescent="0.25">
      <c r="AU5396" s="7"/>
      <c r="AV5396" s="7"/>
    </row>
    <row r="5397" spans="47:48" x14ac:dyDescent="0.25">
      <c r="AU5397" s="7"/>
      <c r="AV5397" s="7"/>
    </row>
    <row r="5398" spans="47:48" x14ac:dyDescent="0.25">
      <c r="AU5398" s="7"/>
      <c r="AV5398" s="7"/>
    </row>
    <row r="5399" spans="47:48" x14ac:dyDescent="0.25">
      <c r="AU5399" s="7"/>
      <c r="AV5399" s="7"/>
    </row>
    <row r="5400" spans="47:48" x14ac:dyDescent="0.25">
      <c r="AU5400" s="7"/>
      <c r="AV5400" s="7"/>
    </row>
    <row r="5401" spans="47:48" x14ac:dyDescent="0.25">
      <c r="AU5401" s="7"/>
      <c r="AV5401" s="7"/>
    </row>
    <row r="5402" spans="47:48" x14ac:dyDescent="0.25">
      <c r="AU5402" s="7"/>
      <c r="AV5402" s="7"/>
    </row>
    <row r="5403" spans="47:48" x14ac:dyDescent="0.25">
      <c r="AU5403" s="7"/>
      <c r="AV5403" s="7"/>
    </row>
    <row r="5404" spans="47:48" x14ac:dyDescent="0.25">
      <c r="AU5404" s="7"/>
      <c r="AV5404" s="7"/>
    </row>
    <row r="5405" spans="47:48" x14ac:dyDescent="0.25">
      <c r="AU5405" s="7"/>
      <c r="AV5405" s="7"/>
    </row>
    <row r="5406" spans="47:48" x14ac:dyDescent="0.25">
      <c r="AU5406" s="7"/>
      <c r="AV5406" s="7"/>
    </row>
    <row r="5407" spans="47:48" x14ac:dyDescent="0.25">
      <c r="AU5407" s="7"/>
      <c r="AV5407" s="7"/>
    </row>
    <row r="5408" spans="47:48" x14ac:dyDescent="0.25">
      <c r="AU5408" s="7"/>
      <c r="AV5408" s="7"/>
    </row>
    <row r="5409" spans="47:48" x14ac:dyDescent="0.25">
      <c r="AU5409" s="7"/>
      <c r="AV5409" s="7"/>
    </row>
    <row r="5410" spans="47:48" x14ac:dyDescent="0.25">
      <c r="AU5410" s="7"/>
      <c r="AV5410" s="7"/>
    </row>
    <row r="5411" spans="47:48" x14ac:dyDescent="0.25">
      <c r="AU5411" s="7"/>
      <c r="AV5411" s="7"/>
    </row>
    <row r="5412" spans="47:48" x14ac:dyDescent="0.25">
      <c r="AU5412" s="7"/>
      <c r="AV5412" s="7"/>
    </row>
    <row r="5413" spans="47:48" x14ac:dyDescent="0.25">
      <c r="AU5413" s="7"/>
      <c r="AV5413" s="7"/>
    </row>
    <row r="5414" spans="47:48" x14ac:dyDescent="0.25">
      <c r="AU5414" s="7"/>
      <c r="AV5414" s="7"/>
    </row>
    <row r="5415" spans="47:48" x14ac:dyDescent="0.25">
      <c r="AU5415" s="7"/>
      <c r="AV5415" s="7"/>
    </row>
    <row r="5416" spans="47:48" x14ac:dyDescent="0.25">
      <c r="AU5416" s="7"/>
      <c r="AV5416" s="7"/>
    </row>
    <row r="5417" spans="47:48" x14ac:dyDescent="0.25">
      <c r="AU5417" s="7"/>
      <c r="AV5417" s="7"/>
    </row>
    <row r="5418" spans="47:48" x14ac:dyDescent="0.25">
      <c r="AU5418" s="7"/>
      <c r="AV5418" s="7"/>
    </row>
    <row r="5419" spans="47:48" x14ac:dyDescent="0.25">
      <c r="AU5419" s="7"/>
      <c r="AV5419" s="7"/>
    </row>
    <row r="5420" spans="47:48" x14ac:dyDescent="0.25">
      <c r="AU5420" s="7"/>
      <c r="AV5420" s="7"/>
    </row>
    <row r="5421" spans="47:48" x14ac:dyDescent="0.25">
      <c r="AU5421" s="7"/>
      <c r="AV5421" s="7"/>
    </row>
    <row r="5422" spans="47:48" x14ac:dyDescent="0.25">
      <c r="AU5422" s="7"/>
      <c r="AV5422" s="7"/>
    </row>
    <row r="5423" spans="47:48" x14ac:dyDescent="0.25">
      <c r="AU5423" s="7"/>
      <c r="AV5423" s="7"/>
    </row>
    <row r="5424" spans="47:48" x14ac:dyDescent="0.25">
      <c r="AU5424" s="7"/>
      <c r="AV5424" s="7"/>
    </row>
    <row r="5425" spans="47:48" x14ac:dyDescent="0.25">
      <c r="AU5425" s="7"/>
      <c r="AV5425" s="7"/>
    </row>
    <row r="5426" spans="47:48" x14ac:dyDescent="0.25">
      <c r="AU5426" s="7"/>
      <c r="AV5426" s="7"/>
    </row>
    <row r="5427" spans="47:48" x14ac:dyDescent="0.25">
      <c r="AU5427" s="7"/>
      <c r="AV5427" s="7"/>
    </row>
    <row r="5428" spans="47:48" x14ac:dyDescent="0.25">
      <c r="AU5428" s="7"/>
      <c r="AV5428" s="7"/>
    </row>
    <row r="5429" spans="47:48" x14ac:dyDescent="0.25">
      <c r="AU5429" s="7"/>
      <c r="AV5429" s="7"/>
    </row>
    <row r="5430" spans="47:48" x14ac:dyDescent="0.25">
      <c r="AU5430" s="7"/>
      <c r="AV5430" s="7"/>
    </row>
    <row r="5431" spans="47:48" x14ac:dyDescent="0.25">
      <c r="AU5431" s="7"/>
      <c r="AV5431" s="7"/>
    </row>
    <row r="5432" spans="47:48" x14ac:dyDescent="0.25">
      <c r="AU5432" s="7"/>
      <c r="AV5432" s="7"/>
    </row>
    <row r="5433" spans="47:48" x14ac:dyDescent="0.25">
      <c r="AU5433" s="7"/>
      <c r="AV5433" s="7"/>
    </row>
    <row r="5434" spans="47:48" x14ac:dyDescent="0.25">
      <c r="AU5434" s="7"/>
      <c r="AV5434" s="7"/>
    </row>
    <row r="5435" spans="47:48" x14ac:dyDescent="0.25">
      <c r="AU5435" s="7"/>
      <c r="AV5435" s="7"/>
    </row>
    <row r="5436" spans="47:48" x14ac:dyDescent="0.25">
      <c r="AU5436" s="7"/>
      <c r="AV5436" s="7"/>
    </row>
    <row r="5437" spans="47:48" x14ac:dyDescent="0.25">
      <c r="AU5437" s="7"/>
      <c r="AV5437" s="7"/>
    </row>
    <row r="5438" spans="47:48" x14ac:dyDescent="0.25">
      <c r="AU5438" s="7"/>
      <c r="AV5438" s="7"/>
    </row>
    <row r="5439" spans="47:48" x14ac:dyDescent="0.25">
      <c r="AU5439" s="7"/>
      <c r="AV5439" s="7"/>
    </row>
    <row r="5440" spans="47:48" x14ac:dyDescent="0.25">
      <c r="AU5440" s="7"/>
      <c r="AV5440" s="7"/>
    </row>
    <row r="5441" spans="47:48" x14ac:dyDescent="0.25">
      <c r="AU5441" s="7"/>
      <c r="AV5441" s="7"/>
    </row>
    <row r="5442" spans="47:48" x14ac:dyDescent="0.25">
      <c r="AU5442" s="7"/>
      <c r="AV5442" s="7"/>
    </row>
    <row r="5443" spans="47:48" x14ac:dyDescent="0.25">
      <c r="AU5443" s="7"/>
      <c r="AV5443" s="7"/>
    </row>
    <row r="5444" spans="47:48" x14ac:dyDescent="0.25">
      <c r="AU5444" s="7"/>
      <c r="AV5444" s="7"/>
    </row>
    <row r="5445" spans="47:48" x14ac:dyDescent="0.25">
      <c r="AU5445" s="7"/>
      <c r="AV5445" s="7"/>
    </row>
    <row r="5446" spans="47:48" x14ac:dyDescent="0.25">
      <c r="AU5446" s="7"/>
      <c r="AV5446" s="7"/>
    </row>
    <row r="5447" spans="47:48" x14ac:dyDescent="0.25">
      <c r="AU5447" s="7"/>
      <c r="AV5447" s="7"/>
    </row>
    <row r="5448" spans="47:48" x14ac:dyDescent="0.25">
      <c r="AU5448" s="7"/>
      <c r="AV5448" s="7"/>
    </row>
    <row r="5449" spans="47:48" x14ac:dyDescent="0.25">
      <c r="AU5449" s="7"/>
      <c r="AV5449" s="7"/>
    </row>
    <row r="5450" spans="47:48" x14ac:dyDescent="0.25">
      <c r="AU5450" s="7"/>
      <c r="AV5450" s="7"/>
    </row>
    <row r="5451" spans="47:48" x14ac:dyDescent="0.25">
      <c r="AU5451" s="7"/>
      <c r="AV5451" s="7"/>
    </row>
    <row r="5452" spans="47:48" x14ac:dyDescent="0.25">
      <c r="AU5452" s="7"/>
      <c r="AV5452" s="7"/>
    </row>
    <row r="5453" spans="47:48" x14ac:dyDescent="0.25">
      <c r="AU5453" s="7"/>
      <c r="AV5453" s="7"/>
    </row>
    <row r="5454" spans="47:48" x14ac:dyDescent="0.25">
      <c r="AU5454" s="7"/>
      <c r="AV5454" s="7"/>
    </row>
    <row r="5455" spans="47:48" x14ac:dyDescent="0.25">
      <c r="AU5455" s="7"/>
      <c r="AV5455" s="7"/>
    </row>
    <row r="5456" spans="47:48" x14ac:dyDescent="0.25">
      <c r="AU5456" s="7"/>
      <c r="AV5456" s="7"/>
    </row>
    <row r="5457" spans="47:48" x14ac:dyDescent="0.25">
      <c r="AU5457" s="7"/>
      <c r="AV5457" s="7"/>
    </row>
    <row r="5458" spans="47:48" x14ac:dyDescent="0.25">
      <c r="AU5458" s="7"/>
      <c r="AV5458" s="7"/>
    </row>
    <row r="5459" spans="47:48" x14ac:dyDescent="0.25">
      <c r="AU5459" s="7"/>
      <c r="AV5459" s="7"/>
    </row>
    <row r="5460" spans="47:48" x14ac:dyDescent="0.25">
      <c r="AU5460" s="7"/>
      <c r="AV5460" s="7"/>
    </row>
    <row r="5461" spans="47:48" x14ac:dyDescent="0.25">
      <c r="AU5461" s="7"/>
      <c r="AV5461" s="7"/>
    </row>
    <row r="5462" spans="47:48" x14ac:dyDescent="0.25">
      <c r="AU5462" s="7"/>
      <c r="AV5462" s="7"/>
    </row>
    <row r="5463" spans="47:48" x14ac:dyDescent="0.25">
      <c r="AU5463" s="7"/>
      <c r="AV5463" s="7"/>
    </row>
    <row r="5464" spans="47:48" x14ac:dyDescent="0.25">
      <c r="AU5464" s="7"/>
      <c r="AV5464" s="7"/>
    </row>
    <row r="5465" spans="47:48" x14ac:dyDescent="0.25">
      <c r="AU5465" s="7"/>
      <c r="AV5465" s="7"/>
    </row>
    <row r="5466" spans="47:48" x14ac:dyDescent="0.25">
      <c r="AU5466" s="7"/>
      <c r="AV5466" s="7"/>
    </row>
    <row r="5467" spans="47:48" x14ac:dyDescent="0.25">
      <c r="AU5467" s="7"/>
      <c r="AV5467" s="7"/>
    </row>
    <row r="5468" spans="47:48" x14ac:dyDescent="0.25">
      <c r="AU5468" s="7"/>
      <c r="AV5468" s="7"/>
    </row>
    <row r="5469" spans="47:48" x14ac:dyDescent="0.25">
      <c r="AU5469" s="7"/>
      <c r="AV5469" s="7"/>
    </row>
    <row r="5470" spans="47:48" x14ac:dyDescent="0.25">
      <c r="AU5470" s="7"/>
      <c r="AV5470" s="7"/>
    </row>
    <row r="5471" spans="47:48" x14ac:dyDescent="0.25">
      <c r="AU5471" s="7"/>
      <c r="AV5471" s="7"/>
    </row>
    <row r="5472" spans="47:48" x14ac:dyDescent="0.25">
      <c r="AU5472" s="7"/>
      <c r="AV5472" s="7"/>
    </row>
    <row r="5473" spans="47:48" x14ac:dyDescent="0.25">
      <c r="AU5473" s="7"/>
      <c r="AV5473" s="7"/>
    </row>
    <row r="5474" spans="47:48" x14ac:dyDescent="0.25">
      <c r="AU5474" s="7"/>
      <c r="AV5474" s="7"/>
    </row>
    <row r="5475" spans="47:48" x14ac:dyDescent="0.25">
      <c r="AU5475" s="7"/>
      <c r="AV5475" s="7"/>
    </row>
    <row r="5476" spans="47:48" x14ac:dyDescent="0.25">
      <c r="AU5476" s="7"/>
      <c r="AV5476" s="7"/>
    </row>
    <row r="5477" spans="47:48" x14ac:dyDescent="0.25">
      <c r="AU5477" s="7"/>
      <c r="AV5477" s="7"/>
    </row>
    <row r="5478" spans="47:48" x14ac:dyDescent="0.25">
      <c r="AU5478" s="7"/>
      <c r="AV5478" s="7"/>
    </row>
    <row r="5479" spans="47:48" x14ac:dyDescent="0.25">
      <c r="AU5479" s="7"/>
      <c r="AV5479" s="7"/>
    </row>
    <row r="5480" spans="47:48" x14ac:dyDescent="0.25">
      <c r="AU5480" s="7"/>
      <c r="AV5480" s="7"/>
    </row>
    <row r="5481" spans="47:48" x14ac:dyDescent="0.25">
      <c r="AU5481" s="7"/>
      <c r="AV5481" s="7"/>
    </row>
    <row r="5482" spans="47:48" x14ac:dyDescent="0.25">
      <c r="AU5482" s="7"/>
      <c r="AV5482" s="7"/>
    </row>
    <row r="5483" spans="47:48" x14ac:dyDescent="0.25">
      <c r="AU5483" s="7"/>
      <c r="AV5483" s="7"/>
    </row>
    <row r="5484" spans="47:48" x14ac:dyDescent="0.25">
      <c r="AU5484" s="7"/>
      <c r="AV5484" s="7"/>
    </row>
    <row r="5485" spans="47:48" x14ac:dyDescent="0.25">
      <c r="AU5485" s="7"/>
      <c r="AV5485" s="7"/>
    </row>
    <row r="5486" spans="47:48" x14ac:dyDescent="0.25">
      <c r="AU5486" s="7"/>
      <c r="AV5486" s="7"/>
    </row>
    <row r="5487" spans="47:48" x14ac:dyDescent="0.25">
      <c r="AU5487" s="7"/>
      <c r="AV5487" s="7"/>
    </row>
    <row r="5488" spans="47:48" x14ac:dyDescent="0.25">
      <c r="AU5488" s="7"/>
      <c r="AV5488" s="7"/>
    </row>
    <row r="5489" spans="47:48" x14ac:dyDescent="0.25">
      <c r="AU5489" s="7"/>
      <c r="AV5489" s="7"/>
    </row>
    <row r="5490" spans="47:48" x14ac:dyDescent="0.25">
      <c r="AU5490" s="7"/>
      <c r="AV5490" s="7"/>
    </row>
    <row r="5491" spans="47:48" x14ac:dyDescent="0.25">
      <c r="AU5491" s="7"/>
      <c r="AV5491" s="7"/>
    </row>
    <row r="5492" spans="47:48" x14ac:dyDescent="0.25">
      <c r="AU5492" s="7"/>
      <c r="AV5492" s="7"/>
    </row>
    <row r="5493" spans="47:48" x14ac:dyDescent="0.25">
      <c r="AU5493" s="7"/>
      <c r="AV5493" s="7"/>
    </row>
    <row r="5494" spans="47:48" x14ac:dyDescent="0.25">
      <c r="AU5494" s="7"/>
      <c r="AV5494" s="7"/>
    </row>
    <row r="5495" spans="47:48" x14ac:dyDescent="0.25">
      <c r="AU5495" s="7"/>
      <c r="AV5495" s="7"/>
    </row>
    <row r="5496" spans="47:48" x14ac:dyDescent="0.25">
      <c r="AU5496" s="7"/>
      <c r="AV5496" s="7"/>
    </row>
    <row r="5497" spans="47:48" x14ac:dyDescent="0.25">
      <c r="AU5497" s="7"/>
      <c r="AV5497" s="7"/>
    </row>
    <row r="5498" spans="47:48" x14ac:dyDescent="0.25">
      <c r="AU5498" s="7"/>
      <c r="AV5498" s="7"/>
    </row>
    <row r="5499" spans="47:48" x14ac:dyDescent="0.25">
      <c r="AU5499" s="7"/>
      <c r="AV5499" s="7"/>
    </row>
    <row r="5500" spans="47:48" x14ac:dyDescent="0.25">
      <c r="AU5500" s="7"/>
      <c r="AV5500" s="7"/>
    </row>
    <row r="5501" spans="47:48" x14ac:dyDescent="0.25">
      <c r="AU5501" s="7"/>
      <c r="AV5501" s="7"/>
    </row>
    <row r="5502" spans="47:48" x14ac:dyDescent="0.25">
      <c r="AU5502" s="7"/>
      <c r="AV5502" s="7"/>
    </row>
    <row r="5503" spans="47:48" x14ac:dyDescent="0.25">
      <c r="AU5503" s="7"/>
      <c r="AV5503" s="7"/>
    </row>
    <row r="5504" spans="47:48" x14ac:dyDescent="0.25">
      <c r="AU5504" s="7"/>
      <c r="AV5504" s="7"/>
    </row>
    <row r="5505" spans="47:48" x14ac:dyDescent="0.25">
      <c r="AU5505" s="7"/>
      <c r="AV5505" s="7"/>
    </row>
    <row r="5506" spans="47:48" x14ac:dyDescent="0.25">
      <c r="AU5506" s="7"/>
      <c r="AV5506" s="7"/>
    </row>
    <row r="5507" spans="47:48" x14ac:dyDescent="0.25">
      <c r="AU5507" s="7"/>
      <c r="AV5507" s="7"/>
    </row>
    <row r="5508" spans="47:48" x14ac:dyDescent="0.25">
      <c r="AU5508" s="7"/>
      <c r="AV5508" s="7"/>
    </row>
    <row r="5509" spans="47:48" x14ac:dyDescent="0.25">
      <c r="AU5509" s="7"/>
      <c r="AV5509" s="7"/>
    </row>
    <row r="5510" spans="47:48" x14ac:dyDescent="0.25">
      <c r="AU5510" s="7"/>
      <c r="AV5510" s="7"/>
    </row>
    <row r="5511" spans="47:48" x14ac:dyDescent="0.25">
      <c r="AU5511" s="7"/>
      <c r="AV5511" s="7"/>
    </row>
    <row r="5512" spans="47:48" x14ac:dyDescent="0.25">
      <c r="AU5512" s="7"/>
      <c r="AV5512" s="7"/>
    </row>
    <row r="5513" spans="47:48" x14ac:dyDescent="0.25">
      <c r="AU5513" s="7"/>
      <c r="AV5513" s="7"/>
    </row>
    <row r="5514" spans="47:48" x14ac:dyDescent="0.25">
      <c r="AU5514" s="7"/>
      <c r="AV5514" s="7"/>
    </row>
    <row r="5515" spans="47:48" x14ac:dyDescent="0.25">
      <c r="AU5515" s="7"/>
      <c r="AV5515" s="7"/>
    </row>
    <row r="5516" spans="47:48" x14ac:dyDescent="0.25">
      <c r="AU5516" s="7"/>
      <c r="AV5516" s="7"/>
    </row>
    <row r="5517" spans="47:48" x14ac:dyDescent="0.25">
      <c r="AU5517" s="7"/>
      <c r="AV5517" s="7"/>
    </row>
    <row r="5518" spans="47:48" x14ac:dyDescent="0.25">
      <c r="AU5518" s="7"/>
      <c r="AV5518" s="7"/>
    </row>
    <row r="5519" spans="47:48" x14ac:dyDescent="0.25">
      <c r="AU5519" s="7"/>
      <c r="AV5519" s="7"/>
    </row>
    <row r="5520" spans="47:48" x14ac:dyDescent="0.25">
      <c r="AU5520" s="7"/>
      <c r="AV5520" s="7"/>
    </row>
    <row r="5521" spans="47:48" x14ac:dyDescent="0.25">
      <c r="AU5521" s="7"/>
      <c r="AV5521" s="7"/>
    </row>
    <row r="5522" spans="47:48" x14ac:dyDescent="0.25">
      <c r="AU5522" s="7"/>
      <c r="AV5522" s="7"/>
    </row>
    <row r="5523" spans="47:48" x14ac:dyDescent="0.25">
      <c r="AU5523" s="7"/>
      <c r="AV5523" s="7"/>
    </row>
    <row r="5524" spans="47:48" x14ac:dyDescent="0.25">
      <c r="AU5524" s="7"/>
      <c r="AV5524" s="7"/>
    </row>
    <row r="5525" spans="47:48" x14ac:dyDescent="0.25">
      <c r="AU5525" s="7"/>
      <c r="AV5525" s="7"/>
    </row>
    <row r="5526" spans="47:48" x14ac:dyDescent="0.25">
      <c r="AU5526" s="7"/>
      <c r="AV5526" s="7"/>
    </row>
    <row r="5527" spans="47:48" x14ac:dyDescent="0.25">
      <c r="AU5527" s="7"/>
      <c r="AV5527" s="7"/>
    </row>
    <row r="5528" spans="47:48" x14ac:dyDescent="0.25">
      <c r="AU5528" s="7"/>
      <c r="AV5528" s="7"/>
    </row>
    <row r="5529" spans="47:48" x14ac:dyDescent="0.25">
      <c r="AU5529" s="7"/>
      <c r="AV5529" s="7"/>
    </row>
    <row r="5530" spans="47:48" x14ac:dyDescent="0.25">
      <c r="AU5530" s="7"/>
      <c r="AV5530" s="7"/>
    </row>
    <row r="5531" spans="47:48" x14ac:dyDescent="0.25">
      <c r="AU5531" s="7"/>
      <c r="AV5531" s="7"/>
    </row>
    <row r="5532" spans="47:48" x14ac:dyDescent="0.25">
      <c r="AU5532" s="7"/>
      <c r="AV5532" s="7"/>
    </row>
    <row r="5533" spans="47:48" x14ac:dyDescent="0.25">
      <c r="AU5533" s="7"/>
      <c r="AV5533" s="7"/>
    </row>
    <row r="5534" spans="47:48" x14ac:dyDescent="0.25">
      <c r="AU5534" s="7"/>
      <c r="AV5534" s="7"/>
    </row>
    <row r="5535" spans="47:48" x14ac:dyDescent="0.25">
      <c r="AU5535" s="7"/>
      <c r="AV5535" s="7"/>
    </row>
    <row r="5536" spans="47:48" x14ac:dyDescent="0.25">
      <c r="AU5536" s="7"/>
      <c r="AV5536" s="7"/>
    </row>
    <row r="5537" spans="47:48" x14ac:dyDescent="0.25">
      <c r="AU5537" s="7"/>
      <c r="AV5537" s="7"/>
    </row>
    <row r="5538" spans="47:48" x14ac:dyDescent="0.25">
      <c r="AU5538" s="7"/>
      <c r="AV5538" s="7"/>
    </row>
    <row r="5539" spans="47:48" x14ac:dyDescent="0.25">
      <c r="AU5539" s="7"/>
      <c r="AV5539" s="7"/>
    </row>
    <row r="5540" spans="47:48" x14ac:dyDescent="0.25">
      <c r="AU5540" s="7"/>
      <c r="AV5540" s="7"/>
    </row>
    <row r="5541" spans="47:48" x14ac:dyDescent="0.25">
      <c r="AU5541" s="7"/>
      <c r="AV5541" s="7"/>
    </row>
    <row r="5542" spans="47:48" x14ac:dyDescent="0.25">
      <c r="AU5542" s="7"/>
      <c r="AV5542" s="7"/>
    </row>
    <row r="5543" spans="47:48" x14ac:dyDescent="0.25">
      <c r="AU5543" s="7"/>
      <c r="AV5543" s="7"/>
    </row>
    <row r="5544" spans="47:48" x14ac:dyDescent="0.25">
      <c r="AU5544" s="7"/>
      <c r="AV5544" s="7"/>
    </row>
    <row r="5545" spans="47:48" x14ac:dyDescent="0.25">
      <c r="AU5545" s="7"/>
      <c r="AV5545" s="7"/>
    </row>
    <row r="5546" spans="47:48" x14ac:dyDescent="0.25">
      <c r="AU5546" s="7"/>
      <c r="AV5546" s="7"/>
    </row>
    <row r="5547" spans="47:48" x14ac:dyDescent="0.25">
      <c r="AU5547" s="7"/>
      <c r="AV5547" s="7"/>
    </row>
    <row r="5548" spans="47:48" x14ac:dyDescent="0.25">
      <c r="AU5548" s="7"/>
      <c r="AV5548" s="7"/>
    </row>
    <row r="5549" spans="47:48" x14ac:dyDescent="0.25">
      <c r="AU5549" s="7"/>
      <c r="AV5549" s="7"/>
    </row>
    <row r="5550" spans="47:48" x14ac:dyDescent="0.25">
      <c r="AU5550" s="7"/>
      <c r="AV5550" s="7"/>
    </row>
    <row r="5551" spans="47:48" x14ac:dyDescent="0.25">
      <c r="AU5551" s="7"/>
      <c r="AV5551" s="7"/>
    </row>
    <row r="5552" spans="47:48" x14ac:dyDescent="0.25">
      <c r="AU5552" s="7"/>
      <c r="AV5552" s="7"/>
    </row>
    <row r="5553" spans="47:48" x14ac:dyDescent="0.25">
      <c r="AU5553" s="7"/>
      <c r="AV5553" s="7"/>
    </row>
    <row r="5554" spans="47:48" x14ac:dyDescent="0.25">
      <c r="AU5554" s="7"/>
      <c r="AV5554" s="7"/>
    </row>
    <row r="5555" spans="47:48" x14ac:dyDescent="0.25">
      <c r="AU5555" s="7"/>
      <c r="AV5555" s="7"/>
    </row>
    <row r="5556" spans="47:48" x14ac:dyDescent="0.25">
      <c r="AU5556" s="7"/>
      <c r="AV5556" s="7"/>
    </row>
    <row r="5557" spans="47:48" x14ac:dyDescent="0.25">
      <c r="AU5557" s="7"/>
      <c r="AV5557" s="7"/>
    </row>
    <row r="5558" spans="47:48" x14ac:dyDescent="0.25">
      <c r="AU5558" s="7"/>
      <c r="AV5558" s="7"/>
    </row>
    <row r="5559" spans="47:48" x14ac:dyDescent="0.25">
      <c r="AU5559" s="7"/>
      <c r="AV5559" s="7"/>
    </row>
    <row r="5560" spans="47:48" x14ac:dyDescent="0.25">
      <c r="AU5560" s="7"/>
      <c r="AV5560" s="7"/>
    </row>
    <row r="5561" spans="47:48" x14ac:dyDescent="0.25">
      <c r="AU5561" s="7"/>
      <c r="AV5561" s="7"/>
    </row>
    <row r="5562" spans="47:48" x14ac:dyDescent="0.25">
      <c r="AU5562" s="7"/>
      <c r="AV5562" s="7"/>
    </row>
    <row r="5563" spans="47:48" x14ac:dyDescent="0.25">
      <c r="AU5563" s="7"/>
      <c r="AV5563" s="7"/>
    </row>
    <row r="5564" spans="47:48" x14ac:dyDescent="0.25">
      <c r="AU5564" s="7"/>
      <c r="AV5564" s="7"/>
    </row>
    <row r="5565" spans="47:48" x14ac:dyDescent="0.25">
      <c r="AU5565" s="7"/>
      <c r="AV5565" s="7"/>
    </row>
    <row r="5566" spans="47:48" x14ac:dyDescent="0.25">
      <c r="AU5566" s="7"/>
      <c r="AV5566" s="7"/>
    </row>
    <row r="5567" spans="47:48" x14ac:dyDescent="0.25">
      <c r="AU5567" s="7"/>
      <c r="AV5567" s="7"/>
    </row>
    <row r="5568" spans="47:48" x14ac:dyDescent="0.25">
      <c r="AU5568" s="7"/>
      <c r="AV5568" s="7"/>
    </row>
    <row r="5569" spans="47:48" x14ac:dyDescent="0.25">
      <c r="AU5569" s="7"/>
      <c r="AV5569" s="7"/>
    </row>
    <row r="5570" spans="47:48" x14ac:dyDescent="0.25">
      <c r="AU5570" s="7"/>
      <c r="AV5570" s="7"/>
    </row>
    <row r="5571" spans="47:48" x14ac:dyDescent="0.25">
      <c r="AU5571" s="7"/>
      <c r="AV5571" s="7"/>
    </row>
    <row r="5572" spans="47:48" x14ac:dyDescent="0.25">
      <c r="AU5572" s="7"/>
      <c r="AV5572" s="7"/>
    </row>
    <row r="5573" spans="47:48" x14ac:dyDescent="0.25">
      <c r="AU5573" s="7"/>
      <c r="AV5573" s="7"/>
    </row>
    <row r="5574" spans="47:48" x14ac:dyDescent="0.25">
      <c r="AU5574" s="7"/>
      <c r="AV5574" s="7"/>
    </row>
    <row r="5575" spans="47:48" x14ac:dyDescent="0.25">
      <c r="AU5575" s="7"/>
      <c r="AV5575" s="7"/>
    </row>
    <row r="5576" spans="47:48" x14ac:dyDescent="0.25">
      <c r="AU5576" s="7"/>
      <c r="AV5576" s="7"/>
    </row>
    <row r="5577" spans="47:48" x14ac:dyDescent="0.25">
      <c r="AU5577" s="7"/>
      <c r="AV5577" s="7"/>
    </row>
    <row r="5578" spans="47:48" x14ac:dyDescent="0.25">
      <c r="AU5578" s="7"/>
      <c r="AV5578" s="7"/>
    </row>
    <row r="5579" spans="47:48" x14ac:dyDescent="0.25">
      <c r="AU5579" s="7"/>
      <c r="AV5579" s="7"/>
    </row>
    <row r="5580" spans="47:48" x14ac:dyDescent="0.25">
      <c r="AU5580" s="7"/>
      <c r="AV5580" s="7"/>
    </row>
    <row r="5581" spans="47:48" x14ac:dyDescent="0.25">
      <c r="AU5581" s="7"/>
      <c r="AV5581" s="7"/>
    </row>
    <row r="5582" spans="47:48" x14ac:dyDescent="0.25">
      <c r="AU5582" s="7"/>
      <c r="AV5582" s="7"/>
    </row>
    <row r="5583" spans="47:48" x14ac:dyDescent="0.25">
      <c r="AU5583" s="7"/>
      <c r="AV5583" s="7"/>
    </row>
    <row r="5584" spans="47:48" x14ac:dyDescent="0.25">
      <c r="AU5584" s="7"/>
      <c r="AV5584" s="7"/>
    </row>
    <row r="5585" spans="47:48" x14ac:dyDescent="0.25">
      <c r="AU5585" s="7"/>
      <c r="AV5585" s="7"/>
    </row>
    <row r="5586" spans="47:48" x14ac:dyDescent="0.25">
      <c r="AU5586" s="7"/>
      <c r="AV5586" s="7"/>
    </row>
    <row r="5587" spans="47:48" x14ac:dyDescent="0.25">
      <c r="AU5587" s="7"/>
      <c r="AV5587" s="7"/>
    </row>
    <row r="5588" spans="47:48" x14ac:dyDescent="0.25">
      <c r="AU5588" s="7"/>
      <c r="AV5588" s="7"/>
    </row>
    <row r="5589" spans="47:48" x14ac:dyDescent="0.25">
      <c r="AU5589" s="7"/>
      <c r="AV5589" s="7"/>
    </row>
    <row r="5590" spans="47:48" x14ac:dyDescent="0.25">
      <c r="AU5590" s="7"/>
      <c r="AV5590" s="7"/>
    </row>
    <row r="5591" spans="47:48" x14ac:dyDescent="0.25">
      <c r="AU5591" s="7"/>
      <c r="AV5591" s="7"/>
    </row>
    <row r="5592" spans="47:48" x14ac:dyDescent="0.25">
      <c r="AU5592" s="7"/>
      <c r="AV5592" s="7"/>
    </row>
    <row r="5593" spans="47:48" x14ac:dyDescent="0.25">
      <c r="AU5593" s="7"/>
      <c r="AV5593" s="7"/>
    </row>
    <row r="5594" spans="47:48" x14ac:dyDescent="0.25">
      <c r="AU5594" s="7"/>
      <c r="AV5594" s="7"/>
    </row>
    <row r="5595" spans="47:48" x14ac:dyDescent="0.25">
      <c r="AU5595" s="7"/>
      <c r="AV5595" s="7"/>
    </row>
    <row r="5596" spans="47:48" x14ac:dyDescent="0.25">
      <c r="AU5596" s="7"/>
      <c r="AV5596" s="7"/>
    </row>
    <row r="5597" spans="47:48" x14ac:dyDescent="0.25">
      <c r="AU5597" s="7"/>
      <c r="AV5597" s="7"/>
    </row>
    <row r="5598" spans="47:48" x14ac:dyDescent="0.25">
      <c r="AU5598" s="7"/>
      <c r="AV5598" s="7"/>
    </row>
    <row r="5599" spans="47:48" x14ac:dyDescent="0.25">
      <c r="AU5599" s="7"/>
      <c r="AV5599" s="7"/>
    </row>
    <row r="5600" spans="47:48" x14ac:dyDescent="0.25">
      <c r="AU5600" s="7"/>
      <c r="AV5600" s="7"/>
    </row>
    <row r="5601" spans="47:48" x14ac:dyDescent="0.25">
      <c r="AU5601" s="7"/>
      <c r="AV5601" s="7"/>
    </row>
    <row r="5602" spans="47:48" x14ac:dyDescent="0.25">
      <c r="AU5602" s="7"/>
      <c r="AV5602" s="7"/>
    </row>
    <row r="5603" spans="47:48" x14ac:dyDescent="0.25">
      <c r="AU5603" s="7"/>
      <c r="AV5603" s="7"/>
    </row>
    <row r="5604" spans="47:48" x14ac:dyDescent="0.25">
      <c r="AU5604" s="7"/>
      <c r="AV5604" s="7"/>
    </row>
    <row r="5605" spans="47:48" x14ac:dyDescent="0.25">
      <c r="AU5605" s="7"/>
      <c r="AV5605" s="7"/>
    </row>
    <row r="5606" spans="47:48" x14ac:dyDescent="0.25">
      <c r="AU5606" s="7"/>
      <c r="AV5606" s="7"/>
    </row>
    <row r="5607" spans="47:48" x14ac:dyDescent="0.25">
      <c r="AU5607" s="7"/>
      <c r="AV5607" s="7"/>
    </row>
    <row r="5608" spans="47:48" x14ac:dyDescent="0.25">
      <c r="AU5608" s="7"/>
      <c r="AV5608" s="7"/>
    </row>
    <row r="5609" spans="47:48" x14ac:dyDescent="0.25">
      <c r="AU5609" s="7"/>
      <c r="AV5609" s="7"/>
    </row>
    <row r="5610" spans="47:48" x14ac:dyDescent="0.25">
      <c r="AU5610" s="7"/>
      <c r="AV5610" s="7"/>
    </row>
    <row r="5611" spans="47:48" x14ac:dyDescent="0.25">
      <c r="AU5611" s="7"/>
      <c r="AV5611" s="7"/>
    </row>
    <row r="5612" spans="47:48" x14ac:dyDescent="0.25">
      <c r="AU5612" s="7"/>
      <c r="AV5612" s="7"/>
    </row>
    <row r="5613" spans="47:48" x14ac:dyDescent="0.25">
      <c r="AU5613" s="7"/>
      <c r="AV5613" s="7"/>
    </row>
    <row r="5614" spans="47:48" x14ac:dyDescent="0.25">
      <c r="AU5614" s="7"/>
      <c r="AV5614" s="7"/>
    </row>
    <row r="5615" spans="47:48" x14ac:dyDescent="0.25">
      <c r="AU5615" s="7"/>
      <c r="AV5615" s="7"/>
    </row>
    <row r="5616" spans="47:48" x14ac:dyDescent="0.25">
      <c r="AU5616" s="7"/>
      <c r="AV5616" s="7"/>
    </row>
    <row r="5617" spans="47:48" x14ac:dyDescent="0.25">
      <c r="AU5617" s="7"/>
      <c r="AV5617" s="7"/>
    </row>
    <row r="5618" spans="47:48" x14ac:dyDescent="0.25">
      <c r="AU5618" s="7"/>
      <c r="AV5618" s="7"/>
    </row>
    <row r="5619" spans="47:48" x14ac:dyDescent="0.25">
      <c r="AU5619" s="7"/>
      <c r="AV5619" s="7"/>
    </row>
    <row r="5620" spans="47:48" x14ac:dyDescent="0.25">
      <c r="AU5620" s="7"/>
      <c r="AV5620" s="7"/>
    </row>
    <row r="5621" spans="47:48" x14ac:dyDescent="0.25">
      <c r="AU5621" s="7"/>
      <c r="AV5621" s="7"/>
    </row>
    <row r="5622" spans="47:48" x14ac:dyDescent="0.25">
      <c r="AU5622" s="7"/>
      <c r="AV5622" s="7"/>
    </row>
    <row r="5623" spans="47:48" x14ac:dyDescent="0.25">
      <c r="AU5623" s="7"/>
      <c r="AV5623" s="7"/>
    </row>
    <row r="5624" spans="47:48" x14ac:dyDescent="0.25">
      <c r="AU5624" s="7"/>
      <c r="AV5624" s="7"/>
    </row>
    <row r="5625" spans="47:48" x14ac:dyDescent="0.25">
      <c r="AU5625" s="7"/>
      <c r="AV5625" s="7"/>
    </row>
    <row r="5626" spans="47:48" x14ac:dyDescent="0.25">
      <c r="AU5626" s="7"/>
      <c r="AV5626" s="7"/>
    </row>
    <row r="5627" spans="47:48" x14ac:dyDescent="0.25">
      <c r="AU5627" s="7"/>
      <c r="AV5627" s="7"/>
    </row>
    <row r="5628" spans="47:48" x14ac:dyDescent="0.25">
      <c r="AU5628" s="7"/>
      <c r="AV5628" s="7"/>
    </row>
    <row r="5629" spans="47:48" x14ac:dyDescent="0.25">
      <c r="AU5629" s="7"/>
      <c r="AV5629" s="7"/>
    </row>
    <row r="5630" spans="47:48" x14ac:dyDescent="0.25">
      <c r="AU5630" s="7"/>
      <c r="AV5630" s="7"/>
    </row>
    <row r="5631" spans="47:48" x14ac:dyDescent="0.25">
      <c r="AU5631" s="7"/>
      <c r="AV5631" s="7"/>
    </row>
    <row r="5632" spans="47:48" x14ac:dyDescent="0.25">
      <c r="AU5632" s="7"/>
      <c r="AV5632" s="7"/>
    </row>
    <row r="5633" spans="47:48" x14ac:dyDescent="0.25">
      <c r="AU5633" s="7"/>
      <c r="AV5633" s="7"/>
    </row>
    <row r="5634" spans="47:48" x14ac:dyDescent="0.25">
      <c r="AU5634" s="7"/>
      <c r="AV5634" s="7"/>
    </row>
    <row r="5635" spans="47:48" x14ac:dyDescent="0.25">
      <c r="AU5635" s="7"/>
      <c r="AV5635" s="7"/>
    </row>
    <row r="5636" spans="47:48" x14ac:dyDescent="0.25">
      <c r="AU5636" s="7"/>
      <c r="AV5636" s="7"/>
    </row>
    <row r="5637" spans="47:48" x14ac:dyDescent="0.25">
      <c r="AU5637" s="7"/>
      <c r="AV5637" s="7"/>
    </row>
    <row r="5638" spans="47:48" x14ac:dyDescent="0.25">
      <c r="AU5638" s="7"/>
      <c r="AV5638" s="7"/>
    </row>
    <row r="5639" spans="47:48" x14ac:dyDescent="0.25">
      <c r="AU5639" s="7"/>
      <c r="AV5639" s="7"/>
    </row>
    <row r="5640" spans="47:48" x14ac:dyDescent="0.25">
      <c r="AU5640" s="7"/>
      <c r="AV5640" s="7"/>
    </row>
    <row r="5641" spans="47:48" x14ac:dyDescent="0.25">
      <c r="AU5641" s="7"/>
      <c r="AV5641" s="7"/>
    </row>
    <row r="5642" spans="47:48" x14ac:dyDescent="0.25">
      <c r="AU5642" s="7"/>
      <c r="AV5642" s="7"/>
    </row>
    <row r="5643" spans="47:48" x14ac:dyDescent="0.25">
      <c r="AU5643" s="7"/>
      <c r="AV5643" s="7"/>
    </row>
    <row r="5644" spans="47:48" x14ac:dyDescent="0.25">
      <c r="AU5644" s="7"/>
      <c r="AV5644" s="7"/>
    </row>
    <row r="5645" spans="47:48" x14ac:dyDescent="0.25">
      <c r="AU5645" s="7"/>
      <c r="AV5645" s="7"/>
    </row>
    <row r="5646" spans="47:48" x14ac:dyDescent="0.25">
      <c r="AU5646" s="7"/>
      <c r="AV5646" s="7"/>
    </row>
    <row r="5647" spans="47:48" x14ac:dyDescent="0.25">
      <c r="AU5647" s="7"/>
      <c r="AV5647" s="7"/>
    </row>
    <row r="5648" spans="47:48" x14ac:dyDescent="0.25">
      <c r="AU5648" s="7"/>
      <c r="AV5648" s="7"/>
    </row>
    <row r="5649" spans="47:48" x14ac:dyDescent="0.25">
      <c r="AU5649" s="7"/>
      <c r="AV5649" s="7"/>
    </row>
    <row r="5650" spans="47:48" x14ac:dyDescent="0.25">
      <c r="AU5650" s="7"/>
      <c r="AV5650" s="7"/>
    </row>
    <row r="5651" spans="47:48" x14ac:dyDescent="0.25">
      <c r="AU5651" s="7"/>
      <c r="AV5651" s="7"/>
    </row>
    <row r="5652" spans="47:48" x14ac:dyDescent="0.25">
      <c r="AU5652" s="7"/>
      <c r="AV5652" s="7"/>
    </row>
    <row r="5653" spans="47:48" x14ac:dyDescent="0.25">
      <c r="AU5653" s="7"/>
      <c r="AV5653" s="7"/>
    </row>
    <row r="5654" spans="47:48" x14ac:dyDescent="0.25">
      <c r="AU5654" s="7"/>
      <c r="AV5654" s="7"/>
    </row>
    <row r="5655" spans="47:48" x14ac:dyDescent="0.25">
      <c r="AU5655" s="7"/>
      <c r="AV5655" s="7"/>
    </row>
    <row r="5656" spans="47:48" x14ac:dyDescent="0.25">
      <c r="AU5656" s="7"/>
      <c r="AV5656" s="7"/>
    </row>
    <row r="5657" spans="47:48" x14ac:dyDescent="0.25">
      <c r="AU5657" s="7"/>
      <c r="AV5657" s="7"/>
    </row>
    <row r="5658" spans="47:48" x14ac:dyDescent="0.25">
      <c r="AU5658" s="7"/>
      <c r="AV5658" s="7"/>
    </row>
    <row r="5659" spans="47:48" x14ac:dyDescent="0.25">
      <c r="AU5659" s="7"/>
      <c r="AV5659" s="7"/>
    </row>
    <row r="5660" spans="47:48" x14ac:dyDescent="0.25">
      <c r="AU5660" s="7"/>
      <c r="AV5660" s="7"/>
    </row>
    <row r="5661" spans="47:48" x14ac:dyDescent="0.25">
      <c r="AU5661" s="7"/>
      <c r="AV5661" s="7"/>
    </row>
    <row r="5662" spans="47:48" x14ac:dyDescent="0.25">
      <c r="AU5662" s="7"/>
      <c r="AV5662" s="7"/>
    </row>
    <row r="5663" spans="47:48" x14ac:dyDescent="0.25">
      <c r="AU5663" s="7"/>
      <c r="AV5663" s="7"/>
    </row>
    <row r="5664" spans="47:48" x14ac:dyDescent="0.25">
      <c r="AU5664" s="7"/>
      <c r="AV5664" s="7"/>
    </row>
    <row r="5665" spans="47:48" x14ac:dyDescent="0.25">
      <c r="AU5665" s="7"/>
      <c r="AV5665" s="7"/>
    </row>
    <row r="5666" spans="47:48" x14ac:dyDescent="0.25">
      <c r="AU5666" s="7"/>
      <c r="AV5666" s="7"/>
    </row>
    <row r="5667" spans="47:48" x14ac:dyDescent="0.25">
      <c r="AU5667" s="7"/>
      <c r="AV5667" s="7"/>
    </row>
    <row r="5668" spans="47:48" x14ac:dyDescent="0.25">
      <c r="AU5668" s="7"/>
      <c r="AV5668" s="7"/>
    </row>
    <row r="5669" spans="47:48" x14ac:dyDescent="0.25">
      <c r="AU5669" s="7"/>
      <c r="AV5669" s="7"/>
    </row>
    <row r="5670" spans="47:48" x14ac:dyDescent="0.25">
      <c r="AU5670" s="7"/>
      <c r="AV5670" s="7"/>
    </row>
    <row r="5671" spans="47:48" x14ac:dyDescent="0.25">
      <c r="AU5671" s="7"/>
      <c r="AV5671" s="7"/>
    </row>
    <row r="5672" spans="47:48" x14ac:dyDescent="0.25">
      <c r="AU5672" s="7"/>
      <c r="AV5672" s="7"/>
    </row>
    <row r="5673" spans="47:48" x14ac:dyDescent="0.25">
      <c r="AU5673" s="7"/>
      <c r="AV5673" s="7"/>
    </row>
    <row r="5674" spans="47:48" x14ac:dyDescent="0.25">
      <c r="AU5674" s="7"/>
      <c r="AV5674" s="7"/>
    </row>
    <row r="5675" spans="47:48" x14ac:dyDescent="0.25">
      <c r="AU5675" s="7"/>
      <c r="AV5675" s="7"/>
    </row>
    <row r="5676" spans="47:48" x14ac:dyDescent="0.25">
      <c r="AU5676" s="7"/>
      <c r="AV5676" s="7"/>
    </row>
    <row r="5677" spans="47:48" x14ac:dyDescent="0.25">
      <c r="AU5677" s="7"/>
      <c r="AV5677" s="7"/>
    </row>
    <row r="5678" spans="47:48" x14ac:dyDescent="0.25">
      <c r="AU5678" s="7"/>
      <c r="AV5678" s="7"/>
    </row>
    <row r="5679" spans="47:48" x14ac:dyDescent="0.25">
      <c r="AU5679" s="7"/>
      <c r="AV5679" s="7"/>
    </row>
    <row r="5680" spans="47:48" x14ac:dyDescent="0.25">
      <c r="AU5680" s="7"/>
      <c r="AV5680" s="7"/>
    </row>
    <row r="5681" spans="47:48" x14ac:dyDescent="0.25">
      <c r="AU5681" s="7"/>
      <c r="AV5681" s="7"/>
    </row>
    <row r="5682" spans="47:48" x14ac:dyDescent="0.25">
      <c r="AU5682" s="7"/>
      <c r="AV5682" s="7"/>
    </row>
    <row r="5683" spans="47:48" x14ac:dyDescent="0.25">
      <c r="AU5683" s="7"/>
      <c r="AV5683" s="7"/>
    </row>
    <row r="5684" spans="47:48" x14ac:dyDescent="0.25">
      <c r="AU5684" s="7"/>
      <c r="AV5684" s="7"/>
    </row>
    <row r="5685" spans="47:48" x14ac:dyDescent="0.25">
      <c r="AU5685" s="7"/>
      <c r="AV5685" s="7"/>
    </row>
    <row r="5686" spans="47:48" x14ac:dyDescent="0.25">
      <c r="AU5686" s="7"/>
      <c r="AV5686" s="7"/>
    </row>
    <row r="5687" spans="47:48" x14ac:dyDescent="0.25">
      <c r="AU5687" s="7"/>
      <c r="AV5687" s="7"/>
    </row>
    <row r="5688" spans="47:48" x14ac:dyDescent="0.25">
      <c r="AU5688" s="7"/>
      <c r="AV5688" s="7"/>
    </row>
    <row r="5689" spans="47:48" x14ac:dyDescent="0.25">
      <c r="AU5689" s="7"/>
      <c r="AV5689" s="7"/>
    </row>
    <row r="5690" spans="47:48" x14ac:dyDescent="0.25">
      <c r="AU5690" s="7"/>
      <c r="AV5690" s="7"/>
    </row>
    <row r="5691" spans="47:48" x14ac:dyDescent="0.25">
      <c r="AU5691" s="7"/>
      <c r="AV5691" s="7"/>
    </row>
    <row r="5692" spans="47:48" x14ac:dyDescent="0.25">
      <c r="AU5692" s="7"/>
      <c r="AV5692" s="7"/>
    </row>
    <row r="5693" spans="47:48" x14ac:dyDescent="0.25">
      <c r="AU5693" s="7"/>
      <c r="AV5693" s="7"/>
    </row>
    <row r="5694" spans="47:48" x14ac:dyDescent="0.25">
      <c r="AU5694" s="7"/>
      <c r="AV5694" s="7"/>
    </row>
    <row r="5695" spans="47:48" x14ac:dyDescent="0.25">
      <c r="AU5695" s="7"/>
      <c r="AV5695" s="7"/>
    </row>
    <row r="5696" spans="47:48" x14ac:dyDescent="0.25">
      <c r="AU5696" s="7"/>
      <c r="AV5696" s="7"/>
    </row>
    <row r="5697" spans="47:48" x14ac:dyDescent="0.25">
      <c r="AU5697" s="7"/>
      <c r="AV5697" s="7"/>
    </row>
    <row r="5698" spans="47:48" x14ac:dyDescent="0.25">
      <c r="AU5698" s="7"/>
      <c r="AV5698" s="7"/>
    </row>
    <row r="5699" spans="47:48" x14ac:dyDescent="0.25">
      <c r="AU5699" s="7"/>
      <c r="AV5699" s="7"/>
    </row>
    <row r="5700" spans="47:48" x14ac:dyDescent="0.25">
      <c r="AU5700" s="7"/>
      <c r="AV5700" s="7"/>
    </row>
    <row r="5701" spans="47:48" x14ac:dyDescent="0.25">
      <c r="AU5701" s="7"/>
      <c r="AV5701" s="7"/>
    </row>
    <row r="5702" spans="47:48" x14ac:dyDescent="0.25">
      <c r="AU5702" s="7"/>
      <c r="AV5702" s="7"/>
    </row>
    <row r="5703" spans="47:48" x14ac:dyDescent="0.25">
      <c r="AU5703" s="7"/>
      <c r="AV5703" s="7"/>
    </row>
    <row r="5704" spans="47:48" x14ac:dyDescent="0.25">
      <c r="AU5704" s="7"/>
      <c r="AV5704" s="7"/>
    </row>
    <row r="5705" spans="47:48" x14ac:dyDescent="0.25">
      <c r="AU5705" s="7"/>
      <c r="AV5705" s="7"/>
    </row>
    <row r="5706" spans="47:48" x14ac:dyDescent="0.25">
      <c r="AU5706" s="7"/>
      <c r="AV5706" s="7"/>
    </row>
    <row r="5707" spans="47:48" x14ac:dyDescent="0.25">
      <c r="AU5707" s="7"/>
      <c r="AV5707" s="7"/>
    </row>
    <row r="5708" spans="47:48" x14ac:dyDescent="0.25">
      <c r="AU5708" s="7"/>
      <c r="AV5708" s="7"/>
    </row>
    <row r="5709" spans="47:48" x14ac:dyDescent="0.25">
      <c r="AU5709" s="7"/>
      <c r="AV5709" s="7"/>
    </row>
    <row r="5710" spans="47:48" x14ac:dyDescent="0.25">
      <c r="AU5710" s="7"/>
      <c r="AV5710" s="7"/>
    </row>
    <row r="5711" spans="47:48" x14ac:dyDescent="0.25">
      <c r="AU5711" s="7"/>
      <c r="AV5711" s="7"/>
    </row>
    <row r="5712" spans="47:48" x14ac:dyDescent="0.25">
      <c r="AU5712" s="7"/>
      <c r="AV5712" s="7"/>
    </row>
    <row r="5713" spans="47:48" x14ac:dyDescent="0.25">
      <c r="AU5713" s="7"/>
      <c r="AV5713" s="7"/>
    </row>
    <row r="5714" spans="47:48" x14ac:dyDescent="0.25">
      <c r="AU5714" s="7"/>
      <c r="AV5714" s="7"/>
    </row>
    <row r="5715" spans="47:48" x14ac:dyDescent="0.25">
      <c r="AU5715" s="7"/>
      <c r="AV5715" s="7"/>
    </row>
    <row r="5716" spans="47:48" x14ac:dyDescent="0.25">
      <c r="AU5716" s="7"/>
      <c r="AV5716" s="7"/>
    </row>
    <row r="5717" spans="47:48" x14ac:dyDescent="0.25">
      <c r="AU5717" s="7"/>
      <c r="AV5717" s="7"/>
    </row>
    <row r="5718" spans="47:48" x14ac:dyDescent="0.25">
      <c r="AU5718" s="7"/>
      <c r="AV5718" s="7"/>
    </row>
    <row r="5719" spans="47:48" x14ac:dyDescent="0.25">
      <c r="AU5719" s="7"/>
      <c r="AV5719" s="7"/>
    </row>
    <row r="5720" spans="47:48" x14ac:dyDescent="0.25">
      <c r="AU5720" s="7"/>
      <c r="AV5720" s="7"/>
    </row>
    <row r="5721" spans="47:48" x14ac:dyDescent="0.25">
      <c r="AU5721" s="7"/>
      <c r="AV5721" s="7"/>
    </row>
    <row r="5722" spans="47:48" x14ac:dyDescent="0.25">
      <c r="AU5722" s="7"/>
      <c r="AV5722" s="7"/>
    </row>
    <row r="5723" spans="47:48" x14ac:dyDescent="0.25">
      <c r="AU5723" s="7"/>
      <c r="AV5723" s="7"/>
    </row>
    <row r="5724" spans="47:48" x14ac:dyDescent="0.25">
      <c r="AU5724" s="7"/>
      <c r="AV5724" s="7"/>
    </row>
    <row r="5725" spans="47:48" x14ac:dyDescent="0.25">
      <c r="AU5725" s="7"/>
      <c r="AV5725" s="7"/>
    </row>
    <row r="5726" spans="47:48" x14ac:dyDescent="0.25">
      <c r="AU5726" s="7"/>
      <c r="AV5726" s="7"/>
    </row>
    <row r="5727" spans="47:48" x14ac:dyDescent="0.25">
      <c r="AU5727" s="7"/>
      <c r="AV5727" s="7"/>
    </row>
    <row r="5728" spans="47:48" x14ac:dyDescent="0.25">
      <c r="AU5728" s="7"/>
      <c r="AV5728" s="7"/>
    </row>
    <row r="5729" spans="47:48" x14ac:dyDescent="0.25">
      <c r="AU5729" s="7"/>
      <c r="AV5729" s="7"/>
    </row>
    <row r="5730" spans="47:48" x14ac:dyDescent="0.25">
      <c r="AU5730" s="7"/>
      <c r="AV5730" s="7"/>
    </row>
    <row r="5731" spans="47:48" x14ac:dyDescent="0.25">
      <c r="AU5731" s="7"/>
      <c r="AV5731" s="7"/>
    </row>
    <row r="5732" spans="47:48" x14ac:dyDescent="0.25">
      <c r="AU5732" s="7"/>
      <c r="AV5732" s="7"/>
    </row>
    <row r="5733" spans="47:48" x14ac:dyDescent="0.25">
      <c r="AU5733" s="7"/>
      <c r="AV5733" s="7"/>
    </row>
    <row r="5734" spans="47:48" x14ac:dyDescent="0.25">
      <c r="AU5734" s="7"/>
      <c r="AV5734" s="7"/>
    </row>
    <row r="5735" spans="47:48" x14ac:dyDescent="0.25">
      <c r="AU5735" s="7"/>
      <c r="AV5735" s="7"/>
    </row>
    <row r="5736" spans="47:48" x14ac:dyDescent="0.25">
      <c r="AU5736" s="7"/>
      <c r="AV5736" s="7"/>
    </row>
    <row r="5737" spans="47:48" x14ac:dyDescent="0.25">
      <c r="AU5737" s="7"/>
      <c r="AV5737" s="7"/>
    </row>
    <row r="5738" spans="47:48" x14ac:dyDescent="0.25">
      <c r="AU5738" s="7"/>
      <c r="AV5738" s="7"/>
    </row>
    <row r="5739" spans="47:48" x14ac:dyDescent="0.25">
      <c r="AU5739" s="7"/>
      <c r="AV5739" s="7"/>
    </row>
    <row r="5740" spans="47:48" x14ac:dyDescent="0.25">
      <c r="AU5740" s="7"/>
      <c r="AV5740" s="7"/>
    </row>
    <row r="5741" spans="47:48" x14ac:dyDescent="0.25">
      <c r="AU5741" s="7"/>
      <c r="AV5741" s="7"/>
    </row>
    <row r="5742" spans="47:48" x14ac:dyDescent="0.25">
      <c r="AU5742" s="7"/>
      <c r="AV5742" s="7"/>
    </row>
    <row r="5743" spans="47:48" x14ac:dyDescent="0.25">
      <c r="AU5743" s="7"/>
      <c r="AV5743" s="7"/>
    </row>
    <row r="5744" spans="47:48" x14ac:dyDescent="0.25">
      <c r="AU5744" s="7"/>
      <c r="AV5744" s="7"/>
    </row>
    <row r="5745" spans="47:48" x14ac:dyDescent="0.25">
      <c r="AU5745" s="7"/>
      <c r="AV5745" s="7"/>
    </row>
    <row r="5746" spans="47:48" x14ac:dyDescent="0.25">
      <c r="AU5746" s="7"/>
      <c r="AV5746" s="7"/>
    </row>
    <row r="5747" spans="47:48" x14ac:dyDescent="0.25">
      <c r="AU5747" s="7"/>
      <c r="AV5747" s="7"/>
    </row>
    <row r="5748" spans="47:48" x14ac:dyDescent="0.25">
      <c r="AU5748" s="7"/>
      <c r="AV5748" s="7"/>
    </row>
    <row r="5749" spans="47:48" x14ac:dyDescent="0.25">
      <c r="AU5749" s="7"/>
      <c r="AV5749" s="7"/>
    </row>
    <row r="5750" spans="47:48" x14ac:dyDescent="0.25">
      <c r="AU5750" s="7"/>
      <c r="AV5750" s="7"/>
    </row>
    <row r="5751" spans="47:48" x14ac:dyDescent="0.25">
      <c r="AU5751" s="7"/>
      <c r="AV5751" s="7"/>
    </row>
    <row r="5752" spans="47:48" x14ac:dyDescent="0.25">
      <c r="AU5752" s="7"/>
      <c r="AV5752" s="7"/>
    </row>
    <row r="5753" spans="47:48" x14ac:dyDescent="0.25">
      <c r="AU5753" s="7"/>
      <c r="AV5753" s="7"/>
    </row>
    <row r="5754" spans="47:48" x14ac:dyDescent="0.25">
      <c r="AU5754" s="7"/>
      <c r="AV5754" s="7"/>
    </row>
    <row r="5755" spans="47:48" x14ac:dyDescent="0.25">
      <c r="AU5755" s="7"/>
      <c r="AV5755" s="7"/>
    </row>
    <row r="5756" spans="47:48" x14ac:dyDescent="0.25">
      <c r="AU5756" s="7"/>
      <c r="AV5756" s="7"/>
    </row>
    <row r="5757" spans="47:48" x14ac:dyDescent="0.25">
      <c r="AU5757" s="7"/>
      <c r="AV5757" s="7"/>
    </row>
    <row r="5758" spans="47:48" x14ac:dyDescent="0.25">
      <c r="AU5758" s="7"/>
      <c r="AV5758" s="7"/>
    </row>
    <row r="5759" spans="47:48" x14ac:dyDescent="0.25">
      <c r="AU5759" s="7"/>
      <c r="AV5759" s="7"/>
    </row>
    <row r="5760" spans="47:48" x14ac:dyDescent="0.25">
      <c r="AU5760" s="7"/>
      <c r="AV5760" s="7"/>
    </row>
    <row r="5761" spans="47:48" x14ac:dyDescent="0.25">
      <c r="AU5761" s="7"/>
      <c r="AV5761" s="7"/>
    </row>
    <row r="5762" spans="47:48" x14ac:dyDescent="0.25">
      <c r="AU5762" s="7"/>
      <c r="AV5762" s="7"/>
    </row>
    <row r="5763" spans="47:48" x14ac:dyDescent="0.25">
      <c r="AU5763" s="7"/>
      <c r="AV5763" s="7"/>
    </row>
    <row r="5764" spans="47:48" x14ac:dyDescent="0.25">
      <c r="AU5764" s="7"/>
      <c r="AV5764" s="7"/>
    </row>
    <row r="5765" spans="47:48" x14ac:dyDescent="0.25">
      <c r="AU5765" s="7"/>
      <c r="AV5765" s="7"/>
    </row>
    <row r="5766" spans="47:48" x14ac:dyDescent="0.25">
      <c r="AU5766" s="7"/>
      <c r="AV5766" s="7"/>
    </row>
    <row r="5767" spans="47:48" x14ac:dyDescent="0.25">
      <c r="AU5767" s="7"/>
      <c r="AV5767" s="7"/>
    </row>
    <row r="5768" spans="47:48" x14ac:dyDescent="0.25">
      <c r="AU5768" s="7"/>
      <c r="AV5768" s="7"/>
    </row>
    <row r="5769" spans="47:48" x14ac:dyDescent="0.25">
      <c r="AU5769" s="7"/>
      <c r="AV5769" s="7"/>
    </row>
    <row r="5770" spans="47:48" x14ac:dyDescent="0.25">
      <c r="AU5770" s="7"/>
      <c r="AV5770" s="7"/>
    </row>
    <row r="5771" spans="47:48" x14ac:dyDescent="0.25">
      <c r="AU5771" s="7"/>
      <c r="AV5771" s="7"/>
    </row>
    <row r="5772" spans="47:48" x14ac:dyDescent="0.25">
      <c r="AU5772" s="7"/>
      <c r="AV5772" s="7"/>
    </row>
    <row r="5773" spans="47:48" x14ac:dyDescent="0.25">
      <c r="AU5773" s="7"/>
      <c r="AV5773" s="7"/>
    </row>
    <row r="5774" spans="47:48" x14ac:dyDescent="0.25">
      <c r="AU5774" s="7"/>
      <c r="AV5774" s="7"/>
    </row>
    <row r="5775" spans="47:48" x14ac:dyDescent="0.25">
      <c r="AU5775" s="7"/>
      <c r="AV5775" s="7"/>
    </row>
    <row r="5776" spans="47:48" x14ac:dyDescent="0.25">
      <c r="AU5776" s="7"/>
      <c r="AV5776" s="7"/>
    </row>
    <row r="5777" spans="47:48" x14ac:dyDescent="0.25">
      <c r="AU5777" s="7"/>
      <c r="AV5777" s="7"/>
    </row>
    <row r="5778" spans="47:48" x14ac:dyDescent="0.25">
      <c r="AU5778" s="7"/>
      <c r="AV5778" s="7"/>
    </row>
    <row r="5779" spans="47:48" x14ac:dyDescent="0.25">
      <c r="AU5779" s="7"/>
      <c r="AV5779" s="7"/>
    </row>
    <row r="5780" spans="47:48" x14ac:dyDescent="0.25">
      <c r="AU5780" s="7"/>
      <c r="AV5780" s="7"/>
    </row>
    <row r="5781" spans="47:48" x14ac:dyDescent="0.25">
      <c r="AU5781" s="7"/>
      <c r="AV5781" s="7"/>
    </row>
    <row r="5782" spans="47:48" x14ac:dyDescent="0.25">
      <c r="AU5782" s="7"/>
      <c r="AV5782" s="7"/>
    </row>
    <row r="5783" spans="47:48" x14ac:dyDescent="0.25">
      <c r="AU5783" s="7"/>
      <c r="AV5783" s="7"/>
    </row>
    <row r="5784" spans="47:48" x14ac:dyDescent="0.25">
      <c r="AU5784" s="7"/>
      <c r="AV5784" s="7"/>
    </row>
    <row r="5785" spans="47:48" x14ac:dyDescent="0.25">
      <c r="AU5785" s="7"/>
      <c r="AV5785" s="7"/>
    </row>
    <row r="5786" spans="47:48" x14ac:dyDescent="0.25">
      <c r="AU5786" s="7"/>
      <c r="AV5786" s="7"/>
    </row>
    <row r="5787" spans="47:48" x14ac:dyDescent="0.25">
      <c r="AU5787" s="7"/>
      <c r="AV5787" s="7"/>
    </row>
    <row r="5788" spans="47:48" x14ac:dyDescent="0.25">
      <c r="AU5788" s="7"/>
      <c r="AV5788" s="7"/>
    </row>
    <row r="5789" spans="47:48" x14ac:dyDescent="0.25">
      <c r="AU5789" s="7"/>
      <c r="AV5789" s="7"/>
    </row>
    <row r="5790" spans="47:48" x14ac:dyDescent="0.25">
      <c r="AU5790" s="7"/>
      <c r="AV5790" s="7"/>
    </row>
    <row r="5791" spans="47:48" x14ac:dyDescent="0.25">
      <c r="AU5791" s="7"/>
      <c r="AV5791" s="7"/>
    </row>
    <row r="5792" spans="47:48" x14ac:dyDescent="0.25">
      <c r="AU5792" s="7"/>
      <c r="AV5792" s="7"/>
    </row>
    <row r="5793" spans="47:48" x14ac:dyDescent="0.25">
      <c r="AU5793" s="7"/>
      <c r="AV5793" s="7"/>
    </row>
    <row r="5794" spans="47:48" x14ac:dyDescent="0.25">
      <c r="AU5794" s="7"/>
      <c r="AV5794" s="7"/>
    </row>
    <row r="5795" spans="47:48" x14ac:dyDescent="0.25">
      <c r="AU5795" s="7"/>
      <c r="AV5795" s="7"/>
    </row>
    <row r="5796" spans="47:48" x14ac:dyDescent="0.25">
      <c r="AU5796" s="7"/>
      <c r="AV5796" s="7"/>
    </row>
    <row r="5797" spans="47:48" x14ac:dyDescent="0.25">
      <c r="AU5797" s="7"/>
      <c r="AV5797" s="7"/>
    </row>
    <row r="5798" spans="47:48" x14ac:dyDescent="0.25">
      <c r="AU5798" s="7"/>
      <c r="AV5798" s="7"/>
    </row>
    <row r="5799" spans="47:48" x14ac:dyDescent="0.25">
      <c r="AU5799" s="7"/>
      <c r="AV5799" s="7"/>
    </row>
    <row r="5800" spans="47:48" x14ac:dyDescent="0.25">
      <c r="AU5800" s="7"/>
      <c r="AV5800" s="7"/>
    </row>
    <row r="5801" spans="47:48" x14ac:dyDescent="0.25">
      <c r="AU5801" s="7"/>
      <c r="AV5801" s="7"/>
    </row>
    <row r="5802" spans="47:48" x14ac:dyDescent="0.25">
      <c r="AU5802" s="7"/>
      <c r="AV5802" s="7"/>
    </row>
    <row r="5803" spans="47:48" x14ac:dyDescent="0.25">
      <c r="AU5803" s="7"/>
      <c r="AV5803" s="7"/>
    </row>
    <row r="5804" spans="47:48" x14ac:dyDescent="0.25">
      <c r="AU5804" s="7"/>
      <c r="AV5804" s="7"/>
    </row>
    <row r="5805" spans="47:48" x14ac:dyDescent="0.25">
      <c r="AU5805" s="7"/>
      <c r="AV5805" s="7"/>
    </row>
    <row r="5806" spans="47:48" x14ac:dyDescent="0.25">
      <c r="AU5806" s="7"/>
      <c r="AV5806" s="7"/>
    </row>
    <row r="5807" spans="47:48" x14ac:dyDescent="0.25">
      <c r="AU5807" s="7"/>
      <c r="AV5807" s="7"/>
    </row>
    <row r="5808" spans="47:48" x14ac:dyDescent="0.25">
      <c r="AU5808" s="7"/>
      <c r="AV5808" s="7"/>
    </row>
    <row r="5809" spans="47:48" x14ac:dyDescent="0.25">
      <c r="AU5809" s="7"/>
      <c r="AV5809" s="7"/>
    </row>
    <row r="5810" spans="47:48" x14ac:dyDescent="0.25">
      <c r="AU5810" s="7"/>
      <c r="AV5810" s="7"/>
    </row>
    <row r="5811" spans="47:48" x14ac:dyDescent="0.25">
      <c r="AU5811" s="7"/>
      <c r="AV5811" s="7"/>
    </row>
    <row r="5812" spans="47:48" x14ac:dyDescent="0.25">
      <c r="AU5812" s="7"/>
      <c r="AV5812" s="7"/>
    </row>
    <row r="5813" spans="47:48" x14ac:dyDescent="0.25">
      <c r="AU5813" s="7"/>
      <c r="AV5813" s="7"/>
    </row>
    <row r="5814" spans="47:48" x14ac:dyDescent="0.25">
      <c r="AU5814" s="7"/>
      <c r="AV5814" s="7"/>
    </row>
    <row r="5815" spans="47:48" x14ac:dyDescent="0.25">
      <c r="AU5815" s="7"/>
      <c r="AV5815" s="7"/>
    </row>
    <row r="5816" spans="47:48" x14ac:dyDescent="0.25">
      <c r="AU5816" s="7"/>
      <c r="AV5816" s="7"/>
    </row>
    <row r="5817" spans="47:48" x14ac:dyDescent="0.25">
      <c r="AU5817" s="7"/>
      <c r="AV5817" s="7"/>
    </row>
    <row r="5818" spans="47:48" x14ac:dyDescent="0.25">
      <c r="AU5818" s="7"/>
      <c r="AV5818" s="7"/>
    </row>
    <row r="5819" spans="47:48" x14ac:dyDescent="0.25">
      <c r="AU5819" s="7"/>
      <c r="AV5819" s="7"/>
    </row>
    <row r="5820" spans="47:48" x14ac:dyDescent="0.25">
      <c r="AU5820" s="7"/>
      <c r="AV5820" s="7"/>
    </row>
    <row r="5821" spans="47:48" x14ac:dyDescent="0.25">
      <c r="AU5821" s="7"/>
      <c r="AV5821" s="7"/>
    </row>
    <row r="5822" spans="47:48" x14ac:dyDescent="0.25">
      <c r="AU5822" s="7"/>
      <c r="AV5822" s="7"/>
    </row>
    <row r="5823" spans="47:48" x14ac:dyDescent="0.25">
      <c r="AU5823" s="7"/>
      <c r="AV5823" s="7"/>
    </row>
    <row r="5824" spans="47:48" x14ac:dyDescent="0.25">
      <c r="AU5824" s="7"/>
      <c r="AV5824" s="7"/>
    </row>
    <row r="5825" spans="47:48" x14ac:dyDescent="0.25">
      <c r="AU5825" s="7"/>
      <c r="AV5825" s="7"/>
    </row>
    <row r="5826" spans="47:48" x14ac:dyDescent="0.25">
      <c r="AU5826" s="7"/>
      <c r="AV5826" s="7"/>
    </row>
    <row r="5827" spans="47:48" x14ac:dyDescent="0.25">
      <c r="AU5827" s="7"/>
      <c r="AV5827" s="7"/>
    </row>
    <row r="5828" spans="47:48" x14ac:dyDescent="0.25">
      <c r="AU5828" s="7"/>
      <c r="AV5828" s="7"/>
    </row>
    <row r="5829" spans="47:48" x14ac:dyDescent="0.25">
      <c r="AU5829" s="7"/>
      <c r="AV5829" s="7"/>
    </row>
    <row r="5830" spans="47:48" x14ac:dyDescent="0.25">
      <c r="AU5830" s="7"/>
      <c r="AV5830" s="7"/>
    </row>
    <row r="5831" spans="47:48" x14ac:dyDescent="0.25">
      <c r="AU5831" s="7"/>
      <c r="AV5831" s="7"/>
    </row>
    <row r="5832" spans="47:48" x14ac:dyDescent="0.25">
      <c r="AU5832" s="7"/>
      <c r="AV5832" s="7"/>
    </row>
    <row r="5833" spans="47:48" x14ac:dyDescent="0.25">
      <c r="AU5833" s="7"/>
      <c r="AV5833" s="7"/>
    </row>
    <row r="5834" spans="47:48" x14ac:dyDescent="0.25">
      <c r="AU5834" s="7"/>
      <c r="AV5834" s="7"/>
    </row>
    <row r="5835" spans="47:48" x14ac:dyDescent="0.25">
      <c r="AU5835" s="7"/>
      <c r="AV5835" s="7"/>
    </row>
    <row r="5836" spans="47:48" x14ac:dyDescent="0.25">
      <c r="AU5836" s="7"/>
      <c r="AV5836" s="7"/>
    </row>
    <row r="5837" spans="47:48" x14ac:dyDescent="0.25">
      <c r="AU5837" s="7"/>
      <c r="AV5837" s="7"/>
    </row>
    <row r="5838" spans="47:48" x14ac:dyDescent="0.25">
      <c r="AU5838" s="7"/>
      <c r="AV5838" s="7"/>
    </row>
    <row r="5839" spans="47:48" x14ac:dyDescent="0.25">
      <c r="AU5839" s="7"/>
      <c r="AV5839" s="7"/>
    </row>
    <row r="5840" spans="47:48" x14ac:dyDescent="0.25">
      <c r="AU5840" s="7"/>
      <c r="AV5840" s="7"/>
    </row>
    <row r="5841" spans="47:48" x14ac:dyDescent="0.25">
      <c r="AU5841" s="7"/>
      <c r="AV5841" s="7"/>
    </row>
    <row r="5842" spans="47:48" x14ac:dyDescent="0.25">
      <c r="AU5842" s="7"/>
      <c r="AV5842" s="7"/>
    </row>
    <row r="5843" spans="47:48" x14ac:dyDescent="0.25">
      <c r="AU5843" s="7"/>
      <c r="AV5843" s="7"/>
    </row>
    <row r="5844" spans="47:48" x14ac:dyDescent="0.25">
      <c r="AU5844" s="7"/>
      <c r="AV5844" s="7"/>
    </row>
    <row r="5845" spans="47:48" x14ac:dyDescent="0.25">
      <c r="AU5845" s="7"/>
      <c r="AV5845" s="7"/>
    </row>
    <row r="5846" spans="47:48" x14ac:dyDescent="0.25">
      <c r="AU5846" s="7"/>
      <c r="AV5846" s="7"/>
    </row>
    <row r="5847" spans="47:48" x14ac:dyDescent="0.25">
      <c r="AU5847" s="7"/>
      <c r="AV5847" s="7"/>
    </row>
    <row r="5848" spans="47:48" x14ac:dyDescent="0.25">
      <c r="AU5848" s="7"/>
      <c r="AV5848" s="7"/>
    </row>
    <row r="5849" spans="47:48" x14ac:dyDescent="0.25">
      <c r="AU5849" s="7"/>
      <c r="AV5849" s="7"/>
    </row>
    <row r="5850" spans="47:48" x14ac:dyDescent="0.25">
      <c r="AU5850" s="7"/>
      <c r="AV5850" s="7"/>
    </row>
    <row r="5851" spans="47:48" x14ac:dyDescent="0.25">
      <c r="AU5851" s="7"/>
      <c r="AV5851" s="7"/>
    </row>
    <row r="5852" spans="47:48" x14ac:dyDescent="0.25">
      <c r="AU5852" s="7"/>
      <c r="AV5852" s="7"/>
    </row>
    <row r="5853" spans="47:48" x14ac:dyDescent="0.25">
      <c r="AU5853" s="7"/>
      <c r="AV5853" s="7"/>
    </row>
    <row r="5854" spans="47:48" x14ac:dyDescent="0.25">
      <c r="AU5854" s="7"/>
      <c r="AV5854" s="7"/>
    </row>
    <row r="5855" spans="47:48" x14ac:dyDescent="0.25">
      <c r="AU5855" s="7"/>
      <c r="AV5855" s="7"/>
    </row>
    <row r="5856" spans="47:48" x14ac:dyDescent="0.25">
      <c r="AU5856" s="7"/>
      <c r="AV5856" s="7"/>
    </row>
    <row r="5857" spans="47:48" x14ac:dyDescent="0.25">
      <c r="AU5857" s="7"/>
      <c r="AV5857" s="7"/>
    </row>
    <row r="5858" spans="47:48" x14ac:dyDescent="0.25">
      <c r="AU5858" s="7"/>
      <c r="AV5858" s="7"/>
    </row>
    <row r="5859" spans="47:48" x14ac:dyDescent="0.25">
      <c r="AU5859" s="7"/>
      <c r="AV5859" s="7"/>
    </row>
    <row r="5860" spans="47:48" x14ac:dyDescent="0.25">
      <c r="AU5860" s="7"/>
      <c r="AV5860" s="7"/>
    </row>
    <row r="5861" spans="47:48" x14ac:dyDescent="0.25">
      <c r="AU5861" s="7"/>
      <c r="AV5861" s="7"/>
    </row>
    <row r="5862" spans="47:48" x14ac:dyDescent="0.25">
      <c r="AU5862" s="7"/>
      <c r="AV5862" s="7"/>
    </row>
    <row r="5863" spans="47:48" x14ac:dyDescent="0.25">
      <c r="AU5863" s="7"/>
      <c r="AV5863" s="7"/>
    </row>
    <row r="5864" spans="47:48" x14ac:dyDescent="0.25">
      <c r="AU5864" s="7"/>
      <c r="AV5864" s="7"/>
    </row>
    <row r="5865" spans="47:48" x14ac:dyDescent="0.25">
      <c r="AU5865" s="7"/>
      <c r="AV5865" s="7"/>
    </row>
    <row r="5866" spans="47:48" x14ac:dyDescent="0.25">
      <c r="AU5866" s="7"/>
      <c r="AV5866" s="7"/>
    </row>
    <row r="5867" spans="47:48" x14ac:dyDescent="0.25">
      <c r="AU5867" s="7"/>
      <c r="AV5867" s="7"/>
    </row>
    <row r="5868" spans="47:48" x14ac:dyDescent="0.25">
      <c r="AU5868" s="7"/>
      <c r="AV5868" s="7"/>
    </row>
    <row r="5869" spans="47:48" x14ac:dyDescent="0.25">
      <c r="AU5869" s="7"/>
      <c r="AV5869" s="7"/>
    </row>
    <row r="5870" spans="47:48" x14ac:dyDescent="0.25">
      <c r="AU5870" s="7"/>
      <c r="AV5870" s="7"/>
    </row>
    <row r="5871" spans="47:48" x14ac:dyDescent="0.25">
      <c r="AU5871" s="7"/>
      <c r="AV5871" s="7"/>
    </row>
    <row r="5872" spans="47:48" x14ac:dyDescent="0.25">
      <c r="AU5872" s="7"/>
      <c r="AV5872" s="7"/>
    </row>
    <row r="5873" spans="47:48" x14ac:dyDescent="0.25">
      <c r="AU5873" s="7"/>
      <c r="AV5873" s="7"/>
    </row>
    <row r="5874" spans="47:48" x14ac:dyDescent="0.25">
      <c r="AU5874" s="7"/>
      <c r="AV5874" s="7"/>
    </row>
    <row r="5875" spans="47:48" x14ac:dyDescent="0.25">
      <c r="AU5875" s="7"/>
      <c r="AV5875" s="7"/>
    </row>
    <row r="5876" spans="47:48" x14ac:dyDescent="0.25">
      <c r="AU5876" s="7"/>
      <c r="AV5876" s="7"/>
    </row>
    <row r="5877" spans="47:48" x14ac:dyDescent="0.25">
      <c r="AU5877" s="7"/>
      <c r="AV5877" s="7"/>
    </row>
    <row r="5878" spans="47:48" x14ac:dyDescent="0.25">
      <c r="AU5878" s="7"/>
      <c r="AV5878" s="7"/>
    </row>
    <row r="5879" spans="47:48" x14ac:dyDescent="0.25">
      <c r="AU5879" s="7"/>
      <c r="AV5879" s="7"/>
    </row>
    <row r="5880" spans="47:48" x14ac:dyDescent="0.25">
      <c r="AU5880" s="7"/>
      <c r="AV5880" s="7"/>
    </row>
    <row r="5881" spans="47:48" x14ac:dyDescent="0.25">
      <c r="AU5881" s="7"/>
      <c r="AV5881" s="7"/>
    </row>
    <row r="5882" spans="47:48" x14ac:dyDescent="0.25">
      <c r="AU5882" s="7"/>
      <c r="AV5882" s="7"/>
    </row>
    <row r="5883" spans="47:48" x14ac:dyDescent="0.25">
      <c r="AU5883" s="7"/>
      <c r="AV5883" s="7"/>
    </row>
    <row r="5884" spans="47:48" x14ac:dyDescent="0.25">
      <c r="AU5884" s="7"/>
      <c r="AV5884" s="7"/>
    </row>
    <row r="5885" spans="47:48" x14ac:dyDescent="0.25">
      <c r="AU5885" s="7"/>
      <c r="AV5885" s="7"/>
    </row>
    <row r="5886" spans="47:48" x14ac:dyDescent="0.25">
      <c r="AU5886" s="7"/>
      <c r="AV5886" s="7"/>
    </row>
    <row r="5887" spans="47:48" x14ac:dyDescent="0.25">
      <c r="AU5887" s="7"/>
      <c r="AV5887" s="7"/>
    </row>
    <row r="5888" spans="47:48" x14ac:dyDescent="0.25">
      <c r="AU5888" s="7"/>
      <c r="AV5888" s="7"/>
    </row>
    <row r="5889" spans="47:48" x14ac:dyDescent="0.25">
      <c r="AU5889" s="7"/>
      <c r="AV5889" s="7"/>
    </row>
    <row r="5890" spans="47:48" x14ac:dyDescent="0.25">
      <c r="AU5890" s="7"/>
      <c r="AV5890" s="7"/>
    </row>
    <row r="5891" spans="47:48" x14ac:dyDescent="0.25">
      <c r="AU5891" s="7"/>
      <c r="AV5891" s="7"/>
    </row>
    <row r="5892" spans="47:48" x14ac:dyDescent="0.25">
      <c r="AU5892" s="7"/>
      <c r="AV5892" s="7"/>
    </row>
    <row r="5893" spans="47:48" x14ac:dyDescent="0.25">
      <c r="AU5893" s="7"/>
      <c r="AV5893" s="7"/>
    </row>
    <row r="5894" spans="47:48" x14ac:dyDescent="0.25">
      <c r="AU5894" s="7"/>
      <c r="AV5894" s="7"/>
    </row>
    <row r="5895" spans="47:48" x14ac:dyDescent="0.25">
      <c r="AU5895" s="7"/>
      <c r="AV5895" s="7"/>
    </row>
    <row r="5896" spans="47:48" x14ac:dyDescent="0.25">
      <c r="AU5896" s="7"/>
      <c r="AV5896" s="7"/>
    </row>
    <row r="5897" spans="47:48" x14ac:dyDescent="0.25">
      <c r="AU5897" s="7"/>
      <c r="AV5897" s="7"/>
    </row>
    <row r="5898" spans="47:48" x14ac:dyDescent="0.25">
      <c r="AU5898" s="7"/>
      <c r="AV5898" s="7"/>
    </row>
    <row r="5899" spans="47:48" x14ac:dyDescent="0.25">
      <c r="AU5899" s="7"/>
      <c r="AV5899" s="7"/>
    </row>
    <row r="5900" spans="47:48" x14ac:dyDescent="0.25">
      <c r="AU5900" s="7"/>
      <c r="AV5900" s="7"/>
    </row>
    <row r="5901" spans="47:48" x14ac:dyDescent="0.25">
      <c r="AU5901" s="7"/>
      <c r="AV5901" s="7"/>
    </row>
    <row r="5902" spans="47:48" x14ac:dyDescent="0.25">
      <c r="AU5902" s="7"/>
      <c r="AV5902" s="7"/>
    </row>
    <row r="5903" spans="47:48" x14ac:dyDescent="0.25">
      <c r="AU5903" s="7"/>
      <c r="AV5903" s="7"/>
    </row>
    <row r="5904" spans="47:48" x14ac:dyDescent="0.25">
      <c r="AU5904" s="7"/>
      <c r="AV5904" s="7"/>
    </row>
    <row r="5905" spans="47:48" x14ac:dyDescent="0.25">
      <c r="AU5905" s="7"/>
      <c r="AV5905" s="7"/>
    </row>
    <row r="5906" spans="47:48" x14ac:dyDescent="0.25">
      <c r="AU5906" s="7"/>
      <c r="AV5906" s="7"/>
    </row>
    <row r="5907" spans="47:48" x14ac:dyDescent="0.25">
      <c r="AU5907" s="7"/>
      <c r="AV5907" s="7"/>
    </row>
    <row r="5908" spans="47:48" x14ac:dyDescent="0.25">
      <c r="AU5908" s="7"/>
      <c r="AV5908" s="7"/>
    </row>
    <row r="5909" spans="47:48" x14ac:dyDescent="0.25">
      <c r="AU5909" s="7"/>
      <c r="AV5909" s="7"/>
    </row>
    <row r="5910" spans="47:48" x14ac:dyDescent="0.25">
      <c r="AU5910" s="7"/>
      <c r="AV5910" s="7"/>
    </row>
    <row r="5911" spans="47:48" x14ac:dyDescent="0.25">
      <c r="AU5911" s="7"/>
      <c r="AV5911" s="7"/>
    </row>
    <row r="5912" spans="47:48" x14ac:dyDescent="0.25">
      <c r="AU5912" s="7"/>
      <c r="AV5912" s="7"/>
    </row>
    <row r="5913" spans="47:48" x14ac:dyDescent="0.25">
      <c r="AU5913" s="7"/>
      <c r="AV5913" s="7"/>
    </row>
    <row r="5914" spans="47:48" x14ac:dyDescent="0.25">
      <c r="AU5914" s="7"/>
      <c r="AV5914" s="7"/>
    </row>
    <row r="5915" spans="47:48" x14ac:dyDescent="0.25">
      <c r="AU5915" s="7"/>
      <c r="AV5915" s="7"/>
    </row>
    <row r="5916" spans="47:48" x14ac:dyDescent="0.25">
      <c r="AU5916" s="7"/>
      <c r="AV5916" s="7"/>
    </row>
    <row r="5917" spans="47:48" x14ac:dyDescent="0.25">
      <c r="AU5917" s="7"/>
      <c r="AV5917" s="7"/>
    </row>
    <row r="5918" spans="47:48" x14ac:dyDescent="0.25">
      <c r="AU5918" s="7"/>
      <c r="AV5918" s="7"/>
    </row>
    <row r="5919" spans="47:48" x14ac:dyDescent="0.25">
      <c r="AU5919" s="7"/>
      <c r="AV5919" s="7"/>
    </row>
    <row r="5920" spans="47:48" x14ac:dyDescent="0.25">
      <c r="AU5920" s="7"/>
      <c r="AV5920" s="7"/>
    </row>
    <row r="5921" spans="47:48" x14ac:dyDescent="0.25">
      <c r="AU5921" s="7"/>
      <c r="AV5921" s="7"/>
    </row>
    <row r="5922" spans="47:48" x14ac:dyDescent="0.25">
      <c r="AU5922" s="7"/>
      <c r="AV5922" s="7"/>
    </row>
    <row r="5923" spans="47:48" x14ac:dyDescent="0.25">
      <c r="AU5923" s="7"/>
      <c r="AV5923" s="7"/>
    </row>
    <row r="5924" spans="47:48" x14ac:dyDescent="0.25">
      <c r="AU5924" s="7"/>
      <c r="AV5924" s="7"/>
    </row>
    <row r="5925" spans="47:48" x14ac:dyDescent="0.25">
      <c r="AU5925" s="7"/>
      <c r="AV5925" s="7"/>
    </row>
    <row r="5926" spans="47:48" x14ac:dyDescent="0.25">
      <c r="AU5926" s="7"/>
      <c r="AV5926" s="7"/>
    </row>
    <row r="5927" spans="47:48" x14ac:dyDescent="0.25">
      <c r="AU5927" s="7"/>
      <c r="AV5927" s="7"/>
    </row>
    <row r="5928" spans="47:48" x14ac:dyDescent="0.25">
      <c r="AU5928" s="7"/>
      <c r="AV5928" s="7"/>
    </row>
    <row r="5929" spans="47:48" x14ac:dyDescent="0.25">
      <c r="AU5929" s="7"/>
      <c r="AV5929" s="7"/>
    </row>
    <row r="5930" spans="47:48" x14ac:dyDescent="0.25">
      <c r="AU5930" s="7"/>
      <c r="AV5930" s="7"/>
    </row>
    <row r="5931" spans="47:48" x14ac:dyDescent="0.25">
      <c r="AU5931" s="7"/>
      <c r="AV5931" s="7"/>
    </row>
    <row r="5932" spans="47:48" x14ac:dyDescent="0.25">
      <c r="AU5932" s="7"/>
      <c r="AV5932" s="7"/>
    </row>
    <row r="5933" spans="47:48" x14ac:dyDescent="0.25">
      <c r="AU5933" s="7"/>
      <c r="AV5933" s="7"/>
    </row>
    <row r="5934" spans="47:48" x14ac:dyDescent="0.25">
      <c r="AU5934" s="7"/>
      <c r="AV5934" s="7"/>
    </row>
    <row r="5935" spans="47:48" x14ac:dyDescent="0.25">
      <c r="AU5935" s="7"/>
      <c r="AV5935" s="7"/>
    </row>
    <row r="5936" spans="47:48" x14ac:dyDescent="0.25">
      <c r="AU5936" s="7"/>
      <c r="AV5936" s="7"/>
    </row>
    <row r="5937" spans="47:48" x14ac:dyDescent="0.25">
      <c r="AU5937" s="7"/>
      <c r="AV5937" s="7"/>
    </row>
    <row r="5938" spans="47:48" x14ac:dyDescent="0.25">
      <c r="AU5938" s="7"/>
      <c r="AV5938" s="7"/>
    </row>
    <row r="5939" spans="47:48" x14ac:dyDescent="0.25">
      <c r="AU5939" s="7"/>
      <c r="AV5939" s="7"/>
    </row>
    <row r="5940" spans="47:48" x14ac:dyDescent="0.25">
      <c r="AU5940" s="7"/>
      <c r="AV5940" s="7"/>
    </row>
    <row r="5941" spans="47:48" x14ac:dyDescent="0.25">
      <c r="AU5941" s="7"/>
      <c r="AV5941" s="7"/>
    </row>
    <row r="5942" spans="47:48" x14ac:dyDescent="0.25">
      <c r="AU5942" s="7"/>
      <c r="AV5942" s="7"/>
    </row>
    <row r="5943" spans="47:48" x14ac:dyDescent="0.25">
      <c r="AU5943" s="7"/>
      <c r="AV5943" s="7"/>
    </row>
    <row r="5944" spans="47:48" x14ac:dyDescent="0.25">
      <c r="AU5944" s="7"/>
      <c r="AV5944" s="7"/>
    </row>
    <row r="5945" spans="47:48" x14ac:dyDescent="0.25">
      <c r="AU5945" s="7"/>
      <c r="AV5945" s="7"/>
    </row>
    <row r="5946" spans="47:48" x14ac:dyDescent="0.25">
      <c r="AU5946" s="7"/>
      <c r="AV5946" s="7"/>
    </row>
    <row r="5947" spans="47:48" x14ac:dyDescent="0.25">
      <c r="AU5947" s="7"/>
      <c r="AV5947" s="7"/>
    </row>
    <row r="5948" spans="47:48" x14ac:dyDescent="0.25">
      <c r="AU5948" s="7"/>
      <c r="AV5948" s="7"/>
    </row>
    <row r="5949" spans="47:48" x14ac:dyDescent="0.25">
      <c r="AU5949" s="7"/>
      <c r="AV5949" s="7"/>
    </row>
    <row r="5950" spans="47:48" x14ac:dyDescent="0.25">
      <c r="AU5950" s="7"/>
      <c r="AV5950" s="7"/>
    </row>
    <row r="5951" spans="47:48" x14ac:dyDescent="0.25">
      <c r="AU5951" s="7"/>
      <c r="AV5951" s="7"/>
    </row>
    <row r="5952" spans="47:48" x14ac:dyDescent="0.25">
      <c r="AU5952" s="7"/>
      <c r="AV5952" s="7"/>
    </row>
    <row r="5953" spans="47:48" x14ac:dyDescent="0.25">
      <c r="AU5953" s="7"/>
      <c r="AV5953" s="7"/>
    </row>
    <row r="5954" spans="47:48" x14ac:dyDescent="0.25">
      <c r="AU5954" s="7"/>
      <c r="AV5954" s="7"/>
    </row>
    <row r="5955" spans="47:48" x14ac:dyDescent="0.25">
      <c r="AU5955" s="7"/>
      <c r="AV5955" s="7"/>
    </row>
    <row r="5956" spans="47:48" x14ac:dyDescent="0.25">
      <c r="AU5956" s="7"/>
      <c r="AV5956" s="7"/>
    </row>
    <row r="5957" spans="47:48" x14ac:dyDescent="0.25">
      <c r="AU5957" s="7"/>
      <c r="AV5957" s="7"/>
    </row>
    <row r="5958" spans="47:48" x14ac:dyDescent="0.25">
      <c r="AU5958" s="7"/>
      <c r="AV5958" s="7"/>
    </row>
    <row r="5959" spans="47:48" x14ac:dyDescent="0.25">
      <c r="AU5959" s="7"/>
      <c r="AV5959" s="7"/>
    </row>
    <row r="5960" spans="47:48" x14ac:dyDescent="0.25">
      <c r="AU5960" s="7"/>
      <c r="AV5960" s="7"/>
    </row>
    <row r="5961" spans="47:48" x14ac:dyDescent="0.25">
      <c r="AU5961" s="7"/>
      <c r="AV5961" s="7"/>
    </row>
    <row r="5962" spans="47:48" x14ac:dyDescent="0.25">
      <c r="AU5962" s="7"/>
      <c r="AV5962" s="7"/>
    </row>
    <row r="5963" spans="47:48" x14ac:dyDescent="0.25">
      <c r="AU5963" s="7"/>
      <c r="AV5963" s="7"/>
    </row>
    <row r="5964" spans="47:48" x14ac:dyDescent="0.25">
      <c r="AU5964" s="7"/>
      <c r="AV5964" s="7"/>
    </row>
    <row r="5965" spans="47:48" x14ac:dyDescent="0.25">
      <c r="AU5965" s="7"/>
      <c r="AV5965" s="7"/>
    </row>
    <row r="5966" spans="47:48" x14ac:dyDescent="0.25">
      <c r="AU5966" s="7"/>
      <c r="AV5966" s="7"/>
    </row>
    <row r="5967" spans="47:48" x14ac:dyDescent="0.25">
      <c r="AU5967" s="7"/>
      <c r="AV5967" s="7"/>
    </row>
    <row r="5968" spans="47:48" x14ac:dyDescent="0.25">
      <c r="AU5968" s="7"/>
      <c r="AV5968" s="7"/>
    </row>
    <row r="5969" spans="47:48" x14ac:dyDescent="0.25">
      <c r="AU5969" s="7"/>
      <c r="AV5969" s="7"/>
    </row>
    <row r="5970" spans="47:48" x14ac:dyDescent="0.25">
      <c r="AU5970" s="7"/>
      <c r="AV5970" s="7"/>
    </row>
    <row r="5971" spans="47:48" x14ac:dyDescent="0.25">
      <c r="AU5971" s="7"/>
      <c r="AV5971" s="7"/>
    </row>
    <row r="5972" spans="47:48" x14ac:dyDescent="0.25">
      <c r="AU5972" s="7"/>
      <c r="AV5972" s="7"/>
    </row>
    <row r="5973" spans="47:48" x14ac:dyDescent="0.25">
      <c r="AU5973" s="7"/>
      <c r="AV5973" s="7"/>
    </row>
    <row r="5974" spans="47:48" x14ac:dyDescent="0.25">
      <c r="AU5974" s="7"/>
      <c r="AV5974" s="7"/>
    </row>
    <row r="5975" spans="47:48" x14ac:dyDescent="0.25">
      <c r="AU5975" s="7"/>
      <c r="AV5975" s="7"/>
    </row>
    <row r="5976" spans="47:48" x14ac:dyDescent="0.25">
      <c r="AU5976" s="7"/>
      <c r="AV5976" s="7"/>
    </row>
    <row r="5977" spans="47:48" x14ac:dyDescent="0.25">
      <c r="AU5977" s="7"/>
      <c r="AV5977" s="7"/>
    </row>
    <row r="5978" spans="47:48" x14ac:dyDescent="0.25">
      <c r="AU5978" s="7"/>
      <c r="AV5978" s="7"/>
    </row>
    <row r="5979" spans="47:48" x14ac:dyDescent="0.25">
      <c r="AU5979" s="7"/>
      <c r="AV5979" s="7"/>
    </row>
    <row r="5980" spans="47:48" x14ac:dyDescent="0.25">
      <c r="AU5980" s="7"/>
      <c r="AV5980" s="7"/>
    </row>
    <row r="5981" spans="47:48" x14ac:dyDescent="0.25">
      <c r="AU5981" s="7"/>
      <c r="AV5981" s="7"/>
    </row>
    <row r="5982" spans="47:48" x14ac:dyDescent="0.25">
      <c r="AU5982" s="7"/>
      <c r="AV5982" s="7"/>
    </row>
    <row r="5983" spans="47:48" x14ac:dyDescent="0.25">
      <c r="AU5983" s="7"/>
      <c r="AV5983" s="7"/>
    </row>
    <row r="5984" spans="47:48" x14ac:dyDescent="0.25">
      <c r="AU5984" s="7"/>
      <c r="AV5984" s="7"/>
    </row>
    <row r="5985" spans="47:48" x14ac:dyDescent="0.25">
      <c r="AU5985" s="7"/>
      <c r="AV5985" s="7"/>
    </row>
    <row r="5986" spans="47:48" x14ac:dyDescent="0.25">
      <c r="AU5986" s="7"/>
      <c r="AV5986" s="7"/>
    </row>
    <row r="5987" spans="47:48" x14ac:dyDescent="0.25">
      <c r="AU5987" s="7"/>
      <c r="AV5987" s="7"/>
    </row>
    <row r="5988" spans="47:48" x14ac:dyDescent="0.25">
      <c r="AU5988" s="7"/>
      <c r="AV5988" s="7"/>
    </row>
    <row r="5989" spans="47:48" x14ac:dyDescent="0.25">
      <c r="AU5989" s="7"/>
      <c r="AV5989" s="7"/>
    </row>
    <row r="5990" spans="47:48" x14ac:dyDescent="0.25">
      <c r="AU5990" s="7"/>
      <c r="AV5990" s="7"/>
    </row>
    <row r="5991" spans="47:48" x14ac:dyDescent="0.25">
      <c r="AU5991" s="7"/>
      <c r="AV5991" s="7"/>
    </row>
    <row r="5992" spans="47:48" x14ac:dyDescent="0.25">
      <c r="AU5992" s="7"/>
      <c r="AV5992" s="7"/>
    </row>
    <row r="5993" spans="47:48" x14ac:dyDescent="0.25">
      <c r="AU5993" s="7"/>
      <c r="AV5993" s="7"/>
    </row>
    <row r="5994" spans="47:48" x14ac:dyDescent="0.25">
      <c r="AU5994" s="7"/>
      <c r="AV5994" s="7"/>
    </row>
    <row r="5995" spans="47:48" x14ac:dyDescent="0.25">
      <c r="AU5995" s="7"/>
      <c r="AV5995" s="7"/>
    </row>
    <row r="5996" spans="47:48" x14ac:dyDescent="0.25">
      <c r="AU5996" s="7"/>
      <c r="AV5996" s="7"/>
    </row>
    <row r="5997" spans="47:48" x14ac:dyDescent="0.25">
      <c r="AU5997" s="7"/>
      <c r="AV5997" s="7"/>
    </row>
    <row r="5998" spans="47:48" x14ac:dyDescent="0.25">
      <c r="AU5998" s="7"/>
      <c r="AV5998" s="7"/>
    </row>
    <row r="5999" spans="47:48" x14ac:dyDescent="0.25">
      <c r="AU5999" s="7"/>
      <c r="AV5999" s="7"/>
    </row>
    <row r="6000" spans="47:48" x14ac:dyDescent="0.25">
      <c r="AU6000" s="7"/>
      <c r="AV6000" s="7"/>
    </row>
    <row r="6001" spans="47:48" x14ac:dyDescent="0.25">
      <c r="AU6001" s="7"/>
      <c r="AV6001" s="7"/>
    </row>
    <row r="6002" spans="47:48" x14ac:dyDescent="0.25">
      <c r="AU6002" s="7"/>
      <c r="AV6002" s="7"/>
    </row>
    <row r="6003" spans="47:48" x14ac:dyDescent="0.25">
      <c r="AU6003" s="7"/>
      <c r="AV6003" s="7"/>
    </row>
    <row r="6004" spans="47:48" x14ac:dyDescent="0.25">
      <c r="AU6004" s="7"/>
      <c r="AV6004" s="7"/>
    </row>
    <row r="6005" spans="47:48" x14ac:dyDescent="0.25">
      <c r="AU6005" s="7"/>
      <c r="AV6005" s="7"/>
    </row>
    <row r="6006" spans="47:48" x14ac:dyDescent="0.25">
      <c r="AU6006" s="7"/>
      <c r="AV6006" s="7"/>
    </row>
    <row r="6007" spans="47:48" x14ac:dyDescent="0.25">
      <c r="AU6007" s="7"/>
      <c r="AV6007" s="7"/>
    </row>
    <row r="6008" spans="47:48" x14ac:dyDescent="0.25">
      <c r="AU6008" s="7"/>
      <c r="AV6008" s="7"/>
    </row>
    <row r="6009" spans="47:48" x14ac:dyDescent="0.25">
      <c r="AU6009" s="7"/>
      <c r="AV6009" s="7"/>
    </row>
    <row r="6010" spans="47:48" x14ac:dyDescent="0.25">
      <c r="AU6010" s="7"/>
      <c r="AV6010" s="7"/>
    </row>
    <row r="6011" spans="47:48" x14ac:dyDescent="0.25">
      <c r="AU6011" s="7"/>
      <c r="AV6011" s="7"/>
    </row>
    <row r="6012" spans="47:48" x14ac:dyDescent="0.25">
      <c r="AU6012" s="7"/>
      <c r="AV6012" s="7"/>
    </row>
    <row r="6013" spans="47:48" x14ac:dyDescent="0.25">
      <c r="AU6013" s="7"/>
      <c r="AV6013" s="7"/>
    </row>
    <row r="6014" spans="47:48" x14ac:dyDescent="0.25">
      <c r="AU6014" s="7"/>
      <c r="AV6014" s="7"/>
    </row>
    <row r="6015" spans="47:48" x14ac:dyDescent="0.25">
      <c r="AU6015" s="7"/>
      <c r="AV6015" s="7"/>
    </row>
    <row r="6016" spans="47:48" x14ac:dyDescent="0.25">
      <c r="AU6016" s="7"/>
      <c r="AV6016" s="7"/>
    </row>
    <row r="6017" spans="47:48" x14ac:dyDescent="0.25">
      <c r="AU6017" s="7"/>
      <c r="AV6017" s="7"/>
    </row>
    <row r="6018" spans="47:48" x14ac:dyDescent="0.25">
      <c r="AU6018" s="7"/>
      <c r="AV6018" s="7"/>
    </row>
    <row r="6019" spans="47:48" x14ac:dyDescent="0.25">
      <c r="AU6019" s="7"/>
      <c r="AV6019" s="7"/>
    </row>
    <row r="6020" spans="47:48" x14ac:dyDescent="0.25">
      <c r="AU6020" s="7"/>
      <c r="AV6020" s="7"/>
    </row>
    <row r="6021" spans="47:48" x14ac:dyDescent="0.25">
      <c r="AU6021" s="7"/>
      <c r="AV6021" s="7"/>
    </row>
    <row r="6022" spans="47:48" x14ac:dyDescent="0.25">
      <c r="AU6022" s="7"/>
      <c r="AV6022" s="7"/>
    </row>
    <row r="6023" spans="47:48" x14ac:dyDescent="0.25">
      <c r="AU6023" s="7"/>
      <c r="AV6023" s="7"/>
    </row>
    <row r="6024" spans="47:48" x14ac:dyDescent="0.25">
      <c r="AU6024" s="7"/>
      <c r="AV6024" s="7"/>
    </row>
    <row r="6025" spans="47:48" x14ac:dyDescent="0.25">
      <c r="AU6025" s="7"/>
      <c r="AV6025" s="7"/>
    </row>
    <row r="6026" spans="47:48" x14ac:dyDescent="0.25">
      <c r="AU6026" s="7"/>
      <c r="AV6026" s="7"/>
    </row>
    <row r="6027" spans="47:48" x14ac:dyDescent="0.25">
      <c r="AU6027" s="7"/>
      <c r="AV6027" s="7"/>
    </row>
    <row r="6028" spans="47:48" x14ac:dyDescent="0.25">
      <c r="AU6028" s="7"/>
      <c r="AV6028" s="7"/>
    </row>
    <row r="6029" spans="47:48" x14ac:dyDescent="0.25">
      <c r="AU6029" s="7"/>
      <c r="AV6029" s="7"/>
    </row>
    <row r="6030" spans="47:48" x14ac:dyDescent="0.25">
      <c r="AU6030" s="7"/>
      <c r="AV6030" s="7"/>
    </row>
    <row r="6031" spans="47:48" x14ac:dyDescent="0.25">
      <c r="AU6031" s="7"/>
      <c r="AV6031" s="7"/>
    </row>
    <row r="6032" spans="47:48" x14ac:dyDescent="0.25">
      <c r="AU6032" s="7"/>
      <c r="AV6032" s="7"/>
    </row>
    <row r="6033" spans="47:48" x14ac:dyDescent="0.25">
      <c r="AU6033" s="7"/>
      <c r="AV6033" s="7"/>
    </row>
    <row r="6034" spans="47:48" x14ac:dyDescent="0.25">
      <c r="AU6034" s="7"/>
      <c r="AV6034" s="7"/>
    </row>
    <row r="6035" spans="47:48" x14ac:dyDescent="0.25">
      <c r="AU6035" s="7"/>
      <c r="AV6035" s="7"/>
    </row>
    <row r="6036" spans="47:48" x14ac:dyDescent="0.25">
      <c r="AU6036" s="7"/>
      <c r="AV6036" s="7"/>
    </row>
    <row r="6037" spans="47:48" x14ac:dyDescent="0.25">
      <c r="AU6037" s="7"/>
      <c r="AV6037" s="7"/>
    </row>
    <row r="6038" spans="47:48" x14ac:dyDescent="0.25">
      <c r="AU6038" s="7"/>
      <c r="AV6038" s="7"/>
    </row>
    <row r="6039" spans="47:48" x14ac:dyDescent="0.25">
      <c r="AU6039" s="7"/>
      <c r="AV6039" s="7"/>
    </row>
    <row r="6040" spans="47:48" x14ac:dyDescent="0.25">
      <c r="AU6040" s="7"/>
      <c r="AV6040" s="7"/>
    </row>
    <row r="6041" spans="47:48" x14ac:dyDescent="0.25">
      <c r="AU6041" s="7"/>
      <c r="AV6041" s="7"/>
    </row>
    <row r="6042" spans="47:48" x14ac:dyDescent="0.25">
      <c r="AU6042" s="7"/>
      <c r="AV6042" s="7"/>
    </row>
    <row r="6043" spans="47:48" x14ac:dyDescent="0.25">
      <c r="AU6043" s="7"/>
      <c r="AV6043" s="7"/>
    </row>
    <row r="6044" spans="47:48" x14ac:dyDescent="0.25">
      <c r="AU6044" s="7"/>
      <c r="AV6044" s="7"/>
    </row>
    <row r="6045" spans="47:48" x14ac:dyDescent="0.25">
      <c r="AU6045" s="7"/>
      <c r="AV6045" s="7"/>
    </row>
    <row r="6046" spans="47:48" x14ac:dyDescent="0.25">
      <c r="AU6046" s="7"/>
      <c r="AV6046" s="7"/>
    </row>
    <row r="6047" spans="47:48" x14ac:dyDescent="0.25">
      <c r="AU6047" s="7"/>
      <c r="AV6047" s="7"/>
    </row>
    <row r="6048" spans="47:48" x14ac:dyDescent="0.25">
      <c r="AU6048" s="7"/>
      <c r="AV6048" s="7"/>
    </row>
    <row r="6049" spans="47:48" x14ac:dyDescent="0.25">
      <c r="AU6049" s="7"/>
      <c r="AV6049" s="7"/>
    </row>
    <row r="6050" spans="47:48" x14ac:dyDescent="0.25">
      <c r="AU6050" s="7"/>
      <c r="AV6050" s="7"/>
    </row>
    <row r="6051" spans="47:48" x14ac:dyDescent="0.25">
      <c r="AU6051" s="7"/>
      <c r="AV6051" s="7"/>
    </row>
    <row r="6052" spans="47:48" x14ac:dyDescent="0.25">
      <c r="AU6052" s="7"/>
      <c r="AV6052" s="7"/>
    </row>
    <row r="6053" spans="47:48" x14ac:dyDescent="0.25">
      <c r="AU6053" s="7"/>
      <c r="AV6053" s="7"/>
    </row>
    <row r="6054" spans="47:48" x14ac:dyDescent="0.25">
      <c r="AU6054" s="7"/>
      <c r="AV6054" s="7"/>
    </row>
    <row r="6055" spans="47:48" x14ac:dyDescent="0.25">
      <c r="AU6055" s="7"/>
      <c r="AV6055" s="7"/>
    </row>
    <row r="6056" spans="47:48" x14ac:dyDescent="0.25">
      <c r="AU6056" s="7"/>
      <c r="AV6056" s="7"/>
    </row>
    <row r="6057" spans="47:48" x14ac:dyDescent="0.25">
      <c r="AU6057" s="7"/>
      <c r="AV6057" s="7"/>
    </row>
    <row r="6058" spans="47:48" x14ac:dyDescent="0.25">
      <c r="AU6058" s="7"/>
      <c r="AV6058" s="7"/>
    </row>
    <row r="6059" spans="47:48" x14ac:dyDescent="0.25">
      <c r="AU6059" s="7"/>
      <c r="AV6059" s="7"/>
    </row>
    <row r="6060" spans="47:48" x14ac:dyDescent="0.25">
      <c r="AU6060" s="7"/>
      <c r="AV6060" s="7"/>
    </row>
    <row r="6061" spans="47:48" x14ac:dyDescent="0.25">
      <c r="AU6061" s="7"/>
      <c r="AV6061" s="7"/>
    </row>
    <row r="6062" spans="47:48" x14ac:dyDescent="0.25">
      <c r="AU6062" s="7"/>
      <c r="AV6062" s="7"/>
    </row>
    <row r="6063" spans="47:48" x14ac:dyDescent="0.25">
      <c r="AU6063" s="7"/>
      <c r="AV6063" s="7"/>
    </row>
    <row r="6064" spans="47:48" x14ac:dyDescent="0.25">
      <c r="AU6064" s="7"/>
      <c r="AV6064" s="7"/>
    </row>
    <row r="6065" spans="47:48" x14ac:dyDescent="0.25">
      <c r="AU6065" s="7"/>
      <c r="AV6065" s="7"/>
    </row>
    <row r="6066" spans="47:48" x14ac:dyDescent="0.25">
      <c r="AU6066" s="7"/>
      <c r="AV6066" s="7"/>
    </row>
    <row r="6067" spans="47:48" x14ac:dyDescent="0.25">
      <c r="AU6067" s="7"/>
      <c r="AV6067" s="7"/>
    </row>
    <row r="6068" spans="47:48" x14ac:dyDescent="0.25">
      <c r="AU6068" s="7"/>
      <c r="AV6068" s="7"/>
    </row>
    <row r="6069" spans="47:48" x14ac:dyDescent="0.25">
      <c r="AU6069" s="7"/>
      <c r="AV6069" s="7"/>
    </row>
    <row r="6070" spans="47:48" x14ac:dyDescent="0.25">
      <c r="AU6070" s="7"/>
      <c r="AV6070" s="7"/>
    </row>
    <row r="6071" spans="47:48" x14ac:dyDescent="0.25">
      <c r="AU6071" s="7"/>
      <c r="AV6071" s="7"/>
    </row>
    <row r="6072" spans="47:48" x14ac:dyDescent="0.25">
      <c r="AU6072" s="7"/>
      <c r="AV6072" s="7"/>
    </row>
    <row r="6073" spans="47:48" x14ac:dyDescent="0.25">
      <c r="AU6073" s="7"/>
      <c r="AV6073" s="7"/>
    </row>
    <row r="6074" spans="47:48" x14ac:dyDescent="0.25">
      <c r="AU6074" s="7"/>
      <c r="AV6074" s="7"/>
    </row>
    <row r="6075" spans="47:48" x14ac:dyDescent="0.25">
      <c r="AU6075" s="7"/>
      <c r="AV6075" s="7"/>
    </row>
    <row r="6076" spans="47:48" x14ac:dyDescent="0.25">
      <c r="AU6076" s="7"/>
      <c r="AV6076" s="7"/>
    </row>
    <row r="6077" spans="47:48" x14ac:dyDescent="0.25">
      <c r="AU6077" s="7"/>
      <c r="AV6077" s="7"/>
    </row>
    <row r="6078" spans="47:48" x14ac:dyDescent="0.25">
      <c r="AU6078" s="7"/>
      <c r="AV6078" s="7"/>
    </row>
    <row r="6079" spans="47:48" x14ac:dyDescent="0.25">
      <c r="AU6079" s="7"/>
      <c r="AV6079" s="7"/>
    </row>
    <row r="6080" spans="47:48" x14ac:dyDescent="0.25">
      <c r="AU6080" s="7"/>
      <c r="AV6080" s="7"/>
    </row>
    <row r="6081" spans="47:48" x14ac:dyDescent="0.25">
      <c r="AU6081" s="7"/>
      <c r="AV6081" s="7"/>
    </row>
    <row r="6082" spans="47:48" x14ac:dyDescent="0.25">
      <c r="AU6082" s="7"/>
      <c r="AV6082" s="7"/>
    </row>
    <row r="6083" spans="47:48" x14ac:dyDescent="0.25">
      <c r="AU6083" s="7"/>
      <c r="AV6083" s="7"/>
    </row>
    <row r="6084" spans="47:48" x14ac:dyDescent="0.25">
      <c r="AU6084" s="7"/>
      <c r="AV6084" s="7"/>
    </row>
    <row r="6085" spans="47:48" x14ac:dyDescent="0.25">
      <c r="AU6085" s="7"/>
      <c r="AV6085" s="7"/>
    </row>
    <row r="6086" spans="47:48" x14ac:dyDescent="0.25">
      <c r="AU6086" s="7"/>
      <c r="AV6086" s="7"/>
    </row>
    <row r="6087" spans="47:48" x14ac:dyDescent="0.25">
      <c r="AU6087" s="7"/>
      <c r="AV6087" s="7"/>
    </row>
    <row r="6088" spans="47:48" x14ac:dyDescent="0.25">
      <c r="AU6088" s="7"/>
      <c r="AV6088" s="7"/>
    </row>
    <row r="6089" spans="47:48" x14ac:dyDescent="0.25">
      <c r="AU6089" s="7"/>
      <c r="AV6089" s="7"/>
    </row>
    <row r="6090" spans="47:48" x14ac:dyDescent="0.25">
      <c r="AU6090" s="7"/>
      <c r="AV6090" s="7"/>
    </row>
    <row r="6091" spans="47:48" x14ac:dyDescent="0.25">
      <c r="AU6091" s="7"/>
      <c r="AV6091" s="7"/>
    </row>
    <row r="6092" spans="47:48" x14ac:dyDescent="0.25">
      <c r="AU6092" s="7"/>
      <c r="AV6092" s="7"/>
    </row>
    <row r="6093" spans="47:48" x14ac:dyDescent="0.25">
      <c r="AU6093" s="7"/>
      <c r="AV6093" s="7"/>
    </row>
    <row r="6094" spans="47:48" x14ac:dyDescent="0.25">
      <c r="AU6094" s="7"/>
      <c r="AV6094" s="7"/>
    </row>
    <row r="6095" spans="47:48" x14ac:dyDescent="0.25">
      <c r="AU6095" s="7"/>
      <c r="AV6095" s="7"/>
    </row>
    <row r="6096" spans="47:48" x14ac:dyDescent="0.25">
      <c r="AU6096" s="7"/>
      <c r="AV6096" s="7"/>
    </row>
    <row r="6097" spans="47:48" x14ac:dyDescent="0.25">
      <c r="AU6097" s="7"/>
      <c r="AV6097" s="7"/>
    </row>
    <row r="6098" spans="47:48" x14ac:dyDescent="0.25">
      <c r="AU6098" s="7"/>
      <c r="AV6098" s="7"/>
    </row>
    <row r="6099" spans="47:48" x14ac:dyDescent="0.25">
      <c r="AU6099" s="7"/>
      <c r="AV6099" s="7"/>
    </row>
    <row r="6100" spans="47:48" x14ac:dyDescent="0.25">
      <c r="AU6100" s="7"/>
      <c r="AV6100" s="7"/>
    </row>
    <row r="6101" spans="47:48" x14ac:dyDescent="0.25">
      <c r="AU6101" s="7"/>
      <c r="AV6101" s="7"/>
    </row>
    <row r="6102" spans="47:48" x14ac:dyDescent="0.25">
      <c r="AU6102" s="7"/>
      <c r="AV6102" s="7"/>
    </row>
    <row r="6103" spans="47:48" x14ac:dyDescent="0.25">
      <c r="AU6103" s="7"/>
      <c r="AV6103" s="7"/>
    </row>
    <row r="6104" spans="47:48" x14ac:dyDescent="0.25">
      <c r="AU6104" s="7"/>
      <c r="AV6104" s="7"/>
    </row>
    <row r="6105" spans="47:48" x14ac:dyDescent="0.25">
      <c r="AU6105" s="7"/>
      <c r="AV6105" s="7"/>
    </row>
    <row r="6106" spans="47:48" x14ac:dyDescent="0.25">
      <c r="AU6106" s="7"/>
      <c r="AV6106" s="7"/>
    </row>
    <row r="6107" spans="47:48" x14ac:dyDescent="0.25">
      <c r="AU6107" s="7"/>
      <c r="AV6107" s="7"/>
    </row>
    <row r="6108" spans="47:48" x14ac:dyDescent="0.25">
      <c r="AU6108" s="7"/>
      <c r="AV6108" s="7"/>
    </row>
    <row r="6109" spans="47:48" x14ac:dyDescent="0.25">
      <c r="AU6109" s="7"/>
      <c r="AV6109" s="7"/>
    </row>
    <row r="6110" spans="47:48" x14ac:dyDescent="0.25">
      <c r="AU6110" s="7"/>
      <c r="AV6110" s="7"/>
    </row>
    <row r="6111" spans="47:48" x14ac:dyDescent="0.25">
      <c r="AU6111" s="7"/>
      <c r="AV6111" s="7"/>
    </row>
    <row r="6112" spans="47:48" x14ac:dyDescent="0.25">
      <c r="AU6112" s="7"/>
      <c r="AV6112" s="7"/>
    </row>
    <row r="6113" spans="47:48" x14ac:dyDescent="0.25">
      <c r="AU6113" s="7"/>
      <c r="AV6113" s="7"/>
    </row>
    <row r="6114" spans="47:48" x14ac:dyDescent="0.25">
      <c r="AU6114" s="7"/>
      <c r="AV6114" s="7"/>
    </row>
    <row r="6115" spans="47:48" x14ac:dyDescent="0.25">
      <c r="AU6115" s="7"/>
      <c r="AV6115" s="7"/>
    </row>
    <row r="6116" spans="47:48" x14ac:dyDescent="0.25">
      <c r="AU6116" s="7"/>
      <c r="AV6116" s="7"/>
    </row>
    <row r="6117" spans="47:48" x14ac:dyDescent="0.25">
      <c r="AU6117" s="7"/>
      <c r="AV6117" s="7"/>
    </row>
    <row r="6118" spans="47:48" x14ac:dyDescent="0.25">
      <c r="AU6118" s="7"/>
      <c r="AV6118" s="7"/>
    </row>
    <row r="6119" spans="47:48" x14ac:dyDescent="0.25">
      <c r="AU6119" s="7"/>
      <c r="AV6119" s="7"/>
    </row>
    <row r="6120" spans="47:48" x14ac:dyDescent="0.25">
      <c r="AU6120" s="7"/>
      <c r="AV6120" s="7"/>
    </row>
    <row r="6121" spans="47:48" x14ac:dyDescent="0.25">
      <c r="AU6121" s="7"/>
      <c r="AV6121" s="7"/>
    </row>
    <row r="6122" spans="47:48" x14ac:dyDescent="0.25">
      <c r="AU6122" s="7"/>
      <c r="AV6122" s="7"/>
    </row>
    <row r="6123" spans="47:48" x14ac:dyDescent="0.25">
      <c r="AU6123" s="7"/>
      <c r="AV6123" s="7"/>
    </row>
    <row r="6124" spans="47:48" x14ac:dyDescent="0.25">
      <c r="AU6124" s="7"/>
      <c r="AV6124" s="7"/>
    </row>
    <row r="6125" spans="47:48" x14ac:dyDescent="0.25">
      <c r="AU6125" s="7"/>
      <c r="AV6125" s="7"/>
    </row>
    <row r="6126" spans="47:48" x14ac:dyDescent="0.25">
      <c r="AU6126" s="7"/>
      <c r="AV6126" s="7"/>
    </row>
    <row r="6127" spans="47:48" x14ac:dyDescent="0.25">
      <c r="AU6127" s="7"/>
      <c r="AV6127" s="7"/>
    </row>
    <row r="6128" spans="47:48" x14ac:dyDescent="0.25">
      <c r="AU6128" s="7"/>
      <c r="AV6128" s="7"/>
    </row>
    <row r="6129" spans="47:48" x14ac:dyDescent="0.25">
      <c r="AU6129" s="7"/>
      <c r="AV6129" s="7"/>
    </row>
    <row r="6130" spans="47:48" x14ac:dyDescent="0.25">
      <c r="AU6130" s="7"/>
      <c r="AV6130" s="7"/>
    </row>
    <row r="6131" spans="47:48" x14ac:dyDescent="0.25">
      <c r="AU6131" s="7"/>
      <c r="AV6131" s="7"/>
    </row>
    <row r="6132" spans="47:48" x14ac:dyDescent="0.25">
      <c r="AU6132" s="7"/>
      <c r="AV6132" s="7"/>
    </row>
    <row r="6133" spans="47:48" x14ac:dyDescent="0.25">
      <c r="AU6133" s="7"/>
      <c r="AV6133" s="7"/>
    </row>
    <row r="6134" spans="47:48" x14ac:dyDescent="0.25">
      <c r="AU6134" s="7"/>
      <c r="AV6134" s="7"/>
    </row>
    <row r="6135" spans="47:48" x14ac:dyDescent="0.25">
      <c r="AU6135" s="7"/>
      <c r="AV6135" s="7"/>
    </row>
    <row r="6136" spans="47:48" x14ac:dyDescent="0.25">
      <c r="AU6136" s="7"/>
      <c r="AV6136" s="7"/>
    </row>
    <row r="6137" spans="47:48" x14ac:dyDescent="0.25">
      <c r="AU6137" s="7"/>
      <c r="AV6137" s="7"/>
    </row>
    <row r="6138" spans="47:48" x14ac:dyDescent="0.25">
      <c r="AU6138" s="7"/>
      <c r="AV6138" s="7"/>
    </row>
    <row r="6139" spans="47:48" x14ac:dyDescent="0.25">
      <c r="AU6139" s="7"/>
      <c r="AV6139" s="7"/>
    </row>
    <row r="6140" spans="47:48" x14ac:dyDescent="0.25">
      <c r="AU6140" s="7"/>
      <c r="AV6140" s="7"/>
    </row>
    <row r="6141" spans="47:48" x14ac:dyDescent="0.25">
      <c r="AU6141" s="7"/>
      <c r="AV6141" s="7"/>
    </row>
    <row r="6142" spans="47:48" x14ac:dyDescent="0.25">
      <c r="AU6142" s="7"/>
      <c r="AV6142" s="7"/>
    </row>
    <row r="6143" spans="47:48" x14ac:dyDescent="0.25">
      <c r="AU6143" s="7"/>
      <c r="AV6143" s="7"/>
    </row>
    <row r="6144" spans="47:48" x14ac:dyDescent="0.25">
      <c r="AU6144" s="7"/>
      <c r="AV6144" s="7"/>
    </row>
    <row r="6145" spans="47:48" x14ac:dyDescent="0.25">
      <c r="AU6145" s="7"/>
      <c r="AV6145" s="7"/>
    </row>
    <row r="6146" spans="47:48" x14ac:dyDescent="0.25">
      <c r="AU6146" s="7"/>
      <c r="AV6146" s="7"/>
    </row>
    <row r="6147" spans="47:48" x14ac:dyDescent="0.25">
      <c r="AU6147" s="7"/>
      <c r="AV6147" s="7"/>
    </row>
    <row r="6148" spans="47:48" x14ac:dyDescent="0.25">
      <c r="AU6148" s="7"/>
      <c r="AV6148" s="7"/>
    </row>
    <row r="6149" spans="47:48" x14ac:dyDescent="0.25">
      <c r="AU6149" s="7"/>
      <c r="AV6149" s="7"/>
    </row>
    <row r="6150" spans="47:48" x14ac:dyDescent="0.25">
      <c r="AU6150" s="7"/>
      <c r="AV6150" s="7"/>
    </row>
    <row r="6151" spans="47:48" x14ac:dyDescent="0.25">
      <c r="AU6151" s="7"/>
      <c r="AV6151" s="7"/>
    </row>
    <row r="6152" spans="47:48" x14ac:dyDescent="0.25">
      <c r="AU6152" s="7"/>
      <c r="AV6152" s="7"/>
    </row>
    <row r="6153" spans="47:48" x14ac:dyDescent="0.25">
      <c r="AU6153" s="7"/>
      <c r="AV6153" s="7"/>
    </row>
    <row r="6154" spans="47:48" x14ac:dyDescent="0.25">
      <c r="AU6154" s="7"/>
      <c r="AV6154" s="7"/>
    </row>
    <row r="6155" spans="47:48" x14ac:dyDescent="0.25">
      <c r="AU6155" s="7"/>
      <c r="AV6155" s="7"/>
    </row>
    <row r="6156" spans="47:48" x14ac:dyDescent="0.25">
      <c r="AU6156" s="7"/>
      <c r="AV6156" s="7"/>
    </row>
    <row r="6157" spans="47:48" x14ac:dyDescent="0.25">
      <c r="AU6157" s="7"/>
      <c r="AV6157" s="7"/>
    </row>
    <row r="6158" spans="47:48" x14ac:dyDescent="0.25">
      <c r="AU6158" s="7"/>
      <c r="AV6158" s="7"/>
    </row>
    <row r="6159" spans="47:48" x14ac:dyDescent="0.25">
      <c r="AU6159" s="7"/>
      <c r="AV6159" s="7"/>
    </row>
    <row r="6160" spans="47:48" x14ac:dyDescent="0.25">
      <c r="AU6160" s="7"/>
      <c r="AV6160" s="7"/>
    </row>
    <row r="6161" spans="47:48" x14ac:dyDescent="0.25">
      <c r="AU6161" s="7"/>
      <c r="AV6161" s="7"/>
    </row>
    <row r="6162" spans="47:48" x14ac:dyDescent="0.25">
      <c r="AU6162" s="7"/>
      <c r="AV6162" s="7"/>
    </row>
    <row r="6163" spans="47:48" x14ac:dyDescent="0.25">
      <c r="AU6163" s="7"/>
      <c r="AV6163" s="7"/>
    </row>
    <row r="6164" spans="47:48" x14ac:dyDescent="0.25">
      <c r="AU6164" s="7"/>
      <c r="AV6164" s="7"/>
    </row>
    <row r="6165" spans="47:48" x14ac:dyDescent="0.25">
      <c r="AU6165" s="7"/>
      <c r="AV6165" s="7"/>
    </row>
    <row r="6166" spans="47:48" x14ac:dyDescent="0.25">
      <c r="AU6166" s="7"/>
      <c r="AV6166" s="7"/>
    </row>
    <row r="6167" spans="47:48" x14ac:dyDescent="0.25">
      <c r="AU6167" s="7"/>
      <c r="AV6167" s="7"/>
    </row>
    <row r="6168" spans="47:48" x14ac:dyDescent="0.25">
      <c r="AU6168" s="7"/>
      <c r="AV6168" s="7"/>
    </row>
    <row r="6169" spans="47:48" x14ac:dyDescent="0.25">
      <c r="AU6169" s="7"/>
      <c r="AV6169" s="7"/>
    </row>
    <row r="6170" spans="47:48" x14ac:dyDescent="0.25">
      <c r="AU6170" s="7"/>
      <c r="AV6170" s="7"/>
    </row>
    <row r="6171" spans="47:48" x14ac:dyDescent="0.25">
      <c r="AU6171" s="7"/>
      <c r="AV6171" s="7"/>
    </row>
    <row r="6172" spans="47:48" x14ac:dyDescent="0.25">
      <c r="AU6172" s="7"/>
      <c r="AV6172" s="7"/>
    </row>
    <row r="6173" spans="47:48" x14ac:dyDescent="0.25">
      <c r="AU6173" s="7"/>
      <c r="AV6173" s="7"/>
    </row>
    <row r="6174" spans="47:48" x14ac:dyDescent="0.25">
      <c r="AU6174" s="7"/>
      <c r="AV6174" s="7"/>
    </row>
    <row r="6175" spans="47:48" x14ac:dyDescent="0.25">
      <c r="AU6175" s="7"/>
      <c r="AV6175" s="7"/>
    </row>
    <row r="6176" spans="47:48" x14ac:dyDescent="0.25">
      <c r="AU6176" s="7"/>
      <c r="AV6176" s="7"/>
    </row>
    <row r="6177" spans="47:48" x14ac:dyDescent="0.25">
      <c r="AU6177" s="7"/>
      <c r="AV6177" s="7"/>
    </row>
    <row r="6178" spans="47:48" x14ac:dyDescent="0.25">
      <c r="AU6178" s="7"/>
      <c r="AV6178" s="7"/>
    </row>
    <row r="6179" spans="47:48" x14ac:dyDescent="0.25">
      <c r="AU6179" s="7"/>
      <c r="AV6179" s="7"/>
    </row>
    <row r="6180" spans="47:48" x14ac:dyDescent="0.25">
      <c r="AU6180" s="7"/>
      <c r="AV6180" s="7"/>
    </row>
    <row r="6181" spans="47:48" x14ac:dyDescent="0.25">
      <c r="AU6181" s="7"/>
      <c r="AV6181" s="7"/>
    </row>
    <row r="6182" spans="47:48" x14ac:dyDescent="0.25">
      <c r="AU6182" s="7"/>
      <c r="AV6182" s="7"/>
    </row>
    <row r="6183" spans="47:48" x14ac:dyDescent="0.25">
      <c r="AU6183" s="7"/>
      <c r="AV6183" s="7"/>
    </row>
    <row r="6184" spans="47:48" x14ac:dyDescent="0.25">
      <c r="AU6184" s="7"/>
      <c r="AV6184" s="7"/>
    </row>
    <row r="6185" spans="47:48" x14ac:dyDescent="0.25">
      <c r="AU6185" s="7"/>
      <c r="AV6185" s="7"/>
    </row>
    <row r="6186" spans="47:48" x14ac:dyDescent="0.25">
      <c r="AU6186" s="7"/>
      <c r="AV6186" s="7"/>
    </row>
    <row r="6187" spans="47:48" x14ac:dyDescent="0.25">
      <c r="AU6187" s="7"/>
      <c r="AV6187" s="7"/>
    </row>
    <row r="6188" spans="47:48" x14ac:dyDescent="0.25">
      <c r="AU6188" s="7"/>
      <c r="AV6188" s="7"/>
    </row>
    <row r="6189" spans="47:48" x14ac:dyDescent="0.25">
      <c r="AU6189" s="7"/>
      <c r="AV6189" s="7"/>
    </row>
    <row r="6190" spans="47:48" x14ac:dyDescent="0.25">
      <c r="AU6190" s="7"/>
      <c r="AV6190" s="7"/>
    </row>
    <row r="6191" spans="47:48" x14ac:dyDescent="0.25">
      <c r="AU6191" s="7"/>
      <c r="AV6191" s="7"/>
    </row>
    <row r="6192" spans="47:48" x14ac:dyDescent="0.25">
      <c r="AU6192" s="7"/>
      <c r="AV6192" s="7"/>
    </row>
    <row r="6193" spans="47:48" x14ac:dyDescent="0.25">
      <c r="AU6193" s="7"/>
      <c r="AV6193" s="7"/>
    </row>
    <row r="6194" spans="47:48" x14ac:dyDescent="0.25">
      <c r="AU6194" s="7"/>
      <c r="AV6194" s="7"/>
    </row>
    <row r="6195" spans="47:48" x14ac:dyDescent="0.25">
      <c r="AU6195" s="7"/>
      <c r="AV6195" s="7"/>
    </row>
    <row r="6196" spans="47:48" x14ac:dyDescent="0.25">
      <c r="AU6196" s="7"/>
      <c r="AV6196" s="7"/>
    </row>
    <row r="6197" spans="47:48" x14ac:dyDescent="0.25">
      <c r="AU6197" s="7"/>
      <c r="AV6197" s="7"/>
    </row>
    <row r="6198" spans="47:48" x14ac:dyDescent="0.25">
      <c r="AU6198" s="7"/>
      <c r="AV6198" s="7"/>
    </row>
    <row r="6199" spans="47:48" x14ac:dyDescent="0.25">
      <c r="AU6199" s="7"/>
      <c r="AV6199" s="7"/>
    </row>
    <row r="6200" spans="47:48" x14ac:dyDescent="0.25">
      <c r="AU6200" s="7"/>
      <c r="AV6200" s="7"/>
    </row>
    <row r="6201" spans="47:48" x14ac:dyDescent="0.25">
      <c r="AU6201" s="7"/>
      <c r="AV6201" s="7"/>
    </row>
    <row r="6202" spans="47:48" x14ac:dyDescent="0.25">
      <c r="AU6202" s="7"/>
      <c r="AV6202" s="7"/>
    </row>
    <row r="6203" spans="47:48" x14ac:dyDescent="0.25">
      <c r="AU6203" s="7"/>
      <c r="AV6203" s="7"/>
    </row>
    <row r="6204" spans="47:48" x14ac:dyDescent="0.25">
      <c r="AU6204" s="7"/>
      <c r="AV6204" s="7"/>
    </row>
    <row r="6205" spans="47:48" x14ac:dyDescent="0.25">
      <c r="AU6205" s="7"/>
      <c r="AV6205" s="7"/>
    </row>
    <row r="6206" spans="47:48" x14ac:dyDescent="0.25">
      <c r="AU6206" s="7"/>
      <c r="AV6206" s="7"/>
    </row>
    <row r="6207" spans="47:48" x14ac:dyDescent="0.25">
      <c r="AU6207" s="7"/>
      <c r="AV6207" s="7"/>
    </row>
    <row r="6208" spans="47:48" x14ac:dyDescent="0.25">
      <c r="AU6208" s="7"/>
      <c r="AV6208" s="7"/>
    </row>
    <row r="6209" spans="47:48" x14ac:dyDescent="0.25">
      <c r="AU6209" s="7"/>
      <c r="AV6209" s="7"/>
    </row>
    <row r="6210" spans="47:48" x14ac:dyDescent="0.25">
      <c r="AU6210" s="7"/>
      <c r="AV6210" s="7"/>
    </row>
    <row r="6211" spans="47:48" x14ac:dyDescent="0.25">
      <c r="AU6211" s="7"/>
      <c r="AV6211" s="7"/>
    </row>
    <row r="6212" spans="47:48" x14ac:dyDescent="0.25">
      <c r="AU6212" s="7"/>
      <c r="AV6212" s="7"/>
    </row>
    <row r="6213" spans="47:48" x14ac:dyDescent="0.25">
      <c r="AU6213" s="7"/>
      <c r="AV6213" s="7"/>
    </row>
    <row r="6214" spans="47:48" x14ac:dyDescent="0.25">
      <c r="AU6214" s="7"/>
      <c r="AV6214" s="7"/>
    </row>
    <row r="6215" spans="47:48" x14ac:dyDescent="0.25">
      <c r="AU6215" s="7"/>
      <c r="AV6215" s="7"/>
    </row>
    <row r="6216" spans="47:48" x14ac:dyDescent="0.25">
      <c r="AU6216" s="7"/>
      <c r="AV6216" s="7"/>
    </row>
    <row r="6217" spans="47:48" x14ac:dyDescent="0.25">
      <c r="AU6217" s="7"/>
      <c r="AV6217" s="7"/>
    </row>
    <row r="6218" spans="47:48" x14ac:dyDescent="0.25">
      <c r="AU6218" s="7"/>
      <c r="AV6218" s="7"/>
    </row>
    <row r="6219" spans="47:48" x14ac:dyDescent="0.25">
      <c r="AU6219" s="7"/>
      <c r="AV6219" s="7"/>
    </row>
    <row r="6220" spans="47:48" x14ac:dyDescent="0.25">
      <c r="AU6220" s="7"/>
      <c r="AV6220" s="7"/>
    </row>
    <row r="6221" spans="47:48" x14ac:dyDescent="0.25">
      <c r="AU6221" s="7"/>
      <c r="AV6221" s="7"/>
    </row>
    <row r="6222" spans="47:48" x14ac:dyDescent="0.25">
      <c r="AU6222" s="7"/>
      <c r="AV6222" s="7"/>
    </row>
    <row r="6223" spans="47:48" x14ac:dyDescent="0.25">
      <c r="AU6223" s="7"/>
      <c r="AV6223" s="7"/>
    </row>
    <row r="6224" spans="47:48" x14ac:dyDescent="0.25">
      <c r="AU6224" s="7"/>
      <c r="AV6224" s="7"/>
    </row>
    <row r="6225" spans="47:48" x14ac:dyDescent="0.25">
      <c r="AU6225" s="7"/>
      <c r="AV6225" s="7"/>
    </row>
    <row r="6226" spans="47:48" x14ac:dyDescent="0.25">
      <c r="AU6226" s="7"/>
      <c r="AV6226" s="7"/>
    </row>
    <row r="6227" spans="47:48" x14ac:dyDescent="0.25">
      <c r="AU6227" s="7"/>
      <c r="AV6227" s="7"/>
    </row>
    <row r="6228" spans="47:48" x14ac:dyDescent="0.25">
      <c r="AU6228" s="7"/>
      <c r="AV6228" s="7"/>
    </row>
    <row r="6229" spans="47:48" x14ac:dyDescent="0.25">
      <c r="AU6229" s="7"/>
      <c r="AV6229" s="7"/>
    </row>
    <row r="6230" spans="47:48" x14ac:dyDescent="0.25">
      <c r="AU6230" s="7"/>
      <c r="AV6230" s="7"/>
    </row>
    <row r="6231" spans="47:48" x14ac:dyDescent="0.25">
      <c r="AU6231" s="7"/>
      <c r="AV6231" s="7"/>
    </row>
    <row r="6232" spans="47:48" x14ac:dyDescent="0.25">
      <c r="AU6232" s="7"/>
      <c r="AV6232" s="7"/>
    </row>
    <row r="6233" spans="47:48" x14ac:dyDescent="0.25">
      <c r="AU6233" s="7"/>
      <c r="AV6233" s="7"/>
    </row>
    <row r="6234" spans="47:48" x14ac:dyDescent="0.25">
      <c r="AU6234" s="7"/>
      <c r="AV6234" s="7"/>
    </row>
    <row r="6235" spans="47:48" x14ac:dyDescent="0.25">
      <c r="AU6235" s="7"/>
      <c r="AV6235" s="7"/>
    </row>
    <row r="6236" spans="47:48" x14ac:dyDescent="0.25">
      <c r="AU6236" s="7"/>
      <c r="AV6236" s="7"/>
    </row>
    <row r="6237" spans="47:48" x14ac:dyDescent="0.25">
      <c r="AU6237" s="7"/>
      <c r="AV6237" s="7"/>
    </row>
    <row r="6238" spans="47:48" x14ac:dyDescent="0.25">
      <c r="AU6238" s="7"/>
      <c r="AV6238" s="7"/>
    </row>
    <row r="6239" spans="47:48" x14ac:dyDescent="0.25">
      <c r="AU6239" s="7"/>
      <c r="AV6239" s="7"/>
    </row>
    <row r="6240" spans="47:48" x14ac:dyDescent="0.25">
      <c r="AU6240" s="7"/>
      <c r="AV6240" s="7"/>
    </row>
    <row r="6241" spans="47:48" x14ac:dyDescent="0.25">
      <c r="AU6241" s="7"/>
      <c r="AV6241" s="7"/>
    </row>
    <row r="6242" spans="47:48" x14ac:dyDescent="0.25">
      <c r="AU6242" s="7"/>
      <c r="AV6242" s="7"/>
    </row>
    <row r="6243" spans="47:48" x14ac:dyDescent="0.25">
      <c r="AU6243" s="7"/>
      <c r="AV6243" s="7"/>
    </row>
    <row r="6244" spans="47:48" x14ac:dyDescent="0.25">
      <c r="AU6244" s="7"/>
      <c r="AV6244" s="7"/>
    </row>
    <row r="6245" spans="47:48" x14ac:dyDescent="0.25">
      <c r="AU6245" s="7"/>
      <c r="AV6245" s="7"/>
    </row>
    <row r="6246" spans="47:48" x14ac:dyDescent="0.25">
      <c r="AU6246" s="7"/>
      <c r="AV6246" s="7"/>
    </row>
    <row r="6247" spans="47:48" x14ac:dyDescent="0.25">
      <c r="AU6247" s="7"/>
      <c r="AV6247" s="7"/>
    </row>
    <row r="6248" spans="47:48" x14ac:dyDescent="0.25">
      <c r="AU6248" s="7"/>
      <c r="AV6248" s="7"/>
    </row>
    <row r="6249" spans="47:48" x14ac:dyDescent="0.25">
      <c r="AU6249" s="7"/>
      <c r="AV6249" s="7"/>
    </row>
    <row r="6250" spans="47:48" x14ac:dyDescent="0.25">
      <c r="AU6250" s="7"/>
      <c r="AV6250" s="7"/>
    </row>
    <row r="6251" spans="47:48" x14ac:dyDescent="0.25">
      <c r="AU6251" s="7"/>
      <c r="AV6251" s="7"/>
    </row>
    <row r="6252" spans="47:48" x14ac:dyDescent="0.25">
      <c r="AU6252" s="7"/>
      <c r="AV6252" s="7"/>
    </row>
    <row r="6253" spans="47:48" x14ac:dyDescent="0.25">
      <c r="AU6253" s="7"/>
      <c r="AV6253" s="7"/>
    </row>
    <row r="6254" spans="47:48" x14ac:dyDescent="0.25">
      <c r="AU6254" s="7"/>
      <c r="AV6254" s="7"/>
    </row>
    <row r="6255" spans="47:48" x14ac:dyDescent="0.25">
      <c r="AU6255" s="7"/>
      <c r="AV6255" s="7"/>
    </row>
    <row r="6256" spans="47:48" x14ac:dyDescent="0.25">
      <c r="AU6256" s="7"/>
      <c r="AV6256" s="7"/>
    </row>
    <row r="6257" spans="47:48" x14ac:dyDescent="0.25">
      <c r="AU6257" s="7"/>
      <c r="AV6257" s="7"/>
    </row>
    <row r="6258" spans="47:48" x14ac:dyDescent="0.25">
      <c r="AU6258" s="7"/>
      <c r="AV6258" s="7"/>
    </row>
    <row r="6259" spans="47:48" x14ac:dyDescent="0.25">
      <c r="AU6259" s="7"/>
      <c r="AV6259" s="7"/>
    </row>
    <row r="6260" spans="47:48" x14ac:dyDescent="0.25">
      <c r="AU6260" s="7"/>
      <c r="AV6260" s="7"/>
    </row>
    <row r="6261" spans="47:48" x14ac:dyDescent="0.25">
      <c r="AU6261" s="7"/>
      <c r="AV6261" s="7"/>
    </row>
    <row r="6262" spans="47:48" x14ac:dyDescent="0.25">
      <c r="AU6262" s="7"/>
      <c r="AV6262" s="7"/>
    </row>
    <row r="6263" spans="47:48" x14ac:dyDescent="0.25">
      <c r="AU6263" s="7"/>
      <c r="AV6263" s="7"/>
    </row>
    <row r="6264" spans="47:48" x14ac:dyDescent="0.25">
      <c r="AU6264" s="7"/>
      <c r="AV6264" s="7"/>
    </row>
    <row r="6265" spans="47:48" x14ac:dyDescent="0.25">
      <c r="AU6265" s="7"/>
      <c r="AV6265" s="7"/>
    </row>
    <row r="6266" spans="47:48" x14ac:dyDescent="0.25">
      <c r="AU6266" s="7"/>
      <c r="AV6266" s="7"/>
    </row>
    <row r="6267" spans="47:48" x14ac:dyDescent="0.25">
      <c r="AU6267" s="7"/>
      <c r="AV6267" s="7"/>
    </row>
    <row r="6268" spans="47:48" x14ac:dyDescent="0.25">
      <c r="AU6268" s="7"/>
      <c r="AV6268" s="7"/>
    </row>
    <row r="6269" spans="47:48" x14ac:dyDescent="0.25">
      <c r="AU6269" s="7"/>
      <c r="AV6269" s="7"/>
    </row>
    <row r="6270" spans="47:48" x14ac:dyDescent="0.25">
      <c r="AU6270" s="7"/>
      <c r="AV6270" s="7"/>
    </row>
    <row r="6271" spans="47:48" x14ac:dyDescent="0.25">
      <c r="AU6271" s="7"/>
      <c r="AV6271" s="7"/>
    </row>
    <row r="6272" spans="47:48" x14ac:dyDescent="0.25">
      <c r="AU6272" s="7"/>
      <c r="AV6272" s="7"/>
    </row>
    <row r="6273" spans="47:48" x14ac:dyDescent="0.25">
      <c r="AU6273" s="7"/>
      <c r="AV6273" s="7"/>
    </row>
    <row r="6274" spans="47:48" x14ac:dyDescent="0.25">
      <c r="AU6274" s="7"/>
      <c r="AV6274" s="7"/>
    </row>
    <row r="6275" spans="47:48" x14ac:dyDescent="0.25">
      <c r="AU6275" s="7"/>
      <c r="AV6275" s="7"/>
    </row>
    <row r="6276" spans="47:48" x14ac:dyDescent="0.25">
      <c r="AU6276" s="7"/>
      <c r="AV6276" s="7"/>
    </row>
    <row r="6277" spans="47:48" x14ac:dyDescent="0.25">
      <c r="AU6277" s="7"/>
      <c r="AV6277" s="7"/>
    </row>
    <row r="6278" spans="47:48" x14ac:dyDescent="0.25">
      <c r="AU6278" s="7"/>
      <c r="AV6278" s="7"/>
    </row>
    <row r="6279" spans="47:48" x14ac:dyDescent="0.25">
      <c r="AU6279" s="7"/>
      <c r="AV6279" s="7"/>
    </row>
    <row r="6280" spans="47:48" x14ac:dyDescent="0.25">
      <c r="AU6280" s="7"/>
      <c r="AV6280" s="7"/>
    </row>
    <row r="6281" spans="47:48" x14ac:dyDescent="0.25">
      <c r="AU6281" s="7"/>
      <c r="AV6281" s="7"/>
    </row>
    <row r="6282" spans="47:48" x14ac:dyDescent="0.25">
      <c r="AU6282" s="7"/>
      <c r="AV6282" s="7"/>
    </row>
    <row r="6283" spans="47:48" x14ac:dyDescent="0.25">
      <c r="AU6283" s="7"/>
      <c r="AV6283" s="7"/>
    </row>
    <row r="6284" spans="47:48" x14ac:dyDescent="0.25">
      <c r="AU6284" s="7"/>
      <c r="AV6284" s="7"/>
    </row>
    <row r="6285" spans="47:48" x14ac:dyDescent="0.25">
      <c r="AU6285" s="7"/>
      <c r="AV6285" s="7"/>
    </row>
    <row r="6286" spans="47:48" x14ac:dyDescent="0.25">
      <c r="AU6286" s="7"/>
      <c r="AV6286" s="7"/>
    </row>
    <row r="6287" spans="47:48" x14ac:dyDescent="0.25">
      <c r="AU6287" s="7"/>
      <c r="AV6287" s="7"/>
    </row>
    <row r="6288" spans="47:48" x14ac:dyDescent="0.25">
      <c r="AU6288" s="7"/>
      <c r="AV6288" s="7"/>
    </row>
    <row r="6289" spans="47:48" x14ac:dyDescent="0.25">
      <c r="AU6289" s="7"/>
      <c r="AV6289" s="7"/>
    </row>
    <row r="6290" spans="47:48" x14ac:dyDescent="0.25">
      <c r="AU6290" s="7"/>
      <c r="AV6290" s="7"/>
    </row>
    <row r="6291" spans="47:48" x14ac:dyDescent="0.25">
      <c r="AU6291" s="7"/>
      <c r="AV6291" s="7"/>
    </row>
    <row r="6292" spans="47:48" x14ac:dyDescent="0.25">
      <c r="AU6292" s="7"/>
      <c r="AV6292" s="7"/>
    </row>
    <row r="6293" spans="47:48" x14ac:dyDescent="0.25">
      <c r="AU6293" s="7"/>
      <c r="AV6293" s="7"/>
    </row>
    <row r="6294" spans="47:48" x14ac:dyDescent="0.25">
      <c r="AU6294" s="7"/>
      <c r="AV6294" s="7"/>
    </row>
    <row r="6295" spans="47:48" x14ac:dyDescent="0.25">
      <c r="AU6295" s="7"/>
      <c r="AV6295" s="7"/>
    </row>
    <row r="6296" spans="47:48" x14ac:dyDescent="0.25">
      <c r="AU6296" s="7"/>
      <c r="AV6296" s="7"/>
    </row>
    <row r="6297" spans="47:48" x14ac:dyDescent="0.25">
      <c r="AU6297" s="7"/>
      <c r="AV6297" s="7"/>
    </row>
    <row r="6298" spans="47:48" x14ac:dyDescent="0.25">
      <c r="AU6298" s="7"/>
      <c r="AV6298" s="7"/>
    </row>
    <row r="6299" spans="47:48" x14ac:dyDescent="0.25">
      <c r="AU6299" s="7"/>
      <c r="AV6299" s="7"/>
    </row>
    <row r="6300" spans="47:48" x14ac:dyDescent="0.25">
      <c r="AU6300" s="7"/>
      <c r="AV6300" s="7"/>
    </row>
    <row r="6301" spans="47:48" x14ac:dyDescent="0.25">
      <c r="AU6301" s="7"/>
      <c r="AV6301" s="7"/>
    </row>
    <row r="6302" spans="47:48" x14ac:dyDescent="0.25">
      <c r="AU6302" s="7"/>
      <c r="AV6302" s="7"/>
    </row>
    <row r="6303" spans="47:48" x14ac:dyDescent="0.25">
      <c r="AU6303" s="7"/>
      <c r="AV6303" s="7"/>
    </row>
    <row r="6304" spans="47:48" x14ac:dyDescent="0.25">
      <c r="AU6304" s="7"/>
      <c r="AV6304" s="7"/>
    </row>
    <row r="6305" spans="47:48" x14ac:dyDescent="0.25">
      <c r="AU6305" s="7"/>
      <c r="AV6305" s="7"/>
    </row>
    <row r="6306" spans="47:48" x14ac:dyDescent="0.25">
      <c r="AU6306" s="7"/>
      <c r="AV6306" s="7"/>
    </row>
    <row r="6307" spans="47:48" x14ac:dyDescent="0.25">
      <c r="AU6307" s="7"/>
      <c r="AV6307" s="7"/>
    </row>
    <row r="6308" spans="47:48" x14ac:dyDescent="0.25">
      <c r="AU6308" s="7"/>
      <c r="AV6308" s="7"/>
    </row>
    <row r="6309" spans="47:48" x14ac:dyDescent="0.25">
      <c r="AU6309" s="7"/>
      <c r="AV6309" s="7"/>
    </row>
    <row r="6310" spans="47:48" x14ac:dyDescent="0.25">
      <c r="AU6310" s="7"/>
      <c r="AV6310" s="7"/>
    </row>
    <row r="6311" spans="47:48" x14ac:dyDescent="0.25">
      <c r="AU6311" s="7"/>
      <c r="AV6311" s="7"/>
    </row>
    <row r="6312" spans="47:48" x14ac:dyDescent="0.25">
      <c r="AU6312" s="7"/>
      <c r="AV6312" s="7"/>
    </row>
    <row r="6313" spans="47:48" x14ac:dyDescent="0.25">
      <c r="AU6313" s="7"/>
      <c r="AV6313" s="7"/>
    </row>
    <row r="6314" spans="47:48" x14ac:dyDescent="0.25">
      <c r="AU6314" s="7"/>
      <c r="AV6314" s="7"/>
    </row>
    <row r="6315" spans="47:48" x14ac:dyDescent="0.25">
      <c r="AU6315" s="7"/>
      <c r="AV6315" s="7"/>
    </row>
    <row r="6316" spans="47:48" x14ac:dyDescent="0.25">
      <c r="AU6316" s="7"/>
      <c r="AV6316" s="7"/>
    </row>
    <row r="6317" spans="47:48" x14ac:dyDescent="0.25">
      <c r="AU6317" s="7"/>
      <c r="AV6317" s="7"/>
    </row>
    <row r="6318" spans="47:48" x14ac:dyDescent="0.25">
      <c r="AU6318" s="7"/>
      <c r="AV6318" s="7"/>
    </row>
    <row r="6319" spans="47:48" x14ac:dyDescent="0.25">
      <c r="AU6319" s="7"/>
      <c r="AV6319" s="7"/>
    </row>
    <row r="6320" spans="47:48" x14ac:dyDescent="0.25">
      <c r="AU6320" s="7"/>
      <c r="AV6320" s="7"/>
    </row>
    <row r="6321" spans="47:48" x14ac:dyDescent="0.25">
      <c r="AU6321" s="7"/>
      <c r="AV6321" s="7"/>
    </row>
    <row r="6322" spans="47:48" x14ac:dyDescent="0.25">
      <c r="AU6322" s="7"/>
      <c r="AV6322" s="7"/>
    </row>
    <row r="6323" spans="47:48" x14ac:dyDescent="0.25">
      <c r="AU6323" s="7"/>
      <c r="AV6323" s="7"/>
    </row>
    <row r="6324" spans="47:48" x14ac:dyDescent="0.25">
      <c r="AU6324" s="7"/>
      <c r="AV6324" s="7"/>
    </row>
    <row r="6325" spans="47:48" x14ac:dyDescent="0.25">
      <c r="AU6325" s="7"/>
      <c r="AV6325" s="7"/>
    </row>
    <row r="6326" spans="47:48" x14ac:dyDescent="0.25">
      <c r="AU6326" s="7"/>
      <c r="AV6326" s="7"/>
    </row>
    <row r="6327" spans="47:48" x14ac:dyDescent="0.25">
      <c r="AU6327" s="7"/>
      <c r="AV6327" s="7"/>
    </row>
    <row r="6328" spans="47:48" x14ac:dyDescent="0.25">
      <c r="AU6328" s="7"/>
      <c r="AV6328" s="7"/>
    </row>
    <row r="6329" spans="47:48" x14ac:dyDescent="0.25">
      <c r="AU6329" s="7"/>
      <c r="AV6329" s="7"/>
    </row>
    <row r="6330" spans="47:48" x14ac:dyDescent="0.25">
      <c r="AU6330" s="7"/>
      <c r="AV6330" s="7"/>
    </row>
    <row r="6331" spans="47:48" x14ac:dyDescent="0.25">
      <c r="AU6331" s="7"/>
      <c r="AV6331" s="7"/>
    </row>
    <row r="6332" spans="47:48" x14ac:dyDescent="0.25">
      <c r="AU6332" s="7"/>
      <c r="AV6332" s="7"/>
    </row>
    <row r="6333" spans="47:48" x14ac:dyDescent="0.25">
      <c r="AU6333" s="7"/>
      <c r="AV6333" s="7"/>
    </row>
    <row r="6334" spans="47:48" x14ac:dyDescent="0.25">
      <c r="AU6334" s="7"/>
      <c r="AV6334" s="7"/>
    </row>
    <row r="6335" spans="47:48" x14ac:dyDescent="0.25">
      <c r="AU6335" s="7"/>
      <c r="AV6335" s="7"/>
    </row>
    <row r="6336" spans="47:48" x14ac:dyDescent="0.25">
      <c r="AU6336" s="7"/>
      <c r="AV6336" s="7"/>
    </row>
    <row r="6337" spans="47:48" x14ac:dyDescent="0.25">
      <c r="AU6337" s="7"/>
      <c r="AV6337" s="7"/>
    </row>
    <row r="6338" spans="47:48" x14ac:dyDescent="0.25">
      <c r="AU6338" s="7"/>
      <c r="AV6338" s="7"/>
    </row>
    <row r="6339" spans="47:48" x14ac:dyDescent="0.25">
      <c r="AU6339" s="7"/>
      <c r="AV6339" s="7"/>
    </row>
    <row r="6340" spans="47:48" x14ac:dyDescent="0.25">
      <c r="AU6340" s="7"/>
      <c r="AV6340" s="7"/>
    </row>
    <row r="6341" spans="47:48" x14ac:dyDescent="0.25">
      <c r="AU6341" s="7"/>
      <c r="AV6341" s="7"/>
    </row>
    <row r="6342" spans="47:48" x14ac:dyDescent="0.25">
      <c r="AU6342" s="7"/>
      <c r="AV6342" s="7"/>
    </row>
    <row r="6343" spans="47:48" x14ac:dyDescent="0.25">
      <c r="AU6343" s="7"/>
      <c r="AV6343" s="7"/>
    </row>
    <row r="6344" spans="47:48" x14ac:dyDescent="0.25">
      <c r="AU6344" s="7"/>
      <c r="AV6344" s="7"/>
    </row>
    <row r="6345" spans="47:48" x14ac:dyDescent="0.25">
      <c r="AU6345" s="7"/>
      <c r="AV6345" s="7"/>
    </row>
    <row r="6346" spans="47:48" x14ac:dyDescent="0.25">
      <c r="AU6346" s="7"/>
      <c r="AV6346" s="7"/>
    </row>
    <row r="6347" spans="47:48" x14ac:dyDescent="0.25">
      <c r="AU6347" s="7"/>
      <c r="AV6347" s="7"/>
    </row>
    <row r="6348" spans="47:48" x14ac:dyDescent="0.25">
      <c r="AU6348" s="7"/>
      <c r="AV6348" s="7"/>
    </row>
    <row r="6349" spans="47:48" x14ac:dyDescent="0.25">
      <c r="AU6349" s="7"/>
      <c r="AV6349" s="7"/>
    </row>
    <row r="6350" spans="47:48" x14ac:dyDescent="0.25">
      <c r="AU6350" s="7"/>
      <c r="AV6350" s="7"/>
    </row>
    <row r="6351" spans="47:48" x14ac:dyDescent="0.25">
      <c r="AU6351" s="7"/>
      <c r="AV6351" s="7"/>
    </row>
    <row r="6352" spans="47:48" x14ac:dyDescent="0.25">
      <c r="AU6352" s="7"/>
      <c r="AV6352" s="7"/>
    </row>
    <row r="6353" spans="47:48" x14ac:dyDescent="0.25">
      <c r="AU6353" s="7"/>
      <c r="AV6353" s="7"/>
    </row>
    <row r="6354" spans="47:48" x14ac:dyDescent="0.25">
      <c r="AU6354" s="7"/>
      <c r="AV6354" s="7"/>
    </row>
    <row r="6355" spans="47:48" x14ac:dyDescent="0.25">
      <c r="AU6355" s="7"/>
      <c r="AV6355" s="7"/>
    </row>
    <row r="6356" spans="47:48" x14ac:dyDescent="0.25">
      <c r="AU6356" s="7"/>
      <c r="AV6356" s="7"/>
    </row>
    <row r="6357" spans="47:48" x14ac:dyDescent="0.25">
      <c r="AU6357" s="7"/>
      <c r="AV6357" s="7"/>
    </row>
    <row r="6358" spans="47:48" x14ac:dyDescent="0.25">
      <c r="AU6358" s="7"/>
      <c r="AV6358" s="7"/>
    </row>
    <row r="6359" spans="47:48" x14ac:dyDescent="0.25">
      <c r="AU6359" s="7"/>
      <c r="AV6359" s="7"/>
    </row>
    <row r="6360" spans="47:48" x14ac:dyDescent="0.25">
      <c r="AU6360" s="7"/>
      <c r="AV6360" s="7"/>
    </row>
    <row r="6361" spans="47:48" x14ac:dyDescent="0.25">
      <c r="AU6361" s="7"/>
      <c r="AV6361" s="7"/>
    </row>
    <row r="6362" spans="47:48" x14ac:dyDescent="0.25">
      <c r="AU6362" s="7"/>
      <c r="AV6362" s="7"/>
    </row>
    <row r="6363" spans="47:48" x14ac:dyDescent="0.25">
      <c r="AU6363" s="7"/>
      <c r="AV6363" s="7"/>
    </row>
    <row r="6364" spans="47:48" x14ac:dyDescent="0.25">
      <c r="AU6364" s="7"/>
      <c r="AV6364" s="7"/>
    </row>
    <row r="6365" spans="47:48" x14ac:dyDescent="0.25">
      <c r="AU6365" s="7"/>
      <c r="AV6365" s="7"/>
    </row>
    <row r="6366" spans="47:48" x14ac:dyDescent="0.25">
      <c r="AU6366" s="7"/>
      <c r="AV6366" s="7"/>
    </row>
    <row r="6367" spans="47:48" x14ac:dyDescent="0.25">
      <c r="AU6367" s="7"/>
      <c r="AV6367" s="7"/>
    </row>
    <row r="6368" spans="47:48" x14ac:dyDescent="0.25">
      <c r="AU6368" s="7"/>
      <c r="AV6368" s="7"/>
    </row>
    <row r="6369" spans="47:48" x14ac:dyDescent="0.25">
      <c r="AU6369" s="7"/>
      <c r="AV6369" s="7"/>
    </row>
    <row r="6370" spans="47:48" x14ac:dyDescent="0.25">
      <c r="AU6370" s="7"/>
      <c r="AV6370" s="7"/>
    </row>
    <row r="6371" spans="47:48" x14ac:dyDescent="0.25">
      <c r="AU6371" s="7"/>
      <c r="AV6371" s="7"/>
    </row>
    <row r="6372" spans="47:48" x14ac:dyDescent="0.25">
      <c r="AU6372" s="7"/>
      <c r="AV6372" s="7"/>
    </row>
    <row r="6373" spans="47:48" x14ac:dyDescent="0.25">
      <c r="AU6373" s="7"/>
      <c r="AV6373" s="7"/>
    </row>
    <row r="6374" spans="47:48" x14ac:dyDescent="0.25">
      <c r="AU6374" s="7"/>
      <c r="AV6374" s="7"/>
    </row>
    <row r="6375" spans="47:48" x14ac:dyDescent="0.25">
      <c r="AU6375" s="7"/>
      <c r="AV6375" s="7"/>
    </row>
    <row r="6376" spans="47:48" x14ac:dyDescent="0.25">
      <c r="AU6376" s="7"/>
      <c r="AV6376" s="7"/>
    </row>
    <row r="6377" spans="47:48" x14ac:dyDescent="0.25">
      <c r="AU6377" s="7"/>
      <c r="AV6377" s="7"/>
    </row>
    <row r="6378" spans="47:48" x14ac:dyDescent="0.25">
      <c r="AU6378" s="7"/>
      <c r="AV6378" s="7"/>
    </row>
    <row r="6379" spans="47:48" x14ac:dyDescent="0.25">
      <c r="AU6379" s="7"/>
      <c r="AV6379" s="7"/>
    </row>
    <row r="6380" spans="47:48" x14ac:dyDescent="0.25">
      <c r="AU6380" s="7"/>
      <c r="AV6380" s="7"/>
    </row>
    <row r="6381" spans="47:48" x14ac:dyDescent="0.25">
      <c r="AU6381" s="7"/>
      <c r="AV6381" s="7"/>
    </row>
    <row r="6382" spans="47:48" x14ac:dyDescent="0.25">
      <c r="AU6382" s="7"/>
      <c r="AV6382" s="7"/>
    </row>
    <row r="6383" spans="47:48" x14ac:dyDescent="0.25">
      <c r="AU6383" s="7"/>
      <c r="AV6383" s="7"/>
    </row>
    <row r="6384" spans="47:48" x14ac:dyDescent="0.25">
      <c r="AU6384" s="7"/>
      <c r="AV6384" s="7"/>
    </row>
    <row r="6385" spans="47:48" x14ac:dyDescent="0.25">
      <c r="AU6385" s="7"/>
      <c r="AV6385" s="7"/>
    </row>
    <row r="6386" spans="47:48" x14ac:dyDescent="0.25">
      <c r="AU6386" s="7"/>
      <c r="AV6386" s="7"/>
    </row>
    <row r="6387" spans="47:48" x14ac:dyDescent="0.25">
      <c r="AU6387" s="7"/>
      <c r="AV6387" s="7"/>
    </row>
    <row r="6388" spans="47:48" x14ac:dyDescent="0.25">
      <c r="AU6388" s="7"/>
      <c r="AV6388" s="7"/>
    </row>
    <row r="6389" spans="47:48" x14ac:dyDescent="0.25">
      <c r="AU6389" s="7"/>
      <c r="AV6389" s="7"/>
    </row>
    <row r="6390" spans="47:48" x14ac:dyDescent="0.25">
      <c r="AU6390" s="7"/>
      <c r="AV6390" s="7"/>
    </row>
    <row r="6391" spans="47:48" x14ac:dyDescent="0.25">
      <c r="AU6391" s="7"/>
      <c r="AV6391" s="7"/>
    </row>
    <row r="6392" spans="47:48" x14ac:dyDescent="0.25">
      <c r="AU6392" s="7"/>
      <c r="AV6392" s="7"/>
    </row>
    <row r="6393" spans="47:48" x14ac:dyDescent="0.25">
      <c r="AU6393" s="7"/>
      <c r="AV6393" s="7"/>
    </row>
    <row r="6394" spans="47:48" x14ac:dyDescent="0.25">
      <c r="AU6394" s="7"/>
      <c r="AV6394" s="7"/>
    </row>
    <row r="6395" spans="47:48" x14ac:dyDescent="0.25">
      <c r="AU6395" s="7"/>
      <c r="AV6395" s="7"/>
    </row>
    <row r="6396" spans="47:48" x14ac:dyDescent="0.25">
      <c r="AU6396" s="7"/>
      <c r="AV6396" s="7"/>
    </row>
    <row r="6397" spans="47:48" x14ac:dyDescent="0.25">
      <c r="AU6397" s="7"/>
      <c r="AV6397" s="7"/>
    </row>
    <row r="6398" spans="47:48" x14ac:dyDescent="0.25">
      <c r="AU6398" s="7"/>
      <c r="AV6398" s="7"/>
    </row>
    <row r="6399" spans="47:48" x14ac:dyDescent="0.25">
      <c r="AU6399" s="7"/>
      <c r="AV6399" s="7"/>
    </row>
    <row r="6400" spans="47:48" x14ac:dyDescent="0.25">
      <c r="AU6400" s="7"/>
      <c r="AV6400" s="7"/>
    </row>
    <row r="6401" spans="47:48" x14ac:dyDescent="0.25">
      <c r="AU6401" s="7"/>
      <c r="AV6401" s="7"/>
    </row>
    <row r="6402" spans="47:48" x14ac:dyDescent="0.25">
      <c r="AU6402" s="7"/>
      <c r="AV6402" s="7"/>
    </row>
    <row r="6403" spans="47:48" x14ac:dyDescent="0.25">
      <c r="AU6403" s="7"/>
      <c r="AV6403" s="7"/>
    </row>
    <row r="6404" spans="47:48" x14ac:dyDescent="0.25">
      <c r="AU6404" s="7"/>
      <c r="AV6404" s="7"/>
    </row>
    <row r="6405" spans="47:48" x14ac:dyDescent="0.25">
      <c r="AU6405" s="7"/>
      <c r="AV6405" s="7"/>
    </row>
    <row r="6406" spans="47:48" x14ac:dyDescent="0.25">
      <c r="AU6406" s="7"/>
      <c r="AV6406" s="7"/>
    </row>
    <row r="6407" spans="47:48" x14ac:dyDescent="0.25">
      <c r="AU6407" s="7"/>
      <c r="AV6407" s="7"/>
    </row>
    <row r="6408" spans="47:48" x14ac:dyDescent="0.25">
      <c r="AU6408" s="7"/>
      <c r="AV6408" s="7"/>
    </row>
    <row r="6409" spans="47:48" x14ac:dyDescent="0.25">
      <c r="AU6409" s="7"/>
      <c r="AV6409" s="7"/>
    </row>
    <row r="6410" spans="47:48" x14ac:dyDescent="0.25">
      <c r="AU6410" s="7"/>
      <c r="AV6410" s="7"/>
    </row>
    <row r="6411" spans="47:48" x14ac:dyDescent="0.25">
      <c r="AU6411" s="7"/>
      <c r="AV6411" s="7"/>
    </row>
    <row r="6412" spans="47:48" x14ac:dyDescent="0.25">
      <c r="AU6412" s="7"/>
      <c r="AV6412" s="7"/>
    </row>
    <row r="6413" spans="47:48" x14ac:dyDescent="0.25">
      <c r="AU6413" s="7"/>
      <c r="AV6413" s="7"/>
    </row>
    <row r="6414" spans="47:48" x14ac:dyDescent="0.25">
      <c r="AU6414" s="7"/>
      <c r="AV6414" s="7"/>
    </row>
    <row r="6415" spans="47:48" x14ac:dyDescent="0.25">
      <c r="AU6415" s="7"/>
      <c r="AV6415" s="7"/>
    </row>
    <row r="6416" spans="47:48" x14ac:dyDescent="0.25">
      <c r="AU6416" s="7"/>
      <c r="AV6416" s="7"/>
    </row>
    <row r="6417" spans="47:48" x14ac:dyDescent="0.25">
      <c r="AU6417" s="7"/>
      <c r="AV6417" s="7"/>
    </row>
    <row r="6418" spans="47:48" x14ac:dyDescent="0.25">
      <c r="AU6418" s="7"/>
      <c r="AV6418" s="7"/>
    </row>
    <row r="6419" spans="47:48" x14ac:dyDescent="0.25">
      <c r="AU6419" s="7"/>
      <c r="AV6419" s="7"/>
    </row>
    <row r="6420" spans="47:48" x14ac:dyDescent="0.25">
      <c r="AU6420" s="7"/>
      <c r="AV6420" s="7"/>
    </row>
    <row r="6421" spans="47:48" x14ac:dyDescent="0.25">
      <c r="AU6421" s="7"/>
      <c r="AV6421" s="7"/>
    </row>
    <row r="6422" spans="47:48" x14ac:dyDescent="0.25">
      <c r="AU6422" s="7"/>
      <c r="AV6422" s="7"/>
    </row>
    <row r="6423" spans="47:48" x14ac:dyDescent="0.25">
      <c r="AU6423" s="7"/>
      <c r="AV6423" s="7"/>
    </row>
    <row r="6424" spans="47:48" x14ac:dyDescent="0.25">
      <c r="AU6424" s="7"/>
      <c r="AV6424" s="7"/>
    </row>
    <row r="6425" spans="47:48" x14ac:dyDescent="0.25">
      <c r="AU6425" s="7"/>
      <c r="AV6425" s="7"/>
    </row>
    <row r="6426" spans="47:48" x14ac:dyDescent="0.25">
      <c r="AU6426" s="7"/>
      <c r="AV6426" s="7"/>
    </row>
    <row r="6427" spans="47:48" x14ac:dyDescent="0.25">
      <c r="AU6427" s="7"/>
      <c r="AV6427" s="7"/>
    </row>
    <row r="6428" spans="47:48" x14ac:dyDescent="0.25">
      <c r="AU6428" s="7"/>
      <c r="AV6428" s="7"/>
    </row>
    <row r="6429" spans="47:48" x14ac:dyDescent="0.25">
      <c r="AU6429" s="7"/>
      <c r="AV6429" s="7"/>
    </row>
    <row r="6430" spans="47:48" x14ac:dyDescent="0.25">
      <c r="AU6430" s="7"/>
      <c r="AV6430" s="7"/>
    </row>
    <row r="6431" spans="47:48" x14ac:dyDescent="0.25">
      <c r="AU6431" s="7"/>
      <c r="AV6431" s="7"/>
    </row>
    <row r="6432" spans="47:48" x14ac:dyDescent="0.25">
      <c r="AU6432" s="7"/>
      <c r="AV6432" s="7"/>
    </row>
    <row r="6433" spans="47:48" x14ac:dyDescent="0.25">
      <c r="AU6433" s="7"/>
      <c r="AV6433" s="7"/>
    </row>
    <row r="6434" spans="47:48" x14ac:dyDescent="0.25">
      <c r="AU6434" s="7"/>
      <c r="AV6434" s="7"/>
    </row>
    <row r="6435" spans="47:48" x14ac:dyDescent="0.25">
      <c r="AU6435" s="7"/>
      <c r="AV6435" s="7"/>
    </row>
    <row r="6436" spans="47:48" x14ac:dyDescent="0.25">
      <c r="AU6436" s="7"/>
      <c r="AV6436" s="7"/>
    </row>
    <row r="6437" spans="47:48" x14ac:dyDescent="0.25">
      <c r="AU6437" s="7"/>
      <c r="AV6437" s="7"/>
    </row>
    <row r="6438" spans="47:48" x14ac:dyDescent="0.25">
      <c r="AU6438" s="7"/>
      <c r="AV6438" s="7"/>
    </row>
    <row r="6439" spans="47:48" x14ac:dyDescent="0.25">
      <c r="AU6439" s="7"/>
      <c r="AV6439" s="7"/>
    </row>
    <row r="6440" spans="47:48" x14ac:dyDescent="0.25">
      <c r="AU6440" s="7"/>
      <c r="AV6440" s="7"/>
    </row>
    <row r="6441" spans="47:48" x14ac:dyDescent="0.25">
      <c r="AU6441" s="7"/>
      <c r="AV6441" s="7"/>
    </row>
    <row r="6442" spans="47:48" x14ac:dyDescent="0.25">
      <c r="AU6442" s="7"/>
      <c r="AV6442" s="7"/>
    </row>
    <row r="6443" spans="47:48" x14ac:dyDescent="0.25">
      <c r="AU6443" s="7"/>
      <c r="AV6443" s="7"/>
    </row>
    <row r="6444" spans="47:48" x14ac:dyDescent="0.25">
      <c r="AU6444" s="7"/>
      <c r="AV6444" s="7"/>
    </row>
    <row r="6445" spans="47:48" x14ac:dyDescent="0.25">
      <c r="AU6445" s="7"/>
      <c r="AV6445" s="7"/>
    </row>
    <row r="6446" spans="47:48" x14ac:dyDescent="0.25">
      <c r="AU6446" s="7"/>
      <c r="AV6446" s="7"/>
    </row>
    <row r="6447" spans="47:48" x14ac:dyDescent="0.25">
      <c r="AU6447" s="7"/>
      <c r="AV6447" s="7"/>
    </row>
    <row r="6448" spans="47:48" x14ac:dyDescent="0.25">
      <c r="AU6448" s="7"/>
      <c r="AV6448" s="7"/>
    </row>
    <row r="6449" spans="47:48" x14ac:dyDescent="0.25">
      <c r="AU6449" s="7"/>
      <c r="AV6449" s="7"/>
    </row>
    <row r="6450" spans="47:48" x14ac:dyDescent="0.25">
      <c r="AU6450" s="7"/>
      <c r="AV6450" s="7"/>
    </row>
    <row r="6451" spans="47:48" x14ac:dyDescent="0.25">
      <c r="AU6451" s="7"/>
      <c r="AV6451" s="7"/>
    </row>
    <row r="6452" spans="47:48" x14ac:dyDescent="0.25">
      <c r="AU6452" s="7"/>
      <c r="AV6452" s="7"/>
    </row>
    <row r="6453" spans="47:48" x14ac:dyDescent="0.25">
      <c r="AU6453" s="7"/>
      <c r="AV6453" s="7"/>
    </row>
    <row r="6454" spans="47:48" x14ac:dyDescent="0.25">
      <c r="AU6454" s="7"/>
      <c r="AV6454" s="7"/>
    </row>
    <row r="6455" spans="47:48" x14ac:dyDescent="0.25">
      <c r="AU6455" s="7"/>
      <c r="AV6455" s="7"/>
    </row>
    <row r="6456" spans="47:48" x14ac:dyDescent="0.25">
      <c r="AU6456" s="7"/>
      <c r="AV6456" s="7"/>
    </row>
    <row r="6457" spans="47:48" x14ac:dyDescent="0.25">
      <c r="AU6457" s="7"/>
      <c r="AV6457" s="7"/>
    </row>
    <row r="6458" spans="47:48" x14ac:dyDescent="0.25">
      <c r="AU6458" s="7"/>
      <c r="AV6458" s="7"/>
    </row>
    <row r="6459" spans="47:48" x14ac:dyDescent="0.25">
      <c r="AU6459" s="7"/>
      <c r="AV6459" s="7"/>
    </row>
    <row r="6460" spans="47:48" x14ac:dyDescent="0.25">
      <c r="AU6460" s="7"/>
      <c r="AV6460" s="7"/>
    </row>
    <row r="6461" spans="47:48" x14ac:dyDescent="0.25">
      <c r="AU6461" s="7"/>
      <c r="AV6461" s="7"/>
    </row>
    <row r="6462" spans="47:48" x14ac:dyDescent="0.25">
      <c r="AU6462" s="7"/>
      <c r="AV6462" s="7"/>
    </row>
    <row r="6463" spans="47:48" x14ac:dyDescent="0.25">
      <c r="AU6463" s="7"/>
      <c r="AV6463" s="7"/>
    </row>
    <row r="6464" spans="47:48" x14ac:dyDescent="0.25">
      <c r="AU6464" s="7"/>
      <c r="AV6464" s="7"/>
    </row>
    <row r="6465" spans="47:48" x14ac:dyDescent="0.25">
      <c r="AU6465" s="7"/>
      <c r="AV6465" s="7"/>
    </row>
    <row r="6466" spans="47:48" x14ac:dyDescent="0.25">
      <c r="AU6466" s="7"/>
      <c r="AV6466" s="7"/>
    </row>
    <row r="6467" spans="47:48" x14ac:dyDescent="0.25">
      <c r="AU6467" s="7"/>
      <c r="AV6467" s="7"/>
    </row>
    <row r="6468" spans="47:48" x14ac:dyDescent="0.25">
      <c r="AU6468" s="7"/>
      <c r="AV6468" s="7"/>
    </row>
    <row r="6469" spans="47:48" x14ac:dyDescent="0.25">
      <c r="AU6469" s="7"/>
      <c r="AV6469" s="7"/>
    </row>
    <row r="6470" spans="47:48" x14ac:dyDescent="0.25">
      <c r="AU6470" s="7"/>
      <c r="AV6470" s="7"/>
    </row>
    <row r="6471" spans="47:48" x14ac:dyDescent="0.25">
      <c r="AU6471" s="7"/>
      <c r="AV6471" s="7"/>
    </row>
    <row r="6472" spans="47:48" x14ac:dyDescent="0.25">
      <c r="AU6472" s="7"/>
      <c r="AV6472" s="7"/>
    </row>
    <row r="6473" spans="47:48" x14ac:dyDescent="0.25">
      <c r="AU6473" s="7"/>
      <c r="AV6473" s="7"/>
    </row>
    <row r="6474" spans="47:48" x14ac:dyDescent="0.25">
      <c r="AU6474" s="7"/>
      <c r="AV6474" s="7"/>
    </row>
    <row r="6475" spans="47:48" x14ac:dyDescent="0.25">
      <c r="AU6475" s="7"/>
      <c r="AV6475" s="7"/>
    </row>
    <row r="6476" spans="47:48" x14ac:dyDescent="0.25">
      <c r="AU6476" s="7"/>
      <c r="AV6476" s="7"/>
    </row>
    <row r="6477" spans="47:48" x14ac:dyDescent="0.25">
      <c r="AU6477" s="7"/>
      <c r="AV6477" s="7"/>
    </row>
    <row r="6478" spans="47:48" x14ac:dyDescent="0.25">
      <c r="AU6478" s="7"/>
      <c r="AV6478" s="7"/>
    </row>
    <row r="6479" spans="47:48" x14ac:dyDescent="0.25">
      <c r="AU6479" s="7"/>
      <c r="AV6479" s="7"/>
    </row>
    <row r="6480" spans="47:48" x14ac:dyDescent="0.25">
      <c r="AU6480" s="7"/>
      <c r="AV6480" s="7"/>
    </row>
    <row r="6481" spans="47:48" x14ac:dyDescent="0.25">
      <c r="AU6481" s="7"/>
      <c r="AV6481" s="7"/>
    </row>
    <row r="6482" spans="47:48" x14ac:dyDescent="0.25">
      <c r="AU6482" s="7"/>
      <c r="AV6482" s="7"/>
    </row>
    <row r="6483" spans="47:48" x14ac:dyDescent="0.25">
      <c r="AU6483" s="7"/>
      <c r="AV6483" s="7"/>
    </row>
    <row r="6484" spans="47:48" x14ac:dyDescent="0.25">
      <c r="AU6484" s="7"/>
      <c r="AV6484" s="7"/>
    </row>
    <row r="6485" spans="47:48" x14ac:dyDescent="0.25">
      <c r="AU6485" s="7"/>
      <c r="AV6485" s="7"/>
    </row>
    <row r="6486" spans="47:48" x14ac:dyDescent="0.25">
      <c r="AU6486" s="7"/>
      <c r="AV6486" s="7"/>
    </row>
    <row r="6487" spans="47:48" x14ac:dyDescent="0.25">
      <c r="AU6487" s="7"/>
      <c r="AV6487" s="7"/>
    </row>
    <row r="6488" spans="47:48" x14ac:dyDescent="0.25">
      <c r="AU6488" s="7"/>
      <c r="AV6488" s="7"/>
    </row>
    <row r="6489" spans="47:48" x14ac:dyDescent="0.25">
      <c r="AU6489" s="7"/>
      <c r="AV6489" s="7"/>
    </row>
    <row r="6490" spans="47:48" x14ac:dyDescent="0.25">
      <c r="AU6490" s="7"/>
      <c r="AV6490" s="7"/>
    </row>
    <row r="6491" spans="47:48" x14ac:dyDescent="0.25">
      <c r="AU6491" s="7"/>
      <c r="AV6491" s="7"/>
    </row>
    <row r="6492" spans="47:48" x14ac:dyDescent="0.25">
      <c r="AU6492" s="7"/>
      <c r="AV6492" s="7"/>
    </row>
    <row r="6493" spans="47:48" x14ac:dyDescent="0.25">
      <c r="AU6493" s="7"/>
      <c r="AV6493" s="7"/>
    </row>
    <row r="6494" spans="47:48" x14ac:dyDescent="0.25">
      <c r="AU6494" s="7"/>
      <c r="AV6494" s="7"/>
    </row>
    <row r="6495" spans="47:48" x14ac:dyDescent="0.25">
      <c r="AU6495" s="7"/>
      <c r="AV6495" s="7"/>
    </row>
    <row r="6496" spans="47:48" x14ac:dyDescent="0.25">
      <c r="AU6496" s="7"/>
      <c r="AV6496" s="7"/>
    </row>
    <row r="6497" spans="47:48" x14ac:dyDescent="0.25">
      <c r="AU6497" s="7"/>
      <c r="AV6497" s="7"/>
    </row>
    <row r="6498" spans="47:48" x14ac:dyDescent="0.25">
      <c r="AU6498" s="7"/>
      <c r="AV6498" s="7"/>
    </row>
    <row r="6499" spans="47:48" x14ac:dyDescent="0.25">
      <c r="AU6499" s="7"/>
      <c r="AV6499" s="7"/>
    </row>
    <row r="6500" spans="47:48" x14ac:dyDescent="0.25">
      <c r="AU6500" s="7"/>
      <c r="AV6500" s="7"/>
    </row>
    <row r="6501" spans="47:48" x14ac:dyDescent="0.25">
      <c r="AU6501" s="7"/>
      <c r="AV6501" s="7"/>
    </row>
    <row r="6502" spans="47:48" x14ac:dyDescent="0.25">
      <c r="AU6502" s="7"/>
      <c r="AV6502" s="7"/>
    </row>
    <row r="6503" spans="47:48" x14ac:dyDescent="0.25">
      <c r="AU6503" s="7"/>
      <c r="AV6503" s="7"/>
    </row>
    <row r="6504" spans="47:48" x14ac:dyDescent="0.25">
      <c r="AU6504" s="7"/>
      <c r="AV6504" s="7"/>
    </row>
    <row r="6505" spans="47:48" x14ac:dyDescent="0.25">
      <c r="AU6505" s="7"/>
      <c r="AV6505" s="7"/>
    </row>
    <row r="6506" spans="47:48" x14ac:dyDescent="0.25">
      <c r="AU6506" s="7"/>
      <c r="AV6506" s="7"/>
    </row>
    <row r="6507" spans="47:48" x14ac:dyDescent="0.25">
      <c r="AU6507" s="7"/>
      <c r="AV6507" s="7"/>
    </row>
    <row r="6508" spans="47:48" x14ac:dyDescent="0.25">
      <c r="AU6508" s="7"/>
      <c r="AV6508" s="7"/>
    </row>
    <row r="6509" spans="47:48" x14ac:dyDescent="0.25">
      <c r="AU6509" s="7"/>
      <c r="AV6509" s="7"/>
    </row>
    <row r="6510" spans="47:48" x14ac:dyDescent="0.25">
      <c r="AU6510" s="7"/>
      <c r="AV6510" s="7"/>
    </row>
    <row r="6511" spans="47:48" x14ac:dyDescent="0.25">
      <c r="AU6511" s="7"/>
      <c r="AV6511" s="7"/>
    </row>
    <row r="6512" spans="47:48" x14ac:dyDescent="0.25">
      <c r="AU6512" s="7"/>
      <c r="AV6512" s="7"/>
    </row>
    <row r="6513" spans="47:48" x14ac:dyDescent="0.25">
      <c r="AU6513" s="7"/>
      <c r="AV6513" s="7"/>
    </row>
    <row r="6514" spans="47:48" x14ac:dyDescent="0.25">
      <c r="AU6514" s="7"/>
      <c r="AV6514" s="7"/>
    </row>
    <row r="6515" spans="47:48" x14ac:dyDescent="0.25">
      <c r="AU6515" s="7"/>
      <c r="AV6515" s="7"/>
    </row>
    <row r="6516" spans="47:48" x14ac:dyDescent="0.25">
      <c r="AU6516" s="7"/>
      <c r="AV6516" s="7"/>
    </row>
    <row r="6517" spans="47:48" x14ac:dyDescent="0.25">
      <c r="AU6517" s="7"/>
      <c r="AV6517" s="7"/>
    </row>
    <row r="6518" spans="47:48" x14ac:dyDescent="0.25">
      <c r="AU6518" s="7"/>
      <c r="AV6518" s="7"/>
    </row>
    <row r="6519" spans="47:48" x14ac:dyDescent="0.25">
      <c r="AU6519" s="7"/>
      <c r="AV6519" s="7"/>
    </row>
    <row r="6520" spans="47:48" x14ac:dyDescent="0.25">
      <c r="AU6520" s="7"/>
      <c r="AV6520" s="7"/>
    </row>
    <row r="6521" spans="47:48" x14ac:dyDescent="0.25">
      <c r="AU6521" s="7"/>
      <c r="AV6521" s="7"/>
    </row>
    <row r="6522" spans="47:48" x14ac:dyDescent="0.25">
      <c r="AU6522" s="7"/>
      <c r="AV6522" s="7"/>
    </row>
    <row r="6523" spans="47:48" x14ac:dyDescent="0.25">
      <c r="AU6523" s="7"/>
      <c r="AV6523" s="7"/>
    </row>
    <row r="6524" spans="47:48" x14ac:dyDescent="0.25">
      <c r="AU6524" s="7"/>
      <c r="AV6524" s="7"/>
    </row>
    <row r="6525" spans="47:48" x14ac:dyDescent="0.25">
      <c r="AU6525" s="7"/>
      <c r="AV6525" s="7"/>
    </row>
    <row r="6526" spans="47:48" x14ac:dyDescent="0.25">
      <c r="AU6526" s="7"/>
      <c r="AV6526" s="7"/>
    </row>
    <row r="6527" spans="47:48" x14ac:dyDescent="0.25">
      <c r="AU6527" s="7"/>
      <c r="AV6527" s="7"/>
    </row>
    <row r="6528" spans="47:48" x14ac:dyDescent="0.25">
      <c r="AU6528" s="7"/>
      <c r="AV6528" s="7"/>
    </row>
    <row r="6529" spans="47:48" x14ac:dyDescent="0.25">
      <c r="AU6529" s="7"/>
      <c r="AV6529" s="7"/>
    </row>
    <row r="6530" spans="47:48" x14ac:dyDescent="0.25">
      <c r="AU6530" s="7"/>
      <c r="AV6530" s="7"/>
    </row>
    <row r="6531" spans="47:48" x14ac:dyDescent="0.25">
      <c r="AU6531" s="7"/>
      <c r="AV6531" s="7"/>
    </row>
    <row r="6532" spans="47:48" x14ac:dyDescent="0.25">
      <c r="AU6532" s="7"/>
      <c r="AV6532" s="7"/>
    </row>
    <row r="6533" spans="47:48" x14ac:dyDescent="0.25">
      <c r="AU6533" s="7"/>
      <c r="AV6533" s="7"/>
    </row>
    <row r="6534" spans="47:48" x14ac:dyDescent="0.25">
      <c r="AU6534" s="7"/>
      <c r="AV6534" s="7"/>
    </row>
    <row r="6535" spans="47:48" x14ac:dyDescent="0.25">
      <c r="AU6535" s="7"/>
      <c r="AV6535" s="7"/>
    </row>
    <row r="6536" spans="47:48" x14ac:dyDescent="0.25">
      <c r="AU6536" s="7"/>
      <c r="AV6536" s="7"/>
    </row>
    <row r="6537" spans="47:48" x14ac:dyDescent="0.25">
      <c r="AU6537" s="7"/>
      <c r="AV6537" s="7"/>
    </row>
    <row r="6538" spans="47:48" x14ac:dyDescent="0.25">
      <c r="AU6538" s="7"/>
      <c r="AV6538" s="7"/>
    </row>
    <row r="6539" spans="47:48" x14ac:dyDescent="0.25">
      <c r="AU6539" s="7"/>
      <c r="AV6539" s="7"/>
    </row>
    <row r="6540" spans="47:48" x14ac:dyDescent="0.25">
      <c r="AU6540" s="7"/>
      <c r="AV6540" s="7"/>
    </row>
    <row r="6541" spans="47:48" x14ac:dyDescent="0.25">
      <c r="AU6541" s="7"/>
      <c r="AV6541" s="7"/>
    </row>
    <row r="6542" spans="47:48" x14ac:dyDescent="0.25">
      <c r="AU6542" s="7"/>
      <c r="AV6542" s="7"/>
    </row>
    <row r="6543" spans="47:48" x14ac:dyDescent="0.25">
      <c r="AU6543" s="7"/>
      <c r="AV6543" s="7"/>
    </row>
    <row r="6544" spans="47:48" x14ac:dyDescent="0.25">
      <c r="AU6544" s="7"/>
      <c r="AV6544" s="7"/>
    </row>
    <row r="6545" spans="47:48" x14ac:dyDescent="0.25">
      <c r="AU6545" s="7"/>
      <c r="AV6545" s="7"/>
    </row>
    <row r="6546" spans="47:48" x14ac:dyDescent="0.25">
      <c r="AU6546" s="7"/>
      <c r="AV6546" s="7"/>
    </row>
    <row r="6547" spans="47:48" x14ac:dyDescent="0.25">
      <c r="AU6547" s="7"/>
      <c r="AV6547" s="7"/>
    </row>
    <row r="6548" spans="47:48" x14ac:dyDescent="0.25">
      <c r="AU6548" s="7"/>
      <c r="AV6548" s="7"/>
    </row>
    <row r="6549" spans="47:48" x14ac:dyDescent="0.25">
      <c r="AU6549" s="7"/>
      <c r="AV6549" s="7"/>
    </row>
    <row r="6550" spans="47:48" x14ac:dyDescent="0.25">
      <c r="AU6550" s="7"/>
      <c r="AV6550" s="7"/>
    </row>
    <row r="6551" spans="47:48" x14ac:dyDescent="0.25">
      <c r="AU6551" s="7"/>
      <c r="AV6551" s="7"/>
    </row>
    <row r="6552" spans="47:48" x14ac:dyDescent="0.25">
      <c r="AU6552" s="7"/>
      <c r="AV6552" s="7"/>
    </row>
    <row r="6553" spans="47:48" x14ac:dyDescent="0.25">
      <c r="AU6553" s="7"/>
      <c r="AV6553" s="7"/>
    </row>
    <row r="6554" spans="47:48" x14ac:dyDescent="0.25">
      <c r="AU6554" s="7"/>
      <c r="AV6554" s="7"/>
    </row>
    <row r="6555" spans="47:48" x14ac:dyDescent="0.25">
      <c r="AU6555" s="7"/>
      <c r="AV6555" s="7"/>
    </row>
    <row r="6556" spans="47:48" x14ac:dyDescent="0.25">
      <c r="AU6556" s="7"/>
      <c r="AV6556" s="7"/>
    </row>
    <row r="6557" spans="47:48" x14ac:dyDescent="0.25">
      <c r="AU6557" s="7"/>
      <c r="AV6557" s="7"/>
    </row>
    <row r="6558" spans="47:48" x14ac:dyDescent="0.25">
      <c r="AU6558" s="7"/>
      <c r="AV6558" s="7"/>
    </row>
    <row r="6559" spans="47:48" x14ac:dyDescent="0.25">
      <c r="AU6559" s="7"/>
      <c r="AV6559" s="7"/>
    </row>
    <row r="6560" spans="47:48" x14ac:dyDescent="0.25">
      <c r="AU6560" s="7"/>
      <c r="AV6560" s="7"/>
    </row>
    <row r="6561" spans="47:48" x14ac:dyDescent="0.25">
      <c r="AU6561" s="7"/>
      <c r="AV6561" s="7"/>
    </row>
    <row r="6562" spans="47:48" x14ac:dyDescent="0.25">
      <c r="AU6562" s="7"/>
      <c r="AV6562" s="7"/>
    </row>
    <row r="6563" spans="47:48" x14ac:dyDescent="0.25">
      <c r="AU6563" s="7"/>
      <c r="AV6563" s="7"/>
    </row>
    <row r="6564" spans="47:48" x14ac:dyDescent="0.25">
      <c r="AU6564" s="7"/>
      <c r="AV6564" s="7"/>
    </row>
    <row r="6565" spans="47:48" x14ac:dyDescent="0.25">
      <c r="AU6565" s="7"/>
      <c r="AV6565" s="7"/>
    </row>
    <row r="6566" spans="47:48" x14ac:dyDescent="0.25">
      <c r="AU6566" s="7"/>
      <c r="AV6566" s="7"/>
    </row>
    <row r="6567" spans="47:48" x14ac:dyDescent="0.25">
      <c r="AU6567" s="7"/>
      <c r="AV6567" s="7"/>
    </row>
    <row r="6568" spans="47:48" x14ac:dyDescent="0.25">
      <c r="AU6568" s="7"/>
      <c r="AV6568" s="7"/>
    </row>
    <row r="6569" spans="47:48" x14ac:dyDescent="0.25">
      <c r="AU6569" s="7"/>
      <c r="AV6569" s="7"/>
    </row>
    <row r="6570" spans="47:48" x14ac:dyDescent="0.25">
      <c r="AU6570" s="7"/>
      <c r="AV6570" s="7"/>
    </row>
    <row r="6571" spans="47:48" x14ac:dyDescent="0.25">
      <c r="AU6571" s="7"/>
      <c r="AV6571" s="7"/>
    </row>
    <row r="6572" spans="47:48" x14ac:dyDescent="0.25">
      <c r="AU6572" s="7"/>
      <c r="AV6572" s="7"/>
    </row>
    <row r="6573" spans="47:48" x14ac:dyDescent="0.25">
      <c r="AU6573" s="7"/>
      <c r="AV6573" s="7"/>
    </row>
    <row r="6574" spans="47:48" x14ac:dyDescent="0.25">
      <c r="AU6574" s="7"/>
      <c r="AV6574" s="7"/>
    </row>
    <row r="6575" spans="47:48" x14ac:dyDescent="0.25">
      <c r="AU6575" s="7"/>
      <c r="AV6575" s="7"/>
    </row>
    <row r="6576" spans="47:48" x14ac:dyDescent="0.25">
      <c r="AU6576" s="7"/>
      <c r="AV6576" s="7"/>
    </row>
    <row r="6577" spans="47:48" x14ac:dyDescent="0.25">
      <c r="AU6577" s="7"/>
      <c r="AV6577" s="7"/>
    </row>
    <row r="6578" spans="47:48" x14ac:dyDescent="0.25">
      <c r="AU6578" s="7"/>
      <c r="AV6578" s="7"/>
    </row>
    <row r="6579" spans="47:48" x14ac:dyDescent="0.25">
      <c r="AU6579" s="7"/>
      <c r="AV6579" s="7"/>
    </row>
    <row r="6580" spans="47:48" x14ac:dyDescent="0.25">
      <c r="AU6580" s="7"/>
      <c r="AV6580" s="7"/>
    </row>
    <row r="6581" spans="47:48" x14ac:dyDescent="0.25">
      <c r="AU6581" s="7"/>
      <c r="AV6581" s="7"/>
    </row>
    <row r="6582" spans="47:48" x14ac:dyDescent="0.25">
      <c r="AU6582" s="7"/>
      <c r="AV6582" s="7"/>
    </row>
    <row r="6583" spans="47:48" x14ac:dyDescent="0.25">
      <c r="AU6583" s="7"/>
      <c r="AV6583" s="7"/>
    </row>
    <row r="6584" spans="47:48" x14ac:dyDescent="0.25">
      <c r="AU6584" s="7"/>
      <c r="AV6584" s="7"/>
    </row>
    <row r="6585" spans="47:48" x14ac:dyDescent="0.25">
      <c r="AU6585" s="7"/>
      <c r="AV6585" s="7"/>
    </row>
    <row r="6586" spans="47:48" x14ac:dyDescent="0.25">
      <c r="AU6586" s="7"/>
      <c r="AV6586" s="7"/>
    </row>
    <row r="6587" spans="47:48" x14ac:dyDescent="0.25">
      <c r="AU6587" s="7"/>
      <c r="AV6587" s="7"/>
    </row>
    <row r="6588" spans="47:48" x14ac:dyDescent="0.25">
      <c r="AU6588" s="7"/>
      <c r="AV6588" s="7"/>
    </row>
    <row r="6589" spans="47:48" x14ac:dyDescent="0.25">
      <c r="AU6589" s="7"/>
      <c r="AV6589" s="7"/>
    </row>
    <row r="6590" spans="47:48" x14ac:dyDescent="0.25">
      <c r="AU6590" s="7"/>
      <c r="AV6590" s="7"/>
    </row>
    <row r="6591" spans="47:48" x14ac:dyDescent="0.25">
      <c r="AU6591" s="7"/>
      <c r="AV6591" s="7"/>
    </row>
    <row r="6592" spans="47:48" x14ac:dyDescent="0.25">
      <c r="AU6592" s="7"/>
      <c r="AV6592" s="7"/>
    </row>
    <row r="6593" spans="47:48" x14ac:dyDescent="0.25">
      <c r="AU6593" s="7"/>
      <c r="AV6593" s="7"/>
    </row>
    <row r="6594" spans="47:48" x14ac:dyDescent="0.25">
      <c r="AU6594" s="7"/>
      <c r="AV6594" s="7"/>
    </row>
    <row r="6595" spans="47:48" x14ac:dyDescent="0.25">
      <c r="AU6595" s="7"/>
      <c r="AV6595" s="7"/>
    </row>
    <row r="6596" spans="47:48" x14ac:dyDescent="0.25">
      <c r="AU6596" s="7"/>
      <c r="AV6596" s="7"/>
    </row>
    <row r="6597" spans="47:48" x14ac:dyDescent="0.25">
      <c r="AU6597" s="7"/>
      <c r="AV6597" s="7"/>
    </row>
    <row r="6598" spans="47:48" x14ac:dyDescent="0.25">
      <c r="AU6598" s="7"/>
      <c r="AV6598" s="7"/>
    </row>
    <row r="6599" spans="47:48" x14ac:dyDescent="0.25">
      <c r="AU6599" s="7"/>
      <c r="AV6599" s="7"/>
    </row>
    <row r="6600" spans="47:48" x14ac:dyDescent="0.25">
      <c r="AU6600" s="7"/>
      <c r="AV6600" s="7"/>
    </row>
    <row r="6601" spans="47:48" x14ac:dyDescent="0.25">
      <c r="AU6601" s="7"/>
      <c r="AV6601" s="7"/>
    </row>
    <row r="6602" spans="47:48" x14ac:dyDescent="0.25">
      <c r="AU6602" s="7"/>
      <c r="AV6602" s="7"/>
    </row>
    <row r="6603" spans="47:48" x14ac:dyDescent="0.25">
      <c r="AU6603" s="7"/>
      <c r="AV6603" s="7"/>
    </row>
    <row r="6604" spans="47:48" x14ac:dyDescent="0.25">
      <c r="AU6604" s="7"/>
      <c r="AV6604" s="7"/>
    </row>
    <row r="6605" spans="47:48" x14ac:dyDescent="0.25">
      <c r="AU6605" s="7"/>
      <c r="AV6605" s="7"/>
    </row>
    <row r="6606" spans="47:48" x14ac:dyDescent="0.25">
      <c r="AU6606" s="7"/>
      <c r="AV6606" s="7"/>
    </row>
    <row r="6607" spans="47:48" x14ac:dyDescent="0.25">
      <c r="AU6607" s="7"/>
      <c r="AV6607" s="7"/>
    </row>
    <row r="6608" spans="47:48" x14ac:dyDescent="0.25">
      <c r="AU6608" s="7"/>
      <c r="AV6608" s="7"/>
    </row>
    <row r="6609" spans="47:48" x14ac:dyDescent="0.25">
      <c r="AU6609" s="7"/>
      <c r="AV6609" s="7"/>
    </row>
    <row r="6610" spans="47:48" x14ac:dyDescent="0.25">
      <c r="AU6610" s="7"/>
      <c r="AV6610" s="7"/>
    </row>
    <row r="6611" spans="47:48" x14ac:dyDescent="0.25">
      <c r="AU6611" s="7"/>
      <c r="AV6611" s="7"/>
    </row>
    <row r="6612" spans="47:48" x14ac:dyDescent="0.25">
      <c r="AU6612" s="7"/>
      <c r="AV6612" s="7"/>
    </row>
    <row r="6613" spans="47:48" x14ac:dyDescent="0.25">
      <c r="AU6613" s="7"/>
      <c r="AV6613" s="7"/>
    </row>
    <row r="6614" spans="47:48" x14ac:dyDescent="0.25">
      <c r="AU6614" s="7"/>
      <c r="AV6614" s="7"/>
    </row>
    <row r="6615" spans="47:48" x14ac:dyDescent="0.25">
      <c r="AU6615" s="7"/>
      <c r="AV6615" s="7"/>
    </row>
    <row r="6616" spans="47:48" x14ac:dyDescent="0.25">
      <c r="AU6616" s="7"/>
      <c r="AV6616" s="7"/>
    </row>
    <row r="6617" spans="47:48" x14ac:dyDescent="0.25">
      <c r="AU6617" s="7"/>
      <c r="AV6617" s="7"/>
    </row>
    <row r="6618" spans="47:48" x14ac:dyDescent="0.25">
      <c r="AU6618" s="7"/>
      <c r="AV6618" s="7"/>
    </row>
    <row r="6619" spans="47:48" x14ac:dyDescent="0.25">
      <c r="AU6619" s="7"/>
      <c r="AV6619" s="7"/>
    </row>
    <row r="6620" spans="47:48" x14ac:dyDescent="0.25">
      <c r="AU6620" s="7"/>
      <c r="AV6620" s="7"/>
    </row>
    <row r="6621" spans="47:48" x14ac:dyDescent="0.25">
      <c r="AU6621" s="7"/>
      <c r="AV6621" s="7"/>
    </row>
    <row r="6622" spans="47:48" x14ac:dyDescent="0.25">
      <c r="AU6622" s="7"/>
      <c r="AV6622" s="7"/>
    </row>
    <row r="6623" spans="47:48" x14ac:dyDescent="0.25">
      <c r="AU6623" s="7"/>
      <c r="AV6623" s="7"/>
    </row>
    <row r="6624" spans="47:48" x14ac:dyDescent="0.25">
      <c r="AU6624" s="7"/>
      <c r="AV6624" s="7"/>
    </row>
    <row r="6625" spans="47:48" x14ac:dyDescent="0.25">
      <c r="AU6625" s="7"/>
      <c r="AV6625" s="7"/>
    </row>
    <row r="6626" spans="47:48" x14ac:dyDescent="0.25">
      <c r="AU6626" s="7"/>
      <c r="AV6626" s="7"/>
    </row>
    <row r="6627" spans="47:48" x14ac:dyDescent="0.25">
      <c r="AU6627" s="7"/>
      <c r="AV6627" s="7"/>
    </row>
    <row r="6628" spans="47:48" x14ac:dyDescent="0.25">
      <c r="AU6628" s="7"/>
      <c r="AV6628" s="7"/>
    </row>
    <row r="6629" spans="47:48" x14ac:dyDescent="0.25">
      <c r="AU6629" s="7"/>
      <c r="AV6629" s="7"/>
    </row>
    <row r="6630" spans="47:48" x14ac:dyDescent="0.25">
      <c r="AU6630" s="7"/>
      <c r="AV6630" s="7"/>
    </row>
    <row r="6631" spans="47:48" x14ac:dyDescent="0.25">
      <c r="AU6631" s="7"/>
      <c r="AV6631" s="7"/>
    </row>
    <row r="6632" spans="47:48" x14ac:dyDescent="0.25">
      <c r="AU6632" s="7"/>
      <c r="AV6632" s="7"/>
    </row>
    <row r="6633" spans="47:48" x14ac:dyDescent="0.25">
      <c r="AU6633" s="7"/>
      <c r="AV6633" s="7"/>
    </row>
    <row r="6634" spans="47:48" x14ac:dyDescent="0.25">
      <c r="AU6634" s="7"/>
      <c r="AV6634" s="7"/>
    </row>
    <row r="6635" spans="47:48" x14ac:dyDescent="0.25">
      <c r="AU6635" s="7"/>
      <c r="AV6635" s="7"/>
    </row>
    <row r="6636" spans="47:48" x14ac:dyDescent="0.25">
      <c r="AU6636" s="7"/>
      <c r="AV6636" s="7"/>
    </row>
    <row r="6637" spans="47:48" x14ac:dyDescent="0.25">
      <c r="AU6637" s="7"/>
      <c r="AV6637" s="7"/>
    </row>
    <row r="6638" spans="47:48" x14ac:dyDescent="0.25">
      <c r="AU6638" s="7"/>
      <c r="AV6638" s="7"/>
    </row>
    <row r="6639" spans="47:48" x14ac:dyDescent="0.25">
      <c r="AU6639" s="7"/>
      <c r="AV6639" s="7"/>
    </row>
    <row r="6640" spans="47:48" x14ac:dyDescent="0.25">
      <c r="AU6640" s="7"/>
      <c r="AV6640" s="7"/>
    </row>
    <row r="6641" spans="47:48" x14ac:dyDescent="0.25">
      <c r="AU6641" s="7"/>
      <c r="AV6641" s="7"/>
    </row>
    <row r="6642" spans="47:48" x14ac:dyDescent="0.25">
      <c r="AU6642" s="7"/>
      <c r="AV6642" s="7"/>
    </row>
    <row r="6643" spans="47:48" x14ac:dyDescent="0.25">
      <c r="AU6643" s="7"/>
      <c r="AV6643" s="7"/>
    </row>
    <row r="6644" spans="47:48" x14ac:dyDescent="0.25">
      <c r="AU6644" s="7"/>
      <c r="AV6644" s="7"/>
    </row>
    <row r="6645" spans="47:48" x14ac:dyDescent="0.25">
      <c r="AU6645" s="7"/>
      <c r="AV6645" s="7"/>
    </row>
    <row r="6646" spans="47:48" x14ac:dyDescent="0.25">
      <c r="AU6646" s="7"/>
      <c r="AV6646" s="7"/>
    </row>
    <row r="6647" spans="47:48" x14ac:dyDescent="0.25">
      <c r="AU6647" s="7"/>
      <c r="AV6647" s="7"/>
    </row>
    <row r="6648" spans="47:48" x14ac:dyDescent="0.25">
      <c r="AU6648" s="7"/>
      <c r="AV6648" s="7"/>
    </row>
    <row r="6649" spans="47:48" x14ac:dyDescent="0.25">
      <c r="AU6649" s="7"/>
      <c r="AV6649" s="7"/>
    </row>
    <row r="6650" spans="47:48" x14ac:dyDescent="0.25">
      <c r="AU6650" s="7"/>
      <c r="AV6650" s="7"/>
    </row>
    <row r="6651" spans="47:48" x14ac:dyDescent="0.25">
      <c r="AU6651" s="7"/>
      <c r="AV6651" s="7"/>
    </row>
    <row r="6652" spans="47:48" x14ac:dyDescent="0.25">
      <c r="AU6652" s="7"/>
      <c r="AV6652" s="7"/>
    </row>
    <row r="6653" spans="47:48" x14ac:dyDescent="0.25">
      <c r="AU6653" s="7"/>
      <c r="AV6653" s="7"/>
    </row>
    <row r="6654" spans="47:48" x14ac:dyDescent="0.25">
      <c r="AU6654" s="7"/>
      <c r="AV6654" s="7"/>
    </row>
    <row r="6655" spans="47:48" x14ac:dyDescent="0.25">
      <c r="AU6655" s="7"/>
      <c r="AV6655" s="7"/>
    </row>
    <row r="6656" spans="47:48" x14ac:dyDescent="0.25">
      <c r="AU6656" s="7"/>
      <c r="AV6656" s="7"/>
    </row>
    <row r="6657" spans="47:48" x14ac:dyDescent="0.25">
      <c r="AU6657" s="7"/>
      <c r="AV6657" s="7"/>
    </row>
    <row r="6658" spans="47:48" x14ac:dyDescent="0.25">
      <c r="AU6658" s="7"/>
      <c r="AV6658" s="7"/>
    </row>
    <row r="6659" spans="47:48" x14ac:dyDescent="0.25">
      <c r="AU6659" s="7"/>
      <c r="AV6659" s="7"/>
    </row>
    <row r="6660" spans="47:48" x14ac:dyDescent="0.25">
      <c r="AU6660" s="7"/>
      <c r="AV6660" s="7"/>
    </row>
    <row r="6661" spans="47:48" x14ac:dyDescent="0.25">
      <c r="AU6661" s="7"/>
      <c r="AV6661" s="7"/>
    </row>
    <row r="6662" spans="47:48" x14ac:dyDescent="0.25">
      <c r="AU6662" s="7"/>
      <c r="AV6662" s="7"/>
    </row>
    <row r="6663" spans="47:48" x14ac:dyDescent="0.25">
      <c r="AU6663" s="7"/>
      <c r="AV6663" s="7"/>
    </row>
    <row r="6664" spans="47:48" x14ac:dyDescent="0.25">
      <c r="AU6664" s="7"/>
      <c r="AV6664" s="7"/>
    </row>
    <row r="6665" spans="47:48" x14ac:dyDescent="0.25">
      <c r="AU6665" s="7"/>
      <c r="AV6665" s="7"/>
    </row>
    <row r="6666" spans="47:48" x14ac:dyDescent="0.25">
      <c r="AU6666" s="7"/>
      <c r="AV6666" s="7"/>
    </row>
    <row r="6667" spans="47:48" x14ac:dyDescent="0.25">
      <c r="AU6667" s="7"/>
      <c r="AV6667" s="7"/>
    </row>
    <row r="6668" spans="47:48" x14ac:dyDescent="0.25">
      <c r="AU6668" s="7"/>
      <c r="AV6668" s="7"/>
    </row>
    <row r="6669" spans="47:48" x14ac:dyDescent="0.25">
      <c r="AU6669" s="7"/>
      <c r="AV6669" s="7"/>
    </row>
    <row r="6670" spans="47:48" x14ac:dyDescent="0.25">
      <c r="AU6670" s="7"/>
      <c r="AV6670" s="7"/>
    </row>
    <row r="6671" spans="47:48" x14ac:dyDescent="0.25">
      <c r="AU6671" s="7"/>
      <c r="AV6671" s="7"/>
    </row>
    <row r="6672" spans="47:48" x14ac:dyDescent="0.25">
      <c r="AU6672" s="7"/>
      <c r="AV6672" s="7"/>
    </row>
    <row r="6673" spans="47:48" x14ac:dyDescent="0.25">
      <c r="AU6673" s="7"/>
      <c r="AV6673" s="7"/>
    </row>
    <row r="6674" spans="47:48" x14ac:dyDescent="0.25">
      <c r="AU6674" s="7"/>
      <c r="AV6674" s="7"/>
    </row>
    <row r="6675" spans="47:48" x14ac:dyDescent="0.25">
      <c r="AU6675" s="7"/>
      <c r="AV6675" s="7"/>
    </row>
    <row r="6676" spans="47:48" x14ac:dyDescent="0.25">
      <c r="AU6676" s="7"/>
      <c r="AV6676" s="7"/>
    </row>
    <row r="6677" spans="47:48" x14ac:dyDescent="0.25">
      <c r="AU6677" s="7"/>
      <c r="AV6677" s="7"/>
    </row>
    <row r="6678" spans="47:48" x14ac:dyDescent="0.25">
      <c r="AU6678" s="7"/>
      <c r="AV6678" s="7"/>
    </row>
    <row r="6679" spans="47:48" x14ac:dyDescent="0.25">
      <c r="AU6679" s="7"/>
      <c r="AV6679" s="7"/>
    </row>
    <row r="6680" spans="47:48" x14ac:dyDescent="0.25">
      <c r="AU6680" s="7"/>
      <c r="AV6680" s="7"/>
    </row>
    <row r="6681" spans="47:48" x14ac:dyDescent="0.25">
      <c r="AU6681" s="7"/>
      <c r="AV6681" s="7"/>
    </row>
    <row r="6682" spans="47:48" x14ac:dyDescent="0.25">
      <c r="AU6682" s="7"/>
      <c r="AV6682" s="7"/>
    </row>
    <row r="6683" spans="47:48" x14ac:dyDescent="0.25">
      <c r="AU6683" s="7"/>
      <c r="AV6683" s="7"/>
    </row>
    <row r="6684" spans="47:48" x14ac:dyDescent="0.25">
      <c r="AU6684" s="7"/>
      <c r="AV6684" s="7"/>
    </row>
    <row r="6685" spans="47:48" x14ac:dyDescent="0.25">
      <c r="AU6685" s="7"/>
      <c r="AV6685" s="7"/>
    </row>
    <row r="6686" spans="47:48" x14ac:dyDescent="0.25">
      <c r="AU6686" s="7"/>
      <c r="AV6686" s="7"/>
    </row>
    <row r="6687" spans="47:48" x14ac:dyDescent="0.25">
      <c r="AU6687" s="7"/>
      <c r="AV6687" s="7"/>
    </row>
    <row r="6688" spans="47:48" x14ac:dyDescent="0.25">
      <c r="AU6688" s="7"/>
      <c r="AV6688" s="7"/>
    </row>
    <row r="6689" spans="47:48" x14ac:dyDescent="0.25">
      <c r="AU6689" s="7"/>
      <c r="AV6689" s="7"/>
    </row>
    <row r="6690" spans="47:48" x14ac:dyDescent="0.25">
      <c r="AU6690" s="7"/>
      <c r="AV6690" s="7"/>
    </row>
    <row r="6691" spans="47:48" x14ac:dyDescent="0.25">
      <c r="AU6691" s="7"/>
      <c r="AV6691" s="7"/>
    </row>
    <row r="6692" spans="47:48" x14ac:dyDescent="0.25">
      <c r="AU6692" s="7"/>
      <c r="AV6692" s="7"/>
    </row>
    <row r="6693" spans="47:48" x14ac:dyDescent="0.25">
      <c r="AU6693" s="7"/>
      <c r="AV6693" s="7"/>
    </row>
    <row r="6694" spans="47:48" x14ac:dyDescent="0.25">
      <c r="AU6694" s="7"/>
      <c r="AV6694" s="7"/>
    </row>
    <row r="6695" spans="47:48" x14ac:dyDescent="0.25">
      <c r="AU6695" s="7"/>
      <c r="AV6695" s="7"/>
    </row>
    <row r="6696" spans="47:48" x14ac:dyDescent="0.25">
      <c r="AU6696" s="7"/>
      <c r="AV6696" s="7"/>
    </row>
    <row r="6697" spans="47:48" x14ac:dyDescent="0.25">
      <c r="AU6697" s="7"/>
      <c r="AV6697" s="7"/>
    </row>
    <row r="6698" spans="47:48" x14ac:dyDescent="0.25">
      <c r="AU6698" s="7"/>
      <c r="AV6698" s="7"/>
    </row>
    <row r="6699" spans="47:48" x14ac:dyDescent="0.25">
      <c r="AU6699" s="7"/>
      <c r="AV6699" s="7"/>
    </row>
    <row r="6700" spans="47:48" x14ac:dyDescent="0.25">
      <c r="AU6700" s="7"/>
      <c r="AV6700" s="7"/>
    </row>
    <row r="6701" spans="47:48" x14ac:dyDescent="0.25">
      <c r="AU6701" s="7"/>
      <c r="AV6701" s="7"/>
    </row>
    <row r="6702" spans="47:48" x14ac:dyDescent="0.25">
      <c r="AU6702" s="7"/>
      <c r="AV6702" s="7"/>
    </row>
    <row r="6703" spans="47:48" x14ac:dyDescent="0.25">
      <c r="AU6703" s="7"/>
      <c r="AV6703" s="7"/>
    </row>
    <row r="6704" spans="47:48" x14ac:dyDescent="0.25">
      <c r="AU6704" s="7"/>
      <c r="AV6704" s="7"/>
    </row>
    <row r="6705" spans="47:48" x14ac:dyDescent="0.25">
      <c r="AU6705" s="7"/>
      <c r="AV6705" s="7"/>
    </row>
    <row r="6706" spans="47:48" x14ac:dyDescent="0.25">
      <c r="AU6706" s="7"/>
      <c r="AV6706" s="7"/>
    </row>
    <row r="6707" spans="47:48" x14ac:dyDescent="0.25">
      <c r="AU6707" s="7"/>
      <c r="AV6707" s="7"/>
    </row>
    <row r="6708" spans="47:48" x14ac:dyDescent="0.25">
      <c r="AU6708" s="7"/>
      <c r="AV6708" s="7"/>
    </row>
    <row r="6709" spans="47:48" x14ac:dyDescent="0.25">
      <c r="AU6709" s="7"/>
      <c r="AV6709" s="7"/>
    </row>
    <row r="6710" spans="47:48" x14ac:dyDescent="0.25">
      <c r="AU6710" s="7"/>
      <c r="AV6710" s="7"/>
    </row>
    <row r="6711" spans="47:48" x14ac:dyDescent="0.25">
      <c r="AU6711" s="7"/>
      <c r="AV6711" s="7"/>
    </row>
    <row r="6712" spans="47:48" x14ac:dyDescent="0.25">
      <c r="AU6712" s="7"/>
      <c r="AV6712" s="7"/>
    </row>
    <row r="6713" spans="47:48" x14ac:dyDescent="0.25">
      <c r="AU6713" s="7"/>
      <c r="AV6713" s="7"/>
    </row>
    <row r="6714" spans="47:48" x14ac:dyDescent="0.25">
      <c r="AU6714" s="7"/>
      <c r="AV6714" s="7"/>
    </row>
    <row r="6715" spans="47:48" x14ac:dyDescent="0.25">
      <c r="AU6715" s="7"/>
      <c r="AV6715" s="7"/>
    </row>
    <row r="6716" spans="47:48" x14ac:dyDescent="0.25">
      <c r="AU6716" s="7"/>
      <c r="AV6716" s="7"/>
    </row>
    <row r="6717" spans="47:48" x14ac:dyDescent="0.25">
      <c r="AU6717" s="7"/>
      <c r="AV6717" s="7"/>
    </row>
    <row r="6718" spans="47:48" x14ac:dyDescent="0.25">
      <c r="AU6718" s="7"/>
      <c r="AV6718" s="7"/>
    </row>
    <row r="6719" spans="47:48" x14ac:dyDescent="0.25">
      <c r="AU6719" s="7"/>
      <c r="AV6719" s="7"/>
    </row>
    <row r="6720" spans="47:48" x14ac:dyDescent="0.25">
      <c r="AU6720" s="7"/>
      <c r="AV6720" s="7"/>
    </row>
    <row r="6721" spans="47:48" x14ac:dyDescent="0.25">
      <c r="AU6721" s="7"/>
      <c r="AV6721" s="7"/>
    </row>
    <row r="6722" spans="47:48" x14ac:dyDescent="0.25">
      <c r="AU6722" s="7"/>
      <c r="AV6722" s="7"/>
    </row>
    <row r="6723" spans="47:48" x14ac:dyDescent="0.25">
      <c r="AU6723" s="7"/>
      <c r="AV6723" s="7"/>
    </row>
    <row r="6724" spans="47:48" x14ac:dyDescent="0.25">
      <c r="AU6724" s="7"/>
      <c r="AV6724" s="7"/>
    </row>
    <row r="6725" spans="47:48" x14ac:dyDescent="0.25">
      <c r="AU6725" s="7"/>
      <c r="AV6725" s="7"/>
    </row>
    <row r="6726" spans="47:48" x14ac:dyDescent="0.25">
      <c r="AU6726" s="7"/>
      <c r="AV6726" s="7"/>
    </row>
    <row r="6727" spans="47:48" x14ac:dyDescent="0.25">
      <c r="AU6727" s="7"/>
      <c r="AV6727" s="7"/>
    </row>
    <row r="6728" spans="47:48" x14ac:dyDescent="0.25">
      <c r="AU6728" s="7"/>
      <c r="AV6728" s="7"/>
    </row>
    <row r="6729" spans="47:48" x14ac:dyDescent="0.25">
      <c r="AU6729" s="7"/>
      <c r="AV6729" s="7"/>
    </row>
    <row r="6730" spans="47:48" x14ac:dyDescent="0.25">
      <c r="AU6730" s="7"/>
      <c r="AV6730" s="7"/>
    </row>
    <row r="6731" spans="47:48" x14ac:dyDescent="0.25">
      <c r="AU6731" s="7"/>
      <c r="AV6731" s="7"/>
    </row>
    <row r="6732" spans="47:48" x14ac:dyDescent="0.25">
      <c r="AU6732" s="7"/>
      <c r="AV6732" s="7"/>
    </row>
    <row r="6733" spans="47:48" x14ac:dyDescent="0.25">
      <c r="AU6733" s="7"/>
      <c r="AV6733" s="7"/>
    </row>
    <row r="6734" spans="47:48" x14ac:dyDescent="0.25">
      <c r="AU6734" s="7"/>
      <c r="AV6734" s="7"/>
    </row>
    <row r="6735" spans="47:48" x14ac:dyDescent="0.25">
      <c r="AU6735" s="7"/>
      <c r="AV6735" s="7"/>
    </row>
    <row r="6736" spans="47:48" x14ac:dyDescent="0.25">
      <c r="AU6736" s="7"/>
      <c r="AV6736" s="7"/>
    </row>
    <row r="6737" spans="47:48" x14ac:dyDescent="0.25">
      <c r="AU6737" s="7"/>
      <c r="AV6737" s="7"/>
    </row>
    <row r="6738" spans="47:48" x14ac:dyDescent="0.25">
      <c r="AU6738" s="7"/>
      <c r="AV6738" s="7"/>
    </row>
    <row r="6739" spans="47:48" x14ac:dyDescent="0.25">
      <c r="AU6739" s="7"/>
      <c r="AV6739" s="7"/>
    </row>
    <row r="6740" spans="47:48" x14ac:dyDescent="0.25">
      <c r="AU6740" s="7"/>
      <c r="AV6740" s="7"/>
    </row>
    <row r="6741" spans="47:48" x14ac:dyDescent="0.25">
      <c r="AU6741" s="7"/>
      <c r="AV6741" s="7"/>
    </row>
    <row r="6742" spans="47:48" x14ac:dyDescent="0.25">
      <c r="AU6742" s="7"/>
      <c r="AV6742" s="7"/>
    </row>
    <row r="6743" spans="47:48" x14ac:dyDescent="0.25">
      <c r="AU6743" s="7"/>
      <c r="AV6743" s="7"/>
    </row>
    <row r="6744" spans="47:48" x14ac:dyDescent="0.25">
      <c r="AU6744" s="7"/>
      <c r="AV6744" s="7"/>
    </row>
    <row r="6745" spans="47:48" x14ac:dyDescent="0.25">
      <c r="AU6745" s="7"/>
      <c r="AV6745" s="7"/>
    </row>
    <row r="6746" spans="47:48" x14ac:dyDescent="0.25">
      <c r="AU6746" s="7"/>
      <c r="AV6746" s="7"/>
    </row>
    <row r="6747" spans="47:48" x14ac:dyDescent="0.25">
      <c r="AU6747" s="7"/>
      <c r="AV6747" s="7"/>
    </row>
    <row r="6748" spans="47:48" x14ac:dyDescent="0.25">
      <c r="AU6748" s="7"/>
      <c r="AV6748" s="7"/>
    </row>
    <row r="6749" spans="47:48" x14ac:dyDescent="0.25">
      <c r="AU6749" s="7"/>
      <c r="AV6749" s="7"/>
    </row>
    <row r="6750" spans="47:48" x14ac:dyDescent="0.25">
      <c r="AU6750" s="7"/>
      <c r="AV6750" s="7"/>
    </row>
    <row r="6751" spans="47:48" x14ac:dyDescent="0.25">
      <c r="AU6751" s="7"/>
      <c r="AV6751" s="7"/>
    </row>
    <row r="6752" spans="47:48" x14ac:dyDescent="0.25">
      <c r="AU6752" s="7"/>
      <c r="AV6752" s="7"/>
    </row>
    <row r="6753" spans="47:48" x14ac:dyDescent="0.25">
      <c r="AU6753" s="7"/>
      <c r="AV6753" s="7"/>
    </row>
    <row r="6754" spans="47:48" x14ac:dyDescent="0.25">
      <c r="AU6754" s="7"/>
      <c r="AV6754" s="7"/>
    </row>
    <row r="6755" spans="47:48" x14ac:dyDescent="0.25">
      <c r="AU6755" s="7"/>
      <c r="AV6755" s="7"/>
    </row>
    <row r="6756" spans="47:48" x14ac:dyDescent="0.25">
      <c r="AU6756" s="7"/>
      <c r="AV6756" s="7"/>
    </row>
    <row r="6757" spans="47:48" x14ac:dyDescent="0.25">
      <c r="AU6757" s="7"/>
      <c r="AV6757" s="7"/>
    </row>
    <row r="6758" spans="47:48" x14ac:dyDescent="0.25">
      <c r="AU6758" s="7"/>
      <c r="AV6758" s="7"/>
    </row>
    <row r="6759" spans="47:48" x14ac:dyDescent="0.25">
      <c r="AU6759" s="7"/>
      <c r="AV6759" s="7"/>
    </row>
    <row r="6760" spans="47:48" x14ac:dyDescent="0.25">
      <c r="AU6760" s="7"/>
      <c r="AV6760" s="7"/>
    </row>
    <row r="6761" spans="47:48" x14ac:dyDescent="0.25">
      <c r="AU6761" s="7"/>
      <c r="AV6761" s="7"/>
    </row>
    <row r="6762" spans="47:48" x14ac:dyDescent="0.25">
      <c r="AU6762" s="7"/>
      <c r="AV6762" s="7"/>
    </row>
    <row r="6763" spans="47:48" x14ac:dyDescent="0.25">
      <c r="AU6763" s="7"/>
      <c r="AV6763" s="7"/>
    </row>
    <row r="6764" spans="47:48" x14ac:dyDescent="0.25">
      <c r="AU6764" s="7"/>
      <c r="AV6764" s="7"/>
    </row>
    <row r="6765" spans="47:48" x14ac:dyDescent="0.25">
      <c r="AU6765" s="7"/>
      <c r="AV6765" s="7"/>
    </row>
    <row r="6766" spans="47:48" x14ac:dyDescent="0.25">
      <c r="AU6766" s="7"/>
      <c r="AV6766" s="7"/>
    </row>
    <row r="6767" spans="47:48" x14ac:dyDescent="0.25">
      <c r="AU6767" s="7"/>
      <c r="AV6767" s="7"/>
    </row>
    <row r="6768" spans="47:48" x14ac:dyDescent="0.25">
      <c r="AU6768" s="7"/>
      <c r="AV6768" s="7"/>
    </row>
    <row r="6769" spans="47:48" x14ac:dyDescent="0.25">
      <c r="AU6769" s="7"/>
      <c r="AV6769" s="7"/>
    </row>
    <row r="6770" spans="47:48" x14ac:dyDescent="0.25">
      <c r="AU6770" s="7"/>
      <c r="AV6770" s="7"/>
    </row>
    <row r="6771" spans="47:48" x14ac:dyDescent="0.25">
      <c r="AU6771" s="7"/>
      <c r="AV6771" s="7"/>
    </row>
    <row r="6772" spans="47:48" x14ac:dyDescent="0.25">
      <c r="AU6772" s="7"/>
      <c r="AV6772" s="7"/>
    </row>
    <row r="6773" spans="47:48" x14ac:dyDescent="0.25">
      <c r="AU6773" s="7"/>
      <c r="AV6773" s="7"/>
    </row>
    <row r="6774" spans="47:48" x14ac:dyDescent="0.25">
      <c r="AU6774" s="7"/>
      <c r="AV6774" s="7"/>
    </row>
    <row r="6775" spans="47:48" x14ac:dyDescent="0.25">
      <c r="AU6775" s="7"/>
      <c r="AV6775" s="7"/>
    </row>
    <row r="6776" spans="47:48" x14ac:dyDescent="0.25">
      <c r="AU6776" s="7"/>
      <c r="AV6776" s="7"/>
    </row>
    <row r="6777" spans="47:48" x14ac:dyDescent="0.25">
      <c r="AU6777" s="7"/>
      <c r="AV6777" s="7"/>
    </row>
    <row r="6778" spans="47:48" x14ac:dyDescent="0.25">
      <c r="AU6778" s="7"/>
      <c r="AV6778" s="7"/>
    </row>
    <row r="6779" spans="47:48" x14ac:dyDescent="0.25">
      <c r="AU6779" s="7"/>
      <c r="AV6779" s="7"/>
    </row>
    <row r="6780" spans="47:48" x14ac:dyDescent="0.25">
      <c r="AU6780" s="7"/>
      <c r="AV6780" s="7"/>
    </row>
    <row r="6781" spans="47:48" x14ac:dyDescent="0.25">
      <c r="AU6781" s="7"/>
      <c r="AV6781" s="7"/>
    </row>
    <row r="6782" spans="47:48" x14ac:dyDescent="0.25">
      <c r="AU6782" s="7"/>
      <c r="AV6782" s="7"/>
    </row>
    <row r="6783" spans="47:48" x14ac:dyDescent="0.25">
      <c r="AU6783" s="7"/>
      <c r="AV6783" s="7"/>
    </row>
    <row r="6784" spans="47:48" x14ac:dyDescent="0.25">
      <c r="AU6784" s="7"/>
      <c r="AV6784" s="7"/>
    </row>
    <row r="6785" spans="47:48" x14ac:dyDescent="0.25">
      <c r="AU6785" s="7"/>
      <c r="AV6785" s="7"/>
    </row>
    <row r="6786" spans="47:48" x14ac:dyDescent="0.25">
      <c r="AU6786" s="7"/>
      <c r="AV6786" s="7"/>
    </row>
    <row r="6787" spans="47:48" x14ac:dyDescent="0.25">
      <c r="AU6787" s="7"/>
      <c r="AV6787" s="7"/>
    </row>
    <row r="6788" spans="47:48" x14ac:dyDescent="0.25">
      <c r="AU6788" s="7"/>
      <c r="AV6788" s="7"/>
    </row>
    <row r="6789" spans="47:48" x14ac:dyDescent="0.25">
      <c r="AU6789" s="7"/>
      <c r="AV6789" s="7"/>
    </row>
    <row r="6790" spans="47:48" x14ac:dyDescent="0.25">
      <c r="AU6790" s="7"/>
      <c r="AV6790" s="7"/>
    </row>
    <row r="6791" spans="47:48" x14ac:dyDescent="0.25">
      <c r="AU6791" s="7"/>
      <c r="AV6791" s="7"/>
    </row>
    <row r="6792" spans="47:48" x14ac:dyDescent="0.25">
      <c r="AU6792" s="7"/>
      <c r="AV6792" s="7"/>
    </row>
    <row r="6793" spans="47:48" x14ac:dyDescent="0.25">
      <c r="AU6793" s="7"/>
      <c r="AV6793" s="7"/>
    </row>
    <row r="6794" spans="47:48" x14ac:dyDescent="0.25">
      <c r="AU6794" s="7"/>
      <c r="AV6794" s="7"/>
    </row>
    <row r="6795" spans="47:48" x14ac:dyDescent="0.25">
      <c r="AU6795" s="7"/>
      <c r="AV6795" s="7"/>
    </row>
    <row r="6796" spans="47:48" x14ac:dyDescent="0.25">
      <c r="AU6796" s="7"/>
      <c r="AV6796" s="7"/>
    </row>
    <row r="6797" spans="47:48" x14ac:dyDescent="0.25">
      <c r="AU6797" s="7"/>
      <c r="AV6797" s="7"/>
    </row>
    <row r="6798" spans="47:48" x14ac:dyDescent="0.25">
      <c r="AU6798" s="7"/>
      <c r="AV6798" s="7"/>
    </row>
    <row r="6799" spans="47:48" x14ac:dyDescent="0.25">
      <c r="AU6799" s="7"/>
      <c r="AV6799" s="7"/>
    </row>
    <row r="6800" spans="47:48" x14ac:dyDescent="0.25">
      <c r="AU6800" s="7"/>
      <c r="AV6800" s="7"/>
    </row>
    <row r="6801" spans="47:48" x14ac:dyDescent="0.25">
      <c r="AU6801" s="7"/>
      <c r="AV6801" s="7"/>
    </row>
    <row r="6802" spans="47:48" x14ac:dyDescent="0.25">
      <c r="AU6802" s="7"/>
      <c r="AV6802" s="7"/>
    </row>
    <row r="6803" spans="47:48" x14ac:dyDescent="0.25">
      <c r="AU6803" s="7"/>
      <c r="AV6803" s="7"/>
    </row>
    <row r="6804" spans="47:48" x14ac:dyDescent="0.25">
      <c r="AU6804" s="7"/>
      <c r="AV6804" s="7"/>
    </row>
    <row r="6805" spans="47:48" x14ac:dyDescent="0.25">
      <c r="AU6805" s="7"/>
      <c r="AV6805" s="7"/>
    </row>
    <row r="6806" spans="47:48" x14ac:dyDescent="0.25">
      <c r="AU6806" s="7"/>
      <c r="AV6806" s="7"/>
    </row>
    <row r="6807" spans="47:48" x14ac:dyDescent="0.25">
      <c r="AU6807" s="7"/>
      <c r="AV6807" s="7"/>
    </row>
    <row r="6808" spans="47:48" x14ac:dyDescent="0.25">
      <c r="AU6808" s="7"/>
      <c r="AV6808" s="7"/>
    </row>
    <row r="6809" spans="47:48" x14ac:dyDescent="0.25">
      <c r="AU6809" s="7"/>
      <c r="AV6809" s="7"/>
    </row>
    <row r="6810" spans="47:48" x14ac:dyDescent="0.25">
      <c r="AU6810" s="7"/>
      <c r="AV6810" s="7"/>
    </row>
    <row r="6811" spans="47:48" x14ac:dyDescent="0.25">
      <c r="AU6811" s="7"/>
      <c r="AV6811" s="7"/>
    </row>
    <row r="6812" spans="47:48" x14ac:dyDescent="0.25">
      <c r="AU6812" s="7"/>
      <c r="AV6812" s="7"/>
    </row>
    <row r="6813" spans="47:48" x14ac:dyDescent="0.25">
      <c r="AU6813" s="7"/>
      <c r="AV6813" s="7"/>
    </row>
    <row r="6814" spans="47:48" x14ac:dyDescent="0.25">
      <c r="AU6814" s="7"/>
      <c r="AV6814" s="7"/>
    </row>
    <row r="6815" spans="47:48" x14ac:dyDescent="0.25">
      <c r="AU6815" s="7"/>
      <c r="AV6815" s="7"/>
    </row>
    <row r="6816" spans="47:48" x14ac:dyDescent="0.25">
      <c r="AU6816" s="7"/>
      <c r="AV6816" s="7"/>
    </row>
    <row r="6817" spans="47:48" x14ac:dyDescent="0.25">
      <c r="AU6817" s="7"/>
      <c r="AV6817" s="7"/>
    </row>
    <row r="6818" spans="47:48" x14ac:dyDescent="0.25">
      <c r="AU6818" s="7"/>
      <c r="AV6818" s="7"/>
    </row>
    <row r="6819" spans="47:48" x14ac:dyDescent="0.25">
      <c r="AU6819" s="7"/>
      <c r="AV6819" s="7"/>
    </row>
    <row r="6820" spans="47:48" x14ac:dyDescent="0.25">
      <c r="AU6820" s="7"/>
      <c r="AV6820" s="7"/>
    </row>
    <row r="6821" spans="47:48" x14ac:dyDescent="0.25">
      <c r="AU6821" s="7"/>
      <c r="AV6821" s="7"/>
    </row>
    <row r="6822" spans="47:48" x14ac:dyDescent="0.25">
      <c r="AU6822" s="7"/>
      <c r="AV6822" s="7"/>
    </row>
    <row r="6823" spans="47:48" x14ac:dyDescent="0.25">
      <c r="AU6823" s="7"/>
      <c r="AV6823" s="7"/>
    </row>
    <row r="6824" spans="47:48" x14ac:dyDescent="0.25">
      <c r="AU6824" s="7"/>
      <c r="AV6824" s="7"/>
    </row>
    <row r="6825" spans="47:48" x14ac:dyDescent="0.25">
      <c r="AU6825" s="7"/>
      <c r="AV6825" s="7"/>
    </row>
    <row r="6826" spans="47:48" x14ac:dyDescent="0.25">
      <c r="AU6826" s="7"/>
      <c r="AV6826" s="7"/>
    </row>
    <row r="6827" spans="47:48" x14ac:dyDescent="0.25">
      <c r="AU6827" s="7"/>
      <c r="AV6827" s="7"/>
    </row>
    <row r="6828" spans="47:48" x14ac:dyDescent="0.25">
      <c r="AU6828" s="7"/>
      <c r="AV6828" s="7"/>
    </row>
    <row r="6829" spans="47:48" x14ac:dyDescent="0.25">
      <c r="AU6829" s="7"/>
      <c r="AV6829" s="7"/>
    </row>
    <row r="6830" spans="47:48" x14ac:dyDescent="0.25">
      <c r="AU6830" s="7"/>
      <c r="AV6830" s="7"/>
    </row>
    <row r="6831" spans="47:48" x14ac:dyDescent="0.25">
      <c r="AU6831" s="7"/>
      <c r="AV6831" s="7"/>
    </row>
    <row r="6832" spans="47:48" x14ac:dyDescent="0.25">
      <c r="AU6832" s="7"/>
      <c r="AV6832" s="7"/>
    </row>
    <row r="6833" spans="47:48" x14ac:dyDescent="0.25">
      <c r="AU6833" s="7"/>
      <c r="AV6833" s="7"/>
    </row>
    <row r="6834" spans="47:48" x14ac:dyDescent="0.25">
      <c r="AU6834" s="7"/>
      <c r="AV6834" s="7"/>
    </row>
    <row r="6835" spans="47:48" x14ac:dyDescent="0.25">
      <c r="AU6835" s="7"/>
      <c r="AV6835" s="7"/>
    </row>
    <row r="6836" spans="47:48" x14ac:dyDescent="0.25">
      <c r="AU6836" s="7"/>
      <c r="AV6836" s="7"/>
    </row>
    <row r="6837" spans="47:48" x14ac:dyDescent="0.25">
      <c r="AU6837" s="7"/>
      <c r="AV6837" s="7"/>
    </row>
    <row r="6838" spans="47:48" x14ac:dyDescent="0.25">
      <c r="AU6838" s="7"/>
      <c r="AV6838" s="7"/>
    </row>
    <row r="6839" spans="47:48" x14ac:dyDescent="0.25">
      <c r="AU6839" s="7"/>
      <c r="AV6839" s="7"/>
    </row>
    <row r="6840" spans="47:48" x14ac:dyDescent="0.25">
      <c r="AU6840" s="7"/>
      <c r="AV6840" s="7"/>
    </row>
    <row r="6841" spans="47:48" x14ac:dyDescent="0.25">
      <c r="AU6841" s="7"/>
      <c r="AV6841" s="7"/>
    </row>
    <row r="6842" spans="47:48" x14ac:dyDescent="0.25">
      <c r="AU6842" s="7"/>
      <c r="AV6842" s="7"/>
    </row>
    <row r="6843" spans="47:48" x14ac:dyDescent="0.25">
      <c r="AU6843" s="7"/>
      <c r="AV6843" s="7"/>
    </row>
    <row r="6844" spans="47:48" x14ac:dyDescent="0.25">
      <c r="AU6844" s="7"/>
      <c r="AV6844" s="7"/>
    </row>
    <row r="6845" spans="47:48" x14ac:dyDescent="0.25">
      <c r="AU6845" s="7"/>
      <c r="AV6845" s="7"/>
    </row>
    <row r="6846" spans="47:48" x14ac:dyDescent="0.25">
      <c r="AU6846" s="7"/>
      <c r="AV6846" s="7"/>
    </row>
    <row r="6847" spans="47:48" x14ac:dyDescent="0.25">
      <c r="AU6847" s="7"/>
      <c r="AV6847" s="7"/>
    </row>
    <row r="6848" spans="47:48" x14ac:dyDescent="0.25">
      <c r="AU6848" s="7"/>
      <c r="AV6848" s="7"/>
    </row>
    <row r="6849" spans="47:48" x14ac:dyDescent="0.25">
      <c r="AU6849" s="7"/>
      <c r="AV6849" s="7"/>
    </row>
    <row r="6850" spans="47:48" x14ac:dyDescent="0.25">
      <c r="AU6850" s="7"/>
      <c r="AV6850" s="7"/>
    </row>
    <row r="6851" spans="47:48" x14ac:dyDescent="0.25">
      <c r="AU6851" s="7"/>
      <c r="AV6851" s="7"/>
    </row>
    <row r="6852" spans="47:48" x14ac:dyDescent="0.25">
      <c r="AU6852" s="7"/>
      <c r="AV6852" s="7"/>
    </row>
    <row r="6853" spans="47:48" x14ac:dyDescent="0.25">
      <c r="AU6853" s="7"/>
      <c r="AV6853" s="7"/>
    </row>
    <row r="6854" spans="47:48" x14ac:dyDescent="0.25">
      <c r="AU6854" s="7"/>
      <c r="AV6854" s="7"/>
    </row>
    <row r="6855" spans="47:48" x14ac:dyDescent="0.25">
      <c r="AU6855" s="7"/>
      <c r="AV6855" s="7"/>
    </row>
    <row r="6856" spans="47:48" x14ac:dyDescent="0.25">
      <c r="AU6856" s="7"/>
      <c r="AV6856" s="7"/>
    </row>
    <row r="6857" spans="47:48" x14ac:dyDescent="0.25">
      <c r="AU6857" s="7"/>
      <c r="AV6857" s="7"/>
    </row>
    <row r="6858" spans="47:48" x14ac:dyDescent="0.25">
      <c r="AU6858" s="7"/>
      <c r="AV6858" s="7"/>
    </row>
    <row r="6859" spans="47:48" x14ac:dyDescent="0.25">
      <c r="AU6859" s="7"/>
      <c r="AV6859" s="7"/>
    </row>
    <row r="6860" spans="47:48" x14ac:dyDescent="0.25">
      <c r="AU6860" s="7"/>
      <c r="AV6860" s="7"/>
    </row>
    <row r="6861" spans="47:48" x14ac:dyDescent="0.25">
      <c r="AU6861" s="7"/>
      <c r="AV6861" s="7"/>
    </row>
    <row r="6862" spans="47:48" x14ac:dyDescent="0.25">
      <c r="AU6862" s="7"/>
      <c r="AV6862" s="7"/>
    </row>
    <row r="6863" spans="47:48" x14ac:dyDescent="0.25">
      <c r="AU6863" s="7"/>
      <c r="AV6863" s="7"/>
    </row>
    <row r="6864" spans="47:48" x14ac:dyDescent="0.25">
      <c r="AU6864" s="7"/>
      <c r="AV6864" s="7"/>
    </row>
    <row r="6865" spans="47:48" x14ac:dyDescent="0.25">
      <c r="AU6865" s="7"/>
      <c r="AV6865" s="7"/>
    </row>
    <row r="6866" spans="47:48" x14ac:dyDescent="0.25">
      <c r="AU6866" s="7"/>
      <c r="AV6866" s="7"/>
    </row>
    <row r="6867" spans="47:48" x14ac:dyDescent="0.25">
      <c r="AU6867" s="7"/>
      <c r="AV6867" s="7"/>
    </row>
    <row r="6868" spans="47:48" x14ac:dyDescent="0.25">
      <c r="AU6868" s="7"/>
      <c r="AV6868" s="7"/>
    </row>
    <row r="6869" spans="47:48" x14ac:dyDescent="0.25">
      <c r="AU6869" s="7"/>
      <c r="AV6869" s="7"/>
    </row>
    <row r="6870" spans="47:48" x14ac:dyDescent="0.25">
      <c r="AU6870" s="7"/>
      <c r="AV6870" s="7"/>
    </row>
    <row r="6871" spans="47:48" x14ac:dyDescent="0.25">
      <c r="AU6871" s="7"/>
      <c r="AV6871" s="7"/>
    </row>
    <row r="6872" spans="47:48" x14ac:dyDescent="0.25">
      <c r="AU6872" s="7"/>
      <c r="AV6872" s="7"/>
    </row>
    <row r="6873" spans="47:48" x14ac:dyDescent="0.25">
      <c r="AU6873" s="7"/>
      <c r="AV6873" s="7"/>
    </row>
    <row r="6874" spans="47:48" x14ac:dyDescent="0.25">
      <c r="AU6874" s="7"/>
      <c r="AV6874" s="7"/>
    </row>
    <row r="6875" spans="47:48" x14ac:dyDescent="0.25">
      <c r="AU6875" s="7"/>
      <c r="AV6875" s="7"/>
    </row>
    <row r="6876" spans="47:48" x14ac:dyDescent="0.25">
      <c r="AU6876" s="7"/>
      <c r="AV6876" s="7"/>
    </row>
    <row r="6877" spans="47:48" x14ac:dyDescent="0.25">
      <c r="AU6877" s="7"/>
      <c r="AV6877" s="7"/>
    </row>
    <row r="6878" spans="47:48" x14ac:dyDescent="0.25">
      <c r="AU6878" s="7"/>
      <c r="AV6878" s="7"/>
    </row>
    <row r="6879" spans="47:48" x14ac:dyDescent="0.25">
      <c r="AU6879" s="7"/>
      <c r="AV6879" s="7"/>
    </row>
    <row r="6880" spans="47:48" x14ac:dyDescent="0.25">
      <c r="AU6880" s="7"/>
      <c r="AV6880" s="7"/>
    </row>
    <row r="6881" spans="47:48" x14ac:dyDescent="0.25">
      <c r="AU6881" s="7"/>
      <c r="AV6881" s="7"/>
    </row>
    <row r="6882" spans="47:48" x14ac:dyDescent="0.25">
      <c r="AU6882" s="7"/>
      <c r="AV6882" s="7"/>
    </row>
    <row r="6883" spans="47:48" x14ac:dyDescent="0.25">
      <c r="AU6883" s="7"/>
      <c r="AV6883" s="7"/>
    </row>
    <row r="6884" spans="47:48" x14ac:dyDescent="0.25">
      <c r="AU6884" s="7"/>
      <c r="AV6884" s="7"/>
    </row>
    <row r="6885" spans="47:48" x14ac:dyDescent="0.25">
      <c r="AU6885" s="7"/>
      <c r="AV6885" s="7"/>
    </row>
    <row r="6886" spans="47:48" x14ac:dyDescent="0.25">
      <c r="AU6886" s="7"/>
      <c r="AV6886" s="7"/>
    </row>
    <row r="6887" spans="47:48" x14ac:dyDescent="0.25">
      <c r="AU6887" s="7"/>
      <c r="AV6887" s="7"/>
    </row>
    <row r="6888" spans="47:48" x14ac:dyDescent="0.25">
      <c r="AU6888" s="7"/>
      <c r="AV6888" s="7"/>
    </row>
    <row r="6889" spans="47:48" x14ac:dyDescent="0.25">
      <c r="AU6889" s="7"/>
      <c r="AV6889" s="7"/>
    </row>
    <row r="6890" spans="47:48" x14ac:dyDescent="0.25">
      <c r="AU6890" s="7"/>
      <c r="AV6890" s="7"/>
    </row>
    <row r="6891" spans="47:48" x14ac:dyDescent="0.25">
      <c r="AU6891" s="7"/>
      <c r="AV6891" s="7"/>
    </row>
    <row r="6892" spans="47:48" x14ac:dyDescent="0.25">
      <c r="AU6892" s="7"/>
      <c r="AV6892" s="7"/>
    </row>
    <row r="6893" spans="47:48" x14ac:dyDescent="0.25">
      <c r="AU6893" s="7"/>
      <c r="AV6893" s="7"/>
    </row>
    <row r="6894" spans="47:48" x14ac:dyDescent="0.25">
      <c r="AU6894" s="7"/>
      <c r="AV6894" s="7"/>
    </row>
    <row r="6895" spans="47:48" x14ac:dyDescent="0.25">
      <c r="AU6895" s="7"/>
      <c r="AV6895" s="7"/>
    </row>
    <row r="6896" spans="47:48" x14ac:dyDescent="0.25">
      <c r="AU6896" s="7"/>
      <c r="AV6896" s="7"/>
    </row>
    <row r="6897" spans="47:48" x14ac:dyDescent="0.25">
      <c r="AU6897" s="7"/>
      <c r="AV6897" s="7"/>
    </row>
    <row r="6898" spans="47:48" x14ac:dyDescent="0.25">
      <c r="AU6898" s="7"/>
      <c r="AV6898" s="7"/>
    </row>
    <row r="6899" spans="47:48" x14ac:dyDescent="0.25">
      <c r="AU6899" s="7"/>
      <c r="AV6899" s="7"/>
    </row>
    <row r="6900" spans="47:48" x14ac:dyDescent="0.25">
      <c r="AU6900" s="7"/>
      <c r="AV6900" s="7"/>
    </row>
    <row r="6901" spans="47:48" x14ac:dyDescent="0.25">
      <c r="AU6901" s="7"/>
      <c r="AV6901" s="7"/>
    </row>
    <row r="6902" spans="47:48" x14ac:dyDescent="0.25">
      <c r="AU6902" s="7"/>
      <c r="AV6902" s="7"/>
    </row>
    <row r="6903" spans="47:48" x14ac:dyDescent="0.25">
      <c r="AU6903" s="7"/>
      <c r="AV6903" s="7"/>
    </row>
    <row r="6904" spans="47:48" x14ac:dyDescent="0.25">
      <c r="AU6904" s="7"/>
      <c r="AV6904" s="7"/>
    </row>
    <row r="6905" spans="47:48" x14ac:dyDescent="0.25">
      <c r="AU6905" s="7"/>
      <c r="AV6905" s="7"/>
    </row>
    <row r="6906" spans="47:48" x14ac:dyDescent="0.25">
      <c r="AU6906" s="7"/>
      <c r="AV6906" s="7"/>
    </row>
    <row r="6907" spans="47:48" x14ac:dyDescent="0.25">
      <c r="AU6907" s="7"/>
      <c r="AV6907" s="7"/>
    </row>
    <row r="6908" spans="47:48" x14ac:dyDescent="0.25">
      <c r="AU6908" s="7"/>
      <c r="AV6908" s="7"/>
    </row>
    <row r="6909" spans="47:48" x14ac:dyDescent="0.25">
      <c r="AU6909" s="7"/>
      <c r="AV6909" s="7"/>
    </row>
    <row r="6910" spans="47:48" x14ac:dyDescent="0.25">
      <c r="AU6910" s="7"/>
      <c r="AV6910" s="7"/>
    </row>
    <row r="6911" spans="47:48" x14ac:dyDescent="0.25">
      <c r="AU6911" s="7"/>
      <c r="AV6911" s="7"/>
    </row>
    <row r="6912" spans="47:48" x14ac:dyDescent="0.25">
      <c r="AU6912" s="7"/>
      <c r="AV6912" s="7"/>
    </row>
    <row r="6913" spans="47:48" x14ac:dyDescent="0.25">
      <c r="AU6913" s="7"/>
      <c r="AV6913" s="7"/>
    </row>
    <row r="6914" spans="47:48" x14ac:dyDescent="0.25">
      <c r="AU6914" s="7"/>
      <c r="AV6914" s="7"/>
    </row>
    <row r="6915" spans="47:48" x14ac:dyDescent="0.25">
      <c r="AU6915" s="7"/>
      <c r="AV6915" s="7"/>
    </row>
    <row r="6916" spans="47:48" x14ac:dyDescent="0.25">
      <c r="AU6916" s="7"/>
      <c r="AV6916" s="7"/>
    </row>
    <row r="6917" spans="47:48" x14ac:dyDescent="0.25">
      <c r="AU6917" s="7"/>
      <c r="AV6917" s="7"/>
    </row>
    <row r="6918" spans="47:48" x14ac:dyDescent="0.25">
      <c r="AU6918" s="7"/>
      <c r="AV6918" s="7"/>
    </row>
    <row r="6919" spans="47:48" x14ac:dyDescent="0.25">
      <c r="AU6919" s="7"/>
      <c r="AV6919" s="7"/>
    </row>
    <row r="6920" spans="47:48" x14ac:dyDescent="0.25">
      <c r="AU6920" s="7"/>
      <c r="AV6920" s="7"/>
    </row>
    <row r="6921" spans="47:48" x14ac:dyDescent="0.25">
      <c r="AU6921" s="7"/>
      <c r="AV6921" s="7"/>
    </row>
    <row r="6922" spans="47:48" x14ac:dyDescent="0.25">
      <c r="AU6922" s="7"/>
      <c r="AV6922" s="7"/>
    </row>
    <row r="6923" spans="47:48" x14ac:dyDescent="0.25">
      <c r="AU6923" s="7"/>
      <c r="AV6923" s="7"/>
    </row>
    <row r="6924" spans="47:48" x14ac:dyDescent="0.25">
      <c r="AU6924" s="7"/>
      <c r="AV6924" s="7"/>
    </row>
    <row r="6925" spans="47:48" x14ac:dyDescent="0.25">
      <c r="AU6925" s="7"/>
      <c r="AV6925" s="7"/>
    </row>
    <row r="6926" spans="47:48" x14ac:dyDescent="0.25">
      <c r="AU6926" s="7"/>
      <c r="AV6926" s="7"/>
    </row>
    <row r="6927" spans="47:48" x14ac:dyDescent="0.25">
      <c r="AU6927" s="7"/>
      <c r="AV6927" s="7"/>
    </row>
    <row r="6928" spans="47:48" x14ac:dyDescent="0.25">
      <c r="AU6928" s="7"/>
      <c r="AV6928" s="7"/>
    </row>
    <row r="6929" spans="47:48" x14ac:dyDescent="0.25">
      <c r="AU6929" s="7"/>
      <c r="AV6929" s="7"/>
    </row>
    <row r="6930" spans="47:48" x14ac:dyDescent="0.25">
      <c r="AU6930" s="7"/>
      <c r="AV6930" s="7"/>
    </row>
    <row r="6931" spans="47:48" x14ac:dyDescent="0.25">
      <c r="AU6931" s="7"/>
      <c r="AV6931" s="7"/>
    </row>
    <row r="6932" spans="47:48" x14ac:dyDescent="0.25">
      <c r="AU6932" s="7"/>
      <c r="AV6932" s="7"/>
    </row>
    <row r="6933" spans="47:48" x14ac:dyDescent="0.25">
      <c r="AU6933" s="7"/>
      <c r="AV6933" s="7"/>
    </row>
    <row r="6934" spans="47:48" x14ac:dyDescent="0.25">
      <c r="AU6934" s="7"/>
      <c r="AV6934" s="7"/>
    </row>
    <row r="6935" spans="47:48" x14ac:dyDescent="0.25">
      <c r="AU6935" s="7"/>
      <c r="AV6935" s="7"/>
    </row>
    <row r="6936" spans="47:48" x14ac:dyDescent="0.25">
      <c r="AU6936" s="7"/>
      <c r="AV6936" s="7"/>
    </row>
    <row r="6937" spans="47:48" x14ac:dyDescent="0.25">
      <c r="AU6937" s="7"/>
      <c r="AV6937" s="7"/>
    </row>
    <row r="6938" spans="47:48" x14ac:dyDescent="0.25">
      <c r="AU6938" s="7"/>
      <c r="AV6938" s="7"/>
    </row>
    <row r="6939" spans="47:48" x14ac:dyDescent="0.25">
      <c r="AU6939" s="7"/>
      <c r="AV6939" s="7"/>
    </row>
    <row r="6940" spans="47:48" x14ac:dyDescent="0.25">
      <c r="AU6940" s="7"/>
      <c r="AV6940" s="7"/>
    </row>
    <row r="6941" spans="47:48" x14ac:dyDescent="0.25">
      <c r="AU6941" s="7"/>
      <c r="AV6941" s="7"/>
    </row>
    <row r="6942" spans="47:48" x14ac:dyDescent="0.25">
      <c r="AU6942" s="7"/>
      <c r="AV6942" s="7"/>
    </row>
    <row r="6943" spans="47:48" x14ac:dyDescent="0.25">
      <c r="AU6943" s="7"/>
      <c r="AV6943" s="7"/>
    </row>
    <row r="6944" spans="47:48" x14ac:dyDescent="0.25">
      <c r="AU6944" s="7"/>
      <c r="AV6944" s="7"/>
    </row>
    <row r="6945" spans="47:48" x14ac:dyDescent="0.25">
      <c r="AU6945" s="7"/>
      <c r="AV6945" s="7"/>
    </row>
    <row r="6946" spans="47:48" x14ac:dyDescent="0.25">
      <c r="AU6946" s="7"/>
      <c r="AV6946" s="7"/>
    </row>
    <row r="6947" spans="47:48" x14ac:dyDescent="0.25">
      <c r="AU6947" s="7"/>
      <c r="AV6947" s="7"/>
    </row>
    <row r="6948" spans="47:48" x14ac:dyDescent="0.25">
      <c r="AU6948" s="7"/>
      <c r="AV6948" s="7"/>
    </row>
    <row r="6949" spans="47:48" x14ac:dyDescent="0.25">
      <c r="AU6949" s="7"/>
      <c r="AV6949" s="7"/>
    </row>
    <row r="6950" spans="47:48" x14ac:dyDescent="0.25">
      <c r="AU6950" s="7"/>
      <c r="AV6950" s="7"/>
    </row>
    <row r="6951" spans="47:48" x14ac:dyDescent="0.25">
      <c r="AU6951" s="7"/>
      <c r="AV6951" s="7"/>
    </row>
    <row r="6952" spans="47:48" x14ac:dyDescent="0.25">
      <c r="AU6952" s="7"/>
      <c r="AV6952" s="7"/>
    </row>
    <row r="6953" spans="47:48" x14ac:dyDescent="0.25">
      <c r="AU6953" s="7"/>
      <c r="AV6953" s="7"/>
    </row>
    <row r="6954" spans="47:48" x14ac:dyDescent="0.25">
      <c r="AU6954" s="7"/>
      <c r="AV6954" s="7"/>
    </row>
    <row r="6955" spans="47:48" x14ac:dyDescent="0.25">
      <c r="AU6955" s="7"/>
      <c r="AV6955" s="7"/>
    </row>
    <row r="6956" spans="47:48" x14ac:dyDescent="0.25">
      <c r="AU6956" s="7"/>
      <c r="AV6956" s="7"/>
    </row>
    <row r="6957" spans="47:48" x14ac:dyDescent="0.25">
      <c r="AU6957" s="7"/>
      <c r="AV6957" s="7"/>
    </row>
    <row r="6958" spans="47:48" x14ac:dyDescent="0.25">
      <c r="AU6958" s="7"/>
      <c r="AV6958" s="7"/>
    </row>
    <row r="6959" spans="47:48" x14ac:dyDescent="0.25">
      <c r="AU6959" s="7"/>
      <c r="AV6959" s="7"/>
    </row>
    <row r="6960" spans="47:48" x14ac:dyDescent="0.25">
      <c r="AU6960" s="7"/>
      <c r="AV6960" s="7"/>
    </row>
    <row r="6961" spans="47:48" x14ac:dyDescent="0.25">
      <c r="AU6961" s="7"/>
      <c r="AV6961" s="7"/>
    </row>
    <row r="6962" spans="47:48" x14ac:dyDescent="0.25">
      <c r="AU6962" s="7"/>
      <c r="AV6962" s="7"/>
    </row>
    <row r="6963" spans="47:48" x14ac:dyDescent="0.25">
      <c r="AU6963" s="7"/>
      <c r="AV6963" s="7"/>
    </row>
    <row r="6964" spans="47:48" x14ac:dyDescent="0.25">
      <c r="AU6964" s="7"/>
      <c r="AV6964" s="7"/>
    </row>
    <row r="6965" spans="47:48" x14ac:dyDescent="0.25">
      <c r="AU6965" s="7"/>
      <c r="AV6965" s="7"/>
    </row>
    <row r="6966" spans="47:48" x14ac:dyDescent="0.25">
      <c r="AU6966" s="7"/>
      <c r="AV6966" s="7"/>
    </row>
    <row r="6967" spans="47:48" x14ac:dyDescent="0.25">
      <c r="AU6967" s="7"/>
      <c r="AV6967" s="7"/>
    </row>
    <row r="6968" spans="47:48" x14ac:dyDescent="0.25">
      <c r="AU6968" s="7"/>
      <c r="AV6968" s="7"/>
    </row>
    <row r="6969" spans="47:48" x14ac:dyDescent="0.25">
      <c r="AU6969" s="7"/>
      <c r="AV6969" s="7"/>
    </row>
    <row r="6970" spans="47:48" x14ac:dyDescent="0.25">
      <c r="AU6970" s="7"/>
      <c r="AV6970" s="7"/>
    </row>
    <row r="6971" spans="47:48" x14ac:dyDescent="0.25">
      <c r="AU6971" s="7"/>
      <c r="AV6971" s="7"/>
    </row>
    <row r="6972" spans="47:48" x14ac:dyDescent="0.25">
      <c r="AU6972" s="7"/>
      <c r="AV6972" s="7"/>
    </row>
    <row r="6973" spans="47:48" x14ac:dyDescent="0.25">
      <c r="AU6973" s="7"/>
      <c r="AV6973" s="7"/>
    </row>
    <row r="6974" spans="47:48" x14ac:dyDescent="0.25">
      <c r="AU6974" s="7"/>
      <c r="AV6974" s="7"/>
    </row>
    <row r="6975" spans="47:48" x14ac:dyDescent="0.25">
      <c r="AU6975" s="7"/>
      <c r="AV6975" s="7"/>
    </row>
    <row r="6976" spans="47:48" x14ac:dyDescent="0.25">
      <c r="AU6976" s="7"/>
      <c r="AV6976" s="7"/>
    </row>
    <row r="6977" spans="47:48" x14ac:dyDescent="0.25">
      <c r="AU6977" s="7"/>
      <c r="AV6977" s="7"/>
    </row>
    <row r="6978" spans="47:48" x14ac:dyDescent="0.25">
      <c r="AU6978" s="7"/>
      <c r="AV6978" s="7"/>
    </row>
    <row r="6979" spans="47:48" x14ac:dyDescent="0.25">
      <c r="AU6979" s="7"/>
      <c r="AV6979" s="7"/>
    </row>
    <row r="6980" spans="47:48" x14ac:dyDescent="0.25">
      <c r="AU6980" s="7"/>
      <c r="AV6980" s="7"/>
    </row>
    <row r="6981" spans="47:48" x14ac:dyDescent="0.25">
      <c r="AU6981" s="7"/>
      <c r="AV6981" s="7"/>
    </row>
    <row r="6982" spans="47:48" x14ac:dyDescent="0.25">
      <c r="AU6982" s="7"/>
      <c r="AV6982" s="7"/>
    </row>
    <row r="6983" spans="47:48" x14ac:dyDescent="0.25">
      <c r="AU6983" s="7"/>
      <c r="AV6983" s="7"/>
    </row>
    <row r="6984" spans="47:48" x14ac:dyDescent="0.25">
      <c r="AU6984" s="7"/>
      <c r="AV6984" s="7"/>
    </row>
    <row r="6985" spans="47:48" x14ac:dyDescent="0.25">
      <c r="AU6985" s="7"/>
      <c r="AV6985" s="7"/>
    </row>
    <row r="6986" spans="47:48" x14ac:dyDescent="0.25">
      <c r="AU6986" s="7"/>
      <c r="AV6986" s="7"/>
    </row>
    <row r="6987" spans="47:48" x14ac:dyDescent="0.25">
      <c r="AU6987" s="7"/>
      <c r="AV6987" s="7"/>
    </row>
    <row r="6988" spans="47:48" x14ac:dyDescent="0.25">
      <c r="AU6988" s="7"/>
      <c r="AV6988" s="7"/>
    </row>
    <row r="6989" spans="47:48" x14ac:dyDescent="0.25">
      <c r="AU6989" s="7"/>
      <c r="AV6989" s="7"/>
    </row>
    <row r="6990" spans="47:48" x14ac:dyDescent="0.25">
      <c r="AU6990" s="7"/>
      <c r="AV6990" s="7"/>
    </row>
    <row r="6991" spans="47:48" x14ac:dyDescent="0.25">
      <c r="AU6991" s="7"/>
      <c r="AV6991" s="7"/>
    </row>
    <row r="6992" spans="47:48" x14ac:dyDescent="0.25">
      <c r="AU6992" s="7"/>
      <c r="AV6992" s="7"/>
    </row>
    <row r="6993" spans="47:48" x14ac:dyDescent="0.25">
      <c r="AU6993" s="7"/>
      <c r="AV6993" s="7"/>
    </row>
    <row r="6994" spans="47:48" x14ac:dyDescent="0.25">
      <c r="AU6994" s="7"/>
      <c r="AV6994" s="7"/>
    </row>
    <row r="6995" spans="47:48" x14ac:dyDescent="0.25">
      <c r="AU6995" s="7"/>
      <c r="AV6995" s="7"/>
    </row>
    <row r="6996" spans="47:48" x14ac:dyDescent="0.25">
      <c r="AU6996" s="7"/>
      <c r="AV6996" s="7"/>
    </row>
    <row r="6997" spans="47:48" x14ac:dyDescent="0.25">
      <c r="AU6997" s="7"/>
      <c r="AV6997" s="7"/>
    </row>
    <row r="6998" spans="47:48" x14ac:dyDescent="0.25">
      <c r="AU6998" s="7"/>
      <c r="AV6998" s="7"/>
    </row>
    <row r="6999" spans="47:48" x14ac:dyDescent="0.25">
      <c r="AU6999" s="7"/>
      <c r="AV6999" s="7"/>
    </row>
    <row r="7000" spans="47:48" x14ac:dyDescent="0.25">
      <c r="AU7000" s="7"/>
      <c r="AV7000" s="7"/>
    </row>
    <row r="7001" spans="47:48" x14ac:dyDescent="0.25">
      <c r="AU7001" s="7"/>
      <c r="AV7001" s="7"/>
    </row>
    <row r="7002" spans="47:48" x14ac:dyDescent="0.25">
      <c r="AU7002" s="7"/>
      <c r="AV7002" s="7"/>
    </row>
    <row r="7003" spans="47:48" x14ac:dyDescent="0.25">
      <c r="AU7003" s="7"/>
      <c r="AV7003" s="7"/>
    </row>
    <row r="7004" spans="47:48" x14ac:dyDescent="0.25">
      <c r="AU7004" s="7"/>
      <c r="AV7004" s="7"/>
    </row>
    <row r="7005" spans="47:48" x14ac:dyDescent="0.25">
      <c r="AU7005" s="7"/>
      <c r="AV7005" s="7"/>
    </row>
    <row r="7006" spans="47:48" x14ac:dyDescent="0.25">
      <c r="AU7006" s="7"/>
      <c r="AV7006" s="7"/>
    </row>
    <row r="7007" spans="47:48" x14ac:dyDescent="0.25">
      <c r="AU7007" s="7"/>
      <c r="AV7007" s="7"/>
    </row>
    <row r="7008" spans="47:48" x14ac:dyDescent="0.25">
      <c r="AU7008" s="7"/>
      <c r="AV7008" s="7"/>
    </row>
    <row r="7009" spans="47:48" x14ac:dyDescent="0.25">
      <c r="AU7009" s="7"/>
      <c r="AV7009" s="7"/>
    </row>
    <row r="7010" spans="47:48" x14ac:dyDescent="0.25">
      <c r="AU7010" s="7"/>
      <c r="AV7010" s="7"/>
    </row>
    <row r="7011" spans="47:48" x14ac:dyDescent="0.25">
      <c r="AU7011" s="7"/>
      <c r="AV7011" s="7"/>
    </row>
    <row r="7012" spans="47:48" x14ac:dyDescent="0.25">
      <c r="AU7012" s="7"/>
      <c r="AV7012" s="7"/>
    </row>
    <row r="7013" spans="47:48" x14ac:dyDescent="0.25">
      <c r="AU7013" s="7"/>
      <c r="AV7013" s="7"/>
    </row>
    <row r="7014" spans="47:48" x14ac:dyDescent="0.25">
      <c r="AU7014" s="7"/>
      <c r="AV7014" s="7"/>
    </row>
    <row r="7015" spans="47:48" x14ac:dyDescent="0.25">
      <c r="AU7015" s="7"/>
      <c r="AV7015" s="7"/>
    </row>
    <row r="7016" spans="47:48" x14ac:dyDescent="0.25">
      <c r="AU7016" s="7"/>
      <c r="AV7016" s="7"/>
    </row>
    <row r="7017" spans="47:48" x14ac:dyDescent="0.25">
      <c r="AU7017" s="7"/>
      <c r="AV7017" s="7"/>
    </row>
    <row r="7018" spans="47:48" x14ac:dyDescent="0.25">
      <c r="AU7018" s="7"/>
      <c r="AV7018" s="7"/>
    </row>
    <row r="7019" spans="47:48" x14ac:dyDescent="0.25">
      <c r="AU7019" s="7"/>
      <c r="AV7019" s="7"/>
    </row>
    <row r="7020" spans="47:48" x14ac:dyDescent="0.25">
      <c r="AU7020" s="7"/>
      <c r="AV7020" s="7"/>
    </row>
    <row r="7021" spans="47:48" x14ac:dyDescent="0.25">
      <c r="AU7021" s="7"/>
      <c r="AV7021" s="7"/>
    </row>
    <row r="7022" spans="47:48" x14ac:dyDescent="0.25">
      <c r="AU7022" s="7"/>
      <c r="AV7022" s="7"/>
    </row>
    <row r="7023" spans="47:48" x14ac:dyDescent="0.25">
      <c r="AU7023" s="7"/>
      <c r="AV7023" s="7"/>
    </row>
    <row r="7024" spans="47:48" x14ac:dyDescent="0.25">
      <c r="AU7024" s="7"/>
      <c r="AV7024" s="7"/>
    </row>
    <row r="7025" spans="47:48" x14ac:dyDescent="0.25">
      <c r="AU7025" s="7"/>
      <c r="AV7025" s="7"/>
    </row>
    <row r="7026" spans="47:48" x14ac:dyDescent="0.25">
      <c r="AU7026" s="7"/>
      <c r="AV7026" s="7"/>
    </row>
    <row r="7027" spans="47:48" x14ac:dyDescent="0.25">
      <c r="AU7027" s="7"/>
      <c r="AV7027" s="7"/>
    </row>
    <row r="7028" spans="47:48" x14ac:dyDescent="0.25">
      <c r="AU7028" s="7"/>
      <c r="AV7028" s="7"/>
    </row>
    <row r="7029" spans="47:48" x14ac:dyDescent="0.25">
      <c r="AU7029" s="7"/>
      <c r="AV7029" s="7"/>
    </row>
    <row r="7030" spans="47:48" x14ac:dyDescent="0.25">
      <c r="AU7030" s="7"/>
      <c r="AV7030" s="7"/>
    </row>
    <row r="7031" spans="47:48" x14ac:dyDescent="0.25">
      <c r="AU7031" s="7"/>
      <c r="AV7031" s="7"/>
    </row>
    <row r="7032" spans="47:48" x14ac:dyDescent="0.25">
      <c r="AU7032" s="7"/>
      <c r="AV7032" s="7"/>
    </row>
    <row r="7033" spans="47:48" x14ac:dyDescent="0.25">
      <c r="AU7033" s="7"/>
      <c r="AV7033" s="7"/>
    </row>
    <row r="7034" spans="47:48" x14ac:dyDescent="0.25">
      <c r="AU7034" s="7"/>
      <c r="AV7034" s="7"/>
    </row>
    <row r="7035" spans="47:48" x14ac:dyDescent="0.25">
      <c r="AU7035" s="7"/>
      <c r="AV7035" s="7"/>
    </row>
    <row r="7036" spans="47:48" x14ac:dyDescent="0.25">
      <c r="AU7036" s="7"/>
      <c r="AV7036" s="7"/>
    </row>
    <row r="7037" spans="47:48" x14ac:dyDescent="0.25">
      <c r="AU7037" s="7"/>
      <c r="AV7037" s="7"/>
    </row>
    <row r="7038" spans="47:48" x14ac:dyDescent="0.25">
      <c r="AU7038" s="7"/>
      <c r="AV7038" s="7"/>
    </row>
    <row r="7039" spans="47:48" x14ac:dyDescent="0.25">
      <c r="AU7039" s="7"/>
      <c r="AV7039" s="7"/>
    </row>
    <row r="7040" spans="47:48" x14ac:dyDescent="0.25">
      <c r="AU7040" s="7"/>
      <c r="AV7040" s="7"/>
    </row>
    <row r="7041" spans="47:48" x14ac:dyDescent="0.25">
      <c r="AU7041" s="7"/>
      <c r="AV7041" s="7"/>
    </row>
    <row r="7042" spans="47:48" x14ac:dyDescent="0.25">
      <c r="AU7042" s="7"/>
      <c r="AV7042" s="7"/>
    </row>
    <row r="7043" spans="47:48" x14ac:dyDescent="0.25">
      <c r="AU7043" s="7"/>
      <c r="AV7043" s="7"/>
    </row>
    <row r="7044" spans="47:48" x14ac:dyDescent="0.25">
      <c r="AU7044" s="7"/>
      <c r="AV7044" s="7"/>
    </row>
    <row r="7045" spans="47:48" x14ac:dyDescent="0.25">
      <c r="AU7045" s="7"/>
      <c r="AV7045" s="7"/>
    </row>
    <row r="7046" spans="47:48" x14ac:dyDescent="0.25">
      <c r="AU7046" s="7"/>
      <c r="AV7046" s="7"/>
    </row>
    <row r="7047" spans="47:48" x14ac:dyDescent="0.25">
      <c r="AU7047" s="7"/>
      <c r="AV7047" s="7"/>
    </row>
    <row r="7048" spans="47:48" x14ac:dyDescent="0.25">
      <c r="AU7048" s="7"/>
      <c r="AV7048" s="7"/>
    </row>
    <row r="7049" spans="47:48" x14ac:dyDescent="0.25">
      <c r="AU7049" s="7"/>
      <c r="AV7049" s="7"/>
    </row>
    <row r="7050" spans="47:48" x14ac:dyDescent="0.25">
      <c r="AU7050" s="7"/>
      <c r="AV7050" s="7"/>
    </row>
    <row r="7051" spans="47:48" x14ac:dyDescent="0.25">
      <c r="AU7051" s="7"/>
      <c r="AV7051" s="7"/>
    </row>
    <row r="7052" spans="47:48" x14ac:dyDescent="0.25">
      <c r="AU7052" s="7"/>
      <c r="AV7052" s="7"/>
    </row>
    <row r="7053" spans="47:48" x14ac:dyDescent="0.25">
      <c r="AU7053" s="7"/>
      <c r="AV7053" s="7"/>
    </row>
    <row r="7054" spans="47:48" x14ac:dyDescent="0.25">
      <c r="AU7054" s="7"/>
      <c r="AV7054" s="7"/>
    </row>
    <row r="7055" spans="47:48" x14ac:dyDescent="0.25">
      <c r="AU7055" s="7"/>
      <c r="AV7055" s="7"/>
    </row>
    <row r="7056" spans="47:48" x14ac:dyDescent="0.25">
      <c r="AU7056" s="7"/>
      <c r="AV7056" s="7"/>
    </row>
    <row r="7057" spans="47:48" x14ac:dyDescent="0.25">
      <c r="AU7057" s="7"/>
      <c r="AV7057" s="7"/>
    </row>
    <row r="7058" spans="47:48" x14ac:dyDescent="0.25">
      <c r="AU7058" s="7"/>
      <c r="AV7058" s="7"/>
    </row>
    <row r="7059" spans="47:48" x14ac:dyDescent="0.25">
      <c r="AU7059" s="7"/>
      <c r="AV7059" s="7"/>
    </row>
    <row r="7060" spans="47:48" x14ac:dyDescent="0.25">
      <c r="AU7060" s="7"/>
      <c r="AV7060" s="7"/>
    </row>
    <row r="7061" spans="47:48" x14ac:dyDescent="0.25">
      <c r="AU7061" s="7"/>
      <c r="AV7061" s="7"/>
    </row>
    <row r="7062" spans="47:48" x14ac:dyDescent="0.25">
      <c r="AU7062" s="7"/>
      <c r="AV7062" s="7"/>
    </row>
    <row r="7063" spans="47:48" x14ac:dyDescent="0.25">
      <c r="AU7063" s="7"/>
      <c r="AV7063" s="7"/>
    </row>
    <row r="7064" spans="47:48" x14ac:dyDescent="0.25">
      <c r="AU7064" s="7"/>
      <c r="AV7064" s="7"/>
    </row>
    <row r="7065" spans="47:48" x14ac:dyDescent="0.25">
      <c r="AU7065" s="7"/>
      <c r="AV7065" s="7"/>
    </row>
    <row r="7066" spans="47:48" x14ac:dyDescent="0.25">
      <c r="AU7066" s="7"/>
      <c r="AV7066" s="7"/>
    </row>
    <row r="7067" spans="47:48" x14ac:dyDescent="0.25">
      <c r="AU7067" s="7"/>
      <c r="AV7067" s="7"/>
    </row>
    <row r="7068" spans="47:48" x14ac:dyDescent="0.25">
      <c r="AU7068" s="7"/>
      <c r="AV7068" s="7"/>
    </row>
    <row r="7069" spans="47:48" x14ac:dyDescent="0.25">
      <c r="AU7069" s="7"/>
      <c r="AV7069" s="7"/>
    </row>
    <row r="7070" spans="47:48" x14ac:dyDescent="0.25">
      <c r="AU7070" s="7"/>
      <c r="AV7070" s="7"/>
    </row>
    <row r="7071" spans="47:48" x14ac:dyDescent="0.25">
      <c r="AU7071" s="7"/>
      <c r="AV7071" s="7"/>
    </row>
    <row r="7072" spans="47:48" x14ac:dyDescent="0.25">
      <c r="AU7072" s="7"/>
      <c r="AV7072" s="7"/>
    </row>
    <row r="7073" spans="47:48" x14ac:dyDescent="0.25">
      <c r="AU7073" s="7"/>
      <c r="AV7073" s="7"/>
    </row>
    <row r="7074" spans="47:48" x14ac:dyDescent="0.25">
      <c r="AU7074" s="7"/>
      <c r="AV7074" s="7"/>
    </row>
    <row r="7075" spans="47:48" x14ac:dyDescent="0.25">
      <c r="AU7075" s="7"/>
      <c r="AV7075" s="7"/>
    </row>
    <row r="7076" spans="47:48" x14ac:dyDescent="0.25">
      <c r="AU7076" s="7"/>
      <c r="AV7076" s="7"/>
    </row>
    <row r="7077" spans="47:48" x14ac:dyDescent="0.25">
      <c r="AU7077" s="7"/>
      <c r="AV7077" s="7"/>
    </row>
    <row r="7078" spans="47:48" x14ac:dyDescent="0.25">
      <c r="AU7078" s="7"/>
      <c r="AV7078" s="7"/>
    </row>
    <row r="7079" spans="47:48" x14ac:dyDescent="0.25">
      <c r="AU7079" s="7"/>
      <c r="AV7079" s="7"/>
    </row>
    <row r="7080" spans="47:48" x14ac:dyDescent="0.25">
      <c r="AU7080" s="7"/>
      <c r="AV7080" s="7"/>
    </row>
    <row r="7081" spans="47:48" x14ac:dyDescent="0.25">
      <c r="AU7081" s="7"/>
      <c r="AV7081" s="7"/>
    </row>
    <row r="7082" spans="47:48" x14ac:dyDescent="0.25">
      <c r="AU7082" s="7"/>
      <c r="AV7082" s="7"/>
    </row>
    <row r="7083" spans="47:48" x14ac:dyDescent="0.25">
      <c r="AU7083" s="7"/>
      <c r="AV7083" s="7"/>
    </row>
    <row r="7084" spans="47:48" x14ac:dyDescent="0.25">
      <c r="AU7084" s="7"/>
      <c r="AV7084" s="7"/>
    </row>
    <row r="7085" spans="47:48" x14ac:dyDescent="0.25">
      <c r="AU7085" s="7"/>
      <c r="AV7085" s="7"/>
    </row>
    <row r="7086" spans="47:48" x14ac:dyDescent="0.25">
      <c r="AU7086" s="7"/>
      <c r="AV7086" s="7"/>
    </row>
    <row r="7087" spans="47:48" x14ac:dyDescent="0.25">
      <c r="AU7087" s="7"/>
      <c r="AV7087" s="7"/>
    </row>
    <row r="7088" spans="47:48" x14ac:dyDescent="0.25">
      <c r="AU7088" s="7"/>
      <c r="AV7088" s="7"/>
    </row>
    <row r="7089" spans="47:48" x14ac:dyDescent="0.25">
      <c r="AU7089" s="7"/>
      <c r="AV7089" s="7"/>
    </row>
    <row r="7090" spans="47:48" x14ac:dyDescent="0.25">
      <c r="AU7090" s="7"/>
      <c r="AV7090" s="7"/>
    </row>
    <row r="7091" spans="47:48" x14ac:dyDescent="0.25">
      <c r="AU7091" s="7"/>
      <c r="AV7091" s="7"/>
    </row>
    <row r="7092" spans="47:48" x14ac:dyDescent="0.25">
      <c r="AU7092" s="7"/>
      <c r="AV7092" s="7"/>
    </row>
    <row r="7093" spans="47:48" x14ac:dyDescent="0.25">
      <c r="AU7093" s="7"/>
      <c r="AV7093" s="7"/>
    </row>
    <row r="7094" spans="47:48" x14ac:dyDescent="0.25">
      <c r="AU7094" s="7"/>
      <c r="AV7094" s="7"/>
    </row>
    <row r="7095" spans="47:48" x14ac:dyDescent="0.25">
      <c r="AU7095" s="7"/>
      <c r="AV7095" s="7"/>
    </row>
    <row r="7096" spans="47:48" x14ac:dyDescent="0.25">
      <c r="AU7096" s="7"/>
      <c r="AV7096" s="7"/>
    </row>
    <row r="7097" spans="47:48" x14ac:dyDescent="0.25">
      <c r="AU7097" s="7"/>
      <c r="AV7097" s="7"/>
    </row>
    <row r="7098" spans="47:48" x14ac:dyDescent="0.25">
      <c r="AU7098" s="7"/>
      <c r="AV7098" s="7"/>
    </row>
    <row r="7099" spans="47:48" x14ac:dyDescent="0.25">
      <c r="AU7099" s="7"/>
      <c r="AV7099" s="7"/>
    </row>
    <row r="7100" spans="47:48" x14ac:dyDescent="0.25">
      <c r="AU7100" s="7"/>
      <c r="AV7100" s="7"/>
    </row>
    <row r="7101" spans="47:48" x14ac:dyDescent="0.25">
      <c r="AU7101" s="7"/>
      <c r="AV7101" s="7"/>
    </row>
    <row r="7102" spans="47:48" x14ac:dyDescent="0.25">
      <c r="AU7102" s="7"/>
      <c r="AV7102" s="7"/>
    </row>
    <row r="7103" spans="47:48" x14ac:dyDescent="0.25">
      <c r="AU7103" s="7"/>
      <c r="AV7103" s="7"/>
    </row>
    <row r="7104" spans="47:48" x14ac:dyDescent="0.25">
      <c r="AU7104" s="7"/>
      <c r="AV7104" s="7"/>
    </row>
    <row r="7105" spans="47:48" x14ac:dyDescent="0.25">
      <c r="AU7105" s="7"/>
      <c r="AV7105" s="7"/>
    </row>
    <row r="7106" spans="47:48" x14ac:dyDescent="0.25">
      <c r="AU7106" s="7"/>
      <c r="AV7106" s="7"/>
    </row>
    <row r="7107" spans="47:48" x14ac:dyDescent="0.25">
      <c r="AU7107" s="7"/>
      <c r="AV7107" s="7"/>
    </row>
    <row r="7108" spans="47:48" x14ac:dyDescent="0.25">
      <c r="AU7108" s="7"/>
      <c r="AV7108" s="7"/>
    </row>
    <row r="7109" spans="47:48" x14ac:dyDescent="0.25">
      <c r="AU7109" s="7"/>
      <c r="AV7109" s="7"/>
    </row>
    <row r="7110" spans="47:48" x14ac:dyDescent="0.25">
      <c r="AU7110" s="7"/>
      <c r="AV7110" s="7"/>
    </row>
    <row r="7111" spans="47:48" x14ac:dyDescent="0.25">
      <c r="AU7111" s="7"/>
      <c r="AV7111" s="7"/>
    </row>
    <row r="7112" spans="47:48" x14ac:dyDescent="0.25">
      <c r="AU7112" s="7"/>
      <c r="AV7112" s="7"/>
    </row>
    <row r="7113" spans="47:48" x14ac:dyDescent="0.25">
      <c r="AU7113" s="7"/>
      <c r="AV7113" s="7"/>
    </row>
    <row r="7114" spans="47:48" x14ac:dyDescent="0.25">
      <c r="AU7114" s="7"/>
      <c r="AV7114" s="7"/>
    </row>
    <row r="7115" spans="47:48" x14ac:dyDescent="0.25">
      <c r="AU7115" s="7"/>
      <c r="AV7115" s="7"/>
    </row>
    <row r="7116" spans="47:48" x14ac:dyDescent="0.25">
      <c r="AU7116" s="7"/>
      <c r="AV7116" s="7"/>
    </row>
    <row r="7117" spans="47:48" x14ac:dyDescent="0.25">
      <c r="AU7117" s="7"/>
      <c r="AV7117" s="7"/>
    </row>
    <row r="7118" spans="47:48" x14ac:dyDescent="0.25">
      <c r="AU7118" s="7"/>
      <c r="AV7118" s="7"/>
    </row>
    <row r="7119" spans="47:48" x14ac:dyDescent="0.25">
      <c r="AU7119" s="7"/>
      <c r="AV7119" s="7"/>
    </row>
    <row r="7120" spans="47:48" x14ac:dyDescent="0.25">
      <c r="AU7120" s="7"/>
      <c r="AV7120" s="7"/>
    </row>
    <row r="7121" spans="47:48" x14ac:dyDescent="0.25">
      <c r="AU7121" s="7"/>
      <c r="AV7121" s="7"/>
    </row>
    <row r="7122" spans="47:48" x14ac:dyDescent="0.25">
      <c r="AU7122" s="7"/>
      <c r="AV7122" s="7"/>
    </row>
    <row r="7123" spans="47:48" x14ac:dyDescent="0.25">
      <c r="AU7123" s="7"/>
      <c r="AV7123" s="7"/>
    </row>
    <row r="7124" spans="47:48" x14ac:dyDescent="0.25">
      <c r="AU7124" s="7"/>
      <c r="AV7124" s="7"/>
    </row>
    <row r="7125" spans="47:48" x14ac:dyDescent="0.25">
      <c r="AU7125" s="7"/>
      <c r="AV7125" s="7"/>
    </row>
    <row r="7126" spans="47:48" x14ac:dyDescent="0.25">
      <c r="AU7126" s="7"/>
      <c r="AV7126" s="7"/>
    </row>
    <row r="7127" spans="47:48" x14ac:dyDescent="0.25">
      <c r="AU7127" s="7"/>
      <c r="AV7127" s="7"/>
    </row>
    <row r="7128" spans="47:48" x14ac:dyDescent="0.25">
      <c r="AU7128" s="7"/>
      <c r="AV7128" s="7"/>
    </row>
    <row r="7129" spans="47:48" x14ac:dyDescent="0.25">
      <c r="AU7129" s="7"/>
      <c r="AV7129" s="7"/>
    </row>
    <row r="7130" spans="47:48" x14ac:dyDescent="0.25">
      <c r="AU7130" s="7"/>
      <c r="AV7130" s="7"/>
    </row>
    <row r="7131" spans="47:48" x14ac:dyDescent="0.25">
      <c r="AU7131" s="7"/>
      <c r="AV7131" s="7"/>
    </row>
    <row r="7132" spans="47:48" x14ac:dyDescent="0.25">
      <c r="AU7132" s="7"/>
      <c r="AV7132" s="7"/>
    </row>
    <row r="7133" spans="47:48" x14ac:dyDescent="0.25">
      <c r="AU7133" s="7"/>
      <c r="AV7133" s="7"/>
    </row>
    <row r="7134" spans="47:48" x14ac:dyDescent="0.25">
      <c r="AU7134" s="7"/>
      <c r="AV7134" s="7"/>
    </row>
    <row r="7135" spans="47:48" x14ac:dyDescent="0.25">
      <c r="AU7135" s="7"/>
      <c r="AV7135" s="7"/>
    </row>
    <row r="7136" spans="47:48" x14ac:dyDescent="0.25">
      <c r="AU7136" s="7"/>
      <c r="AV7136" s="7"/>
    </row>
    <row r="7137" spans="47:48" x14ac:dyDescent="0.25">
      <c r="AU7137" s="7"/>
      <c r="AV7137" s="7"/>
    </row>
    <row r="7138" spans="47:48" x14ac:dyDescent="0.25">
      <c r="AU7138" s="7"/>
      <c r="AV7138" s="7"/>
    </row>
    <row r="7139" spans="47:48" x14ac:dyDescent="0.25">
      <c r="AU7139" s="7"/>
      <c r="AV7139" s="7"/>
    </row>
    <row r="7140" spans="47:48" x14ac:dyDescent="0.25">
      <c r="AU7140" s="7"/>
      <c r="AV7140" s="7"/>
    </row>
    <row r="7141" spans="47:48" x14ac:dyDescent="0.25">
      <c r="AU7141" s="7"/>
      <c r="AV7141" s="7"/>
    </row>
    <row r="7142" spans="47:48" x14ac:dyDescent="0.25">
      <c r="AU7142" s="7"/>
      <c r="AV7142" s="7"/>
    </row>
    <row r="7143" spans="47:48" x14ac:dyDescent="0.25">
      <c r="AU7143" s="7"/>
      <c r="AV7143" s="7"/>
    </row>
    <row r="7144" spans="47:48" x14ac:dyDescent="0.25">
      <c r="AU7144" s="7"/>
      <c r="AV7144" s="7"/>
    </row>
    <row r="7145" spans="47:48" x14ac:dyDescent="0.25">
      <c r="AU7145" s="7"/>
      <c r="AV7145" s="7"/>
    </row>
    <row r="7146" spans="47:48" x14ac:dyDescent="0.25">
      <c r="AU7146" s="7"/>
      <c r="AV7146" s="7"/>
    </row>
    <row r="7147" spans="47:48" x14ac:dyDescent="0.25">
      <c r="AU7147" s="7"/>
      <c r="AV7147" s="7"/>
    </row>
    <row r="7148" spans="47:48" x14ac:dyDescent="0.25">
      <c r="AU7148" s="7"/>
      <c r="AV7148" s="7"/>
    </row>
    <row r="7149" spans="47:48" x14ac:dyDescent="0.25">
      <c r="AU7149" s="7"/>
      <c r="AV7149" s="7"/>
    </row>
    <row r="7150" spans="47:48" x14ac:dyDescent="0.25">
      <c r="AU7150" s="7"/>
      <c r="AV7150" s="7"/>
    </row>
    <row r="7151" spans="47:48" x14ac:dyDescent="0.25">
      <c r="AU7151" s="7"/>
      <c r="AV7151" s="7"/>
    </row>
    <row r="7152" spans="47:48" x14ac:dyDescent="0.25">
      <c r="AU7152" s="7"/>
      <c r="AV7152" s="7"/>
    </row>
    <row r="7153" spans="47:48" x14ac:dyDescent="0.25">
      <c r="AU7153" s="7"/>
      <c r="AV7153" s="7"/>
    </row>
    <row r="7154" spans="47:48" x14ac:dyDescent="0.25">
      <c r="AU7154" s="7"/>
      <c r="AV7154" s="7"/>
    </row>
    <row r="7155" spans="47:48" x14ac:dyDescent="0.25">
      <c r="AU7155" s="7"/>
      <c r="AV7155" s="7"/>
    </row>
    <row r="7156" spans="47:48" x14ac:dyDescent="0.25">
      <c r="AU7156" s="7"/>
      <c r="AV7156" s="7"/>
    </row>
    <row r="7157" spans="47:48" x14ac:dyDescent="0.25">
      <c r="AU7157" s="7"/>
      <c r="AV7157" s="7"/>
    </row>
    <row r="7158" spans="47:48" x14ac:dyDescent="0.25">
      <c r="AU7158" s="7"/>
      <c r="AV7158" s="7"/>
    </row>
    <row r="7159" spans="47:48" x14ac:dyDescent="0.25">
      <c r="AU7159" s="7"/>
      <c r="AV7159" s="7"/>
    </row>
    <row r="7160" spans="47:48" x14ac:dyDescent="0.25">
      <c r="AU7160" s="7"/>
      <c r="AV7160" s="7"/>
    </row>
    <row r="7161" spans="47:48" x14ac:dyDescent="0.25">
      <c r="AU7161" s="7"/>
      <c r="AV7161" s="7"/>
    </row>
    <row r="7162" spans="47:48" x14ac:dyDescent="0.25">
      <c r="AU7162" s="7"/>
      <c r="AV7162" s="7"/>
    </row>
    <row r="7163" spans="47:48" x14ac:dyDescent="0.25">
      <c r="AU7163" s="7"/>
      <c r="AV7163" s="7"/>
    </row>
    <row r="7164" spans="47:48" x14ac:dyDescent="0.25">
      <c r="AU7164" s="7"/>
      <c r="AV7164" s="7"/>
    </row>
    <row r="7165" spans="47:48" x14ac:dyDescent="0.25">
      <c r="AU7165" s="7"/>
      <c r="AV7165" s="7"/>
    </row>
    <row r="7166" spans="47:48" x14ac:dyDescent="0.25">
      <c r="AU7166" s="7"/>
      <c r="AV7166" s="7"/>
    </row>
    <row r="7167" spans="47:48" x14ac:dyDescent="0.25">
      <c r="AU7167" s="7"/>
      <c r="AV7167" s="7"/>
    </row>
    <row r="7168" spans="47:48" x14ac:dyDescent="0.25">
      <c r="AU7168" s="7"/>
      <c r="AV7168" s="7"/>
    </row>
    <row r="7169" spans="47:48" x14ac:dyDescent="0.25">
      <c r="AU7169" s="7"/>
      <c r="AV7169" s="7"/>
    </row>
    <row r="7170" spans="47:48" x14ac:dyDescent="0.25">
      <c r="AU7170" s="7"/>
      <c r="AV7170" s="7"/>
    </row>
    <row r="7171" spans="47:48" x14ac:dyDescent="0.25">
      <c r="AU7171" s="7"/>
      <c r="AV7171" s="7"/>
    </row>
    <row r="7172" spans="47:48" x14ac:dyDescent="0.25">
      <c r="AU7172" s="7"/>
      <c r="AV7172" s="7"/>
    </row>
    <row r="7173" spans="47:48" x14ac:dyDescent="0.25">
      <c r="AU7173" s="7"/>
      <c r="AV7173" s="7"/>
    </row>
    <row r="7174" spans="47:48" x14ac:dyDescent="0.25">
      <c r="AU7174" s="7"/>
      <c r="AV7174" s="7"/>
    </row>
    <row r="7175" spans="47:48" x14ac:dyDescent="0.25">
      <c r="AU7175" s="7"/>
      <c r="AV7175" s="7"/>
    </row>
    <row r="7176" spans="47:48" x14ac:dyDescent="0.25">
      <c r="AU7176" s="7"/>
      <c r="AV7176" s="7"/>
    </row>
    <row r="7177" spans="47:48" x14ac:dyDescent="0.25">
      <c r="AU7177" s="7"/>
      <c r="AV7177" s="7"/>
    </row>
    <row r="7178" spans="47:48" x14ac:dyDescent="0.25">
      <c r="AU7178" s="7"/>
      <c r="AV7178" s="7"/>
    </row>
    <row r="7179" spans="47:48" x14ac:dyDescent="0.25">
      <c r="AU7179" s="7"/>
      <c r="AV7179" s="7"/>
    </row>
    <row r="7180" spans="47:48" x14ac:dyDescent="0.25">
      <c r="AU7180" s="7"/>
      <c r="AV7180" s="7"/>
    </row>
    <row r="7181" spans="47:48" x14ac:dyDescent="0.25">
      <c r="AU7181" s="7"/>
      <c r="AV7181" s="7"/>
    </row>
    <row r="7182" spans="47:48" x14ac:dyDescent="0.25">
      <c r="AU7182" s="7"/>
      <c r="AV7182" s="7"/>
    </row>
    <row r="7183" spans="47:48" x14ac:dyDescent="0.25">
      <c r="AU7183" s="7"/>
      <c r="AV7183" s="7"/>
    </row>
    <row r="7184" spans="47:48" x14ac:dyDescent="0.25">
      <c r="AU7184" s="7"/>
      <c r="AV7184" s="7"/>
    </row>
    <row r="7185" spans="47:48" x14ac:dyDescent="0.25">
      <c r="AU7185" s="7"/>
      <c r="AV7185" s="7"/>
    </row>
    <row r="7186" spans="47:48" x14ac:dyDescent="0.25">
      <c r="AU7186" s="7"/>
      <c r="AV7186" s="7"/>
    </row>
    <row r="7187" spans="47:48" x14ac:dyDescent="0.25">
      <c r="AU7187" s="7"/>
      <c r="AV7187" s="7"/>
    </row>
    <row r="7188" spans="47:48" x14ac:dyDescent="0.25">
      <c r="AU7188" s="7"/>
      <c r="AV7188" s="7"/>
    </row>
    <row r="7189" spans="47:48" x14ac:dyDescent="0.25">
      <c r="AU7189" s="7"/>
      <c r="AV7189" s="7"/>
    </row>
    <row r="7190" spans="47:48" x14ac:dyDescent="0.25">
      <c r="AU7190" s="7"/>
      <c r="AV7190" s="7"/>
    </row>
    <row r="7191" spans="47:48" x14ac:dyDescent="0.25">
      <c r="AU7191" s="7"/>
      <c r="AV7191" s="7"/>
    </row>
    <row r="7192" spans="47:48" x14ac:dyDescent="0.25">
      <c r="AU7192" s="7"/>
      <c r="AV7192" s="7"/>
    </row>
    <row r="7193" spans="47:48" x14ac:dyDescent="0.25">
      <c r="AU7193" s="7"/>
      <c r="AV7193" s="7"/>
    </row>
    <row r="7194" spans="47:48" x14ac:dyDescent="0.25">
      <c r="AU7194" s="7"/>
      <c r="AV7194" s="7"/>
    </row>
    <row r="7195" spans="47:48" x14ac:dyDescent="0.25">
      <c r="AU7195" s="7"/>
      <c r="AV7195" s="7"/>
    </row>
    <row r="7196" spans="47:48" x14ac:dyDescent="0.25">
      <c r="AU7196" s="7"/>
      <c r="AV7196" s="7"/>
    </row>
    <row r="7197" spans="47:48" x14ac:dyDescent="0.25">
      <c r="AU7197" s="7"/>
      <c r="AV7197" s="7"/>
    </row>
    <row r="7198" spans="47:48" x14ac:dyDescent="0.25">
      <c r="AU7198" s="7"/>
      <c r="AV7198" s="7"/>
    </row>
    <row r="7199" spans="47:48" x14ac:dyDescent="0.25">
      <c r="AU7199" s="7"/>
      <c r="AV7199" s="7"/>
    </row>
    <row r="7200" spans="47:48" x14ac:dyDescent="0.25">
      <c r="AU7200" s="7"/>
      <c r="AV7200" s="7"/>
    </row>
    <row r="7201" spans="47:48" x14ac:dyDescent="0.25">
      <c r="AU7201" s="7"/>
      <c r="AV7201" s="7"/>
    </row>
    <row r="7202" spans="47:48" x14ac:dyDescent="0.25">
      <c r="AU7202" s="7"/>
      <c r="AV7202" s="7"/>
    </row>
    <row r="7203" spans="47:48" x14ac:dyDescent="0.25">
      <c r="AU7203" s="7"/>
      <c r="AV7203" s="7"/>
    </row>
    <row r="7204" spans="47:48" x14ac:dyDescent="0.25">
      <c r="AU7204" s="7"/>
      <c r="AV7204" s="7"/>
    </row>
    <row r="7205" spans="47:48" x14ac:dyDescent="0.25">
      <c r="AU7205" s="7"/>
      <c r="AV7205" s="7"/>
    </row>
    <row r="7206" spans="47:48" x14ac:dyDescent="0.25">
      <c r="AU7206" s="7"/>
      <c r="AV7206" s="7"/>
    </row>
    <row r="7207" spans="47:48" x14ac:dyDescent="0.25">
      <c r="AU7207" s="7"/>
      <c r="AV7207" s="7"/>
    </row>
    <row r="7208" spans="47:48" x14ac:dyDescent="0.25">
      <c r="AU7208" s="7"/>
      <c r="AV7208" s="7"/>
    </row>
    <row r="7209" spans="47:48" x14ac:dyDescent="0.25">
      <c r="AU7209" s="7"/>
      <c r="AV7209" s="7"/>
    </row>
    <row r="7210" spans="47:48" x14ac:dyDescent="0.25">
      <c r="AU7210" s="7"/>
      <c r="AV7210" s="7"/>
    </row>
    <row r="7211" spans="47:48" x14ac:dyDescent="0.25">
      <c r="AU7211" s="7"/>
      <c r="AV7211" s="7"/>
    </row>
    <row r="7212" spans="47:48" x14ac:dyDescent="0.25">
      <c r="AU7212" s="7"/>
      <c r="AV7212" s="7"/>
    </row>
    <row r="7213" spans="47:48" x14ac:dyDescent="0.25">
      <c r="AU7213" s="7"/>
      <c r="AV7213" s="7"/>
    </row>
    <row r="7214" spans="47:48" x14ac:dyDescent="0.25">
      <c r="AU7214" s="7"/>
      <c r="AV7214" s="7"/>
    </row>
    <row r="7215" spans="47:48" x14ac:dyDescent="0.25">
      <c r="AU7215" s="7"/>
      <c r="AV7215" s="7"/>
    </row>
    <row r="7216" spans="47:48" x14ac:dyDescent="0.25">
      <c r="AU7216" s="7"/>
      <c r="AV7216" s="7"/>
    </row>
    <row r="7217" spans="47:48" x14ac:dyDescent="0.25">
      <c r="AU7217" s="7"/>
      <c r="AV7217" s="7"/>
    </row>
    <row r="7218" spans="47:48" x14ac:dyDescent="0.25">
      <c r="AU7218" s="7"/>
      <c r="AV7218" s="7"/>
    </row>
    <row r="7219" spans="47:48" x14ac:dyDescent="0.25">
      <c r="AU7219" s="7"/>
      <c r="AV7219" s="7"/>
    </row>
    <row r="7220" spans="47:48" x14ac:dyDescent="0.25">
      <c r="AU7220" s="7"/>
      <c r="AV7220" s="7"/>
    </row>
    <row r="7221" spans="47:48" x14ac:dyDescent="0.25">
      <c r="AU7221" s="7"/>
      <c r="AV7221" s="7"/>
    </row>
    <row r="7222" spans="47:48" x14ac:dyDescent="0.25">
      <c r="AU7222" s="7"/>
      <c r="AV7222" s="7"/>
    </row>
    <row r="7223" spans="47:48" x14ac:dyDescent="0.25">
      <c r="AU7223" s="7"/>
      <c r="AV7223" s="7"/>
    </row>
    <row r="7224" spans="47:48" x14ac:dyDescent="0.25">
      <c r="AU7224" s="7"/>
      <c r="AV7224" s="7"/>
    </row>
    <row r="7225" spans="47:48" x14ac:dyDescent="0.25">
      <c r="AU7225" s="7"/>
      <c r="AV7225" s="7"/>
    </row>
    <row r="7226" spans="47:48" x14ac:dyDescent="0.25">
      <c r="AU7226" s="7"/>
      <c r="AV7226" s="7"/>
    </row>
    <row r="7227" spans="47:48" x14ac:dyDescent="0.25">
      <c r="AU7227" s="7"/>
      <c r="AV7227" s="7"/>
    </row>
    <row r="7228" spans="47:48" x14ac:dyDescent="0.25">
      <c r="AU7228" s="7"/>
      <c r="AV7228" s="7"/>
    </row>
    <row r="7229" spans="47:48" x14ac:dyDescent="0.25">
      <c r="AU7229" s="7"/>
      <c r="AV7229" s="7"/>
    </row>
    <row r="7230" spans="47:48" x14ac:dyDescent="0.25">
      <c r="AU7230" s="7"/>
      <c r="AV7230" s="7"/>
    </row>
    <row r="7231" spans="47:48" x14ac:dyDescent="0.25">
      <c r="AU7231" s="7"/>
      <c r="AV7231" s="7"/>
    </row>
    <row r="7232" spans="47:48" x14ac:dyDescent="0.25">
      <c r="AU7232" s="7"/>
      <c r="AV7232" s="7"/>
    </row>
    <row r="7233" spans="47:48" x14ac:dyDescent="0.25">
      <c r="AU7233" s="7"/>
      <c r="AV7233" s="7"/>
    </row>
    <row r="7234" spans="47:48" x14ac:dyDescent="0.25">
      <c r="AU7234" s="7"/>
      <c r="AV7234" s="7"/>
    </row>
    <row r="7235" spans="47:48" x14ac:dyDescent="0.25">
      <c r="AU7235" s="7"/>
      <c r="AV7235" s="7"/>
    </row>
    <row r="7236" spans="47:48" x14ac:dyDescent="0.25">
      <c r="AU7236" s="7"/>
      <c r="AV7236" s="7"/>
    </row>
    <row r="7237" spans="47:48" x14ac:dyDescent="0.25">
      <c r="AU7237" s="7"/>
      <c r="AV7237" s="7"/>
    </row>
    <row r="7238" spans="47:48" x14ac:dyDescent="0.25">
      <c r="AU7238" s="7"/>
      <c r="AV7238" s="7"/>
    </row>
    <row r="7239" spans="47:48" x14ac:dyDescent="0.25">
      <c r="AU7239" s="7"/>
      <c r="AV7239" s="7"/>
    </row>
    <row r="7240" spans="47:48" x14ac:dyDescent="0.25">
      <c r="AU7240" s="7"/>
      <c r="AV7240" s="7"/>
    </row>
    <row r="7241" spans="47:48" x14ac:dyDescent="0.25">
      <c r="AU7241" s="7"/>
      <c r="AV7241" s="7"/>
    </row>
    <row r="7242" spans="47:48" x14ac:dyDescent="0.25">
      <c r="AU7242" s="7"/>
      <c r="AV7242" s="7"/>
    </row>
    <row r="7243" spans="47:48" x14ac:dyDescent="0.25">
      <c r="AU7243" s="7"/>
      <c r="AV7243" s="7"/>
    </row>
    <row r="7244" spans="47:48" x14ac:dyDescent="0.25">
      <c r="AU7244" s="7"/>
      <c r="AV7244" s="7"/>
    </row>
    <row r="7245" spans="47:48" x14ac:dyDescent="0.25">
      <c r="AU7245" s="7"/>
      <c r="AV7245" s="7"/>
    </row>
    <row r="7246" spans="47:48" x14ac:dyDescent="0.25">
      <c r="AU7246" s="7"/>
      <c r="AV7246" s="7"/>
    </row>
    <row r="7247" spans="47:48" x14ac:dyDescent="0.25">
      <c r="AU7247" s="7"/>
      <c r="AV7247" s="7"/>
    </row>
    <row r="7248" spans="47:48" x14ac:dyDescent="0.25">
      <c r="AU7248" s="7"/>
      <c r="AV7248" s="7"/>
    </row>
    <row r="7249" spans="47:48" x14ac:dyDescent="0.25">
      <c r="AU7249" s="7"/>
      <c r="AV7249" s="7"/>
    </row>
    <row r="7250" spans="47:48" x14ac:dyDescent="0.25">
      <c r="AU7250" s="7"/>
      <c r="AV7250" s="7"/>
    </row>
    <row r="7251" spans="47:48" x14ac:dyDescent="0.25">
      <c r="AU7251" s="7"/>
      <c r="AV7251" s="7"/>
    </row>
    <row r="7252" spans="47:48" x14ac:dyDescent="0.25">
      <c r="AU7252" s="7"/>
      <c r="AV7252" s="7"/>
    </row>
    <row r="7253" spans="47:48" x14ac:dyDescent="0.25">
      <c r="AU7253" s="7"/>
      <c r="AV7253" s="7"/>
    </row>
    <row r="7254" spans="47:48" x14ac:dyDescent="0.25">
      <c r="AU7254" s="7"/>
      <c r="AV7254" s="7"/>
    </row>
    <row r="7255" spans="47:48" x14ac:dyDescent="0.25">
      <c r="AU7255" s="7"/>
      <c r="AV7255" s="7"/>
    </row>
    <row r="7256" spans="47:48" x14ac:dyDescent="0.25">
      <c r="AU7256" s="7"/>
      <c r="AV7256" s="7"/>
    </row>
    <row r="7257" spans="47:48" x14ac:dyDescent="0.25">
      <c r="AU7257" s="7"/>
      <c r="AV7257" s="7"/>
    </row>
    <row r="7258" spans="47:48" x14ac:dyDescent="0.25">
      <c r="AU7258" s="7"/>
      <c r="AV7258" s="7"/>
    </row>
    <row r="7259" spans="47:48" x14ac:dyDescent="0.25">
      <c r="AU7259" s="7"/>
      <c r="AV7259" s="7"/>
    </row>
    <row r="7260" spans="47:48" x14ac:dyDescent="0.25">
      <c r="AU7260" s="7"/>
      <c r="AV7260" s="7"/>
    </row>
    <row r="7261" spans="47:48" x14ac:dyDescent="0.25">
      <c r="AU7261" s="7"/>
      <c r="AV7261" s="7"/>
    </row>
    <row r="7262" spans="47:48" x14ac:dyDescent="0.25">
      <c r="AU7262" s="7"/>
      <c r="AV7262" s="7"/>
    </row>
    <row r="7263" spans="47:48" x14ac:dyDescent="0.25">
      <c r="AU7263" s="7"/>
      <c r="AV7263" s="7"/>
    </row>
    <row r="7264" spans="47:48" x14ac:dyDescent="0.25">
      <c r="AU7264" s="7"/>
      <c r="AV7264" s="7"/>
    </row>
    <row r="7265" spans="47:48" x14ac:dyDescent="0.25">
      <c r="AU7265" s="7"/>
      <c r="AV7265" s="7"/>
    </row>
    <row r="7266" spans="47:48" x14ac:dyDescent="0.25">
      <c r="AU7266" s="7"/>
      <c r="AV7266" s="7"/>
    </row>
    <row r="7267" spans="47:48" x14ac:dyDescent="0.25">
      <c r="AU7267" s="7"/>
      <c r="AV7267" s="7"/>
    </row>
    <row r="7268" spans="47:48" x14ac:dyDescent="0.25">
      <c r="AU7268" s="7"/>
      <c r="AV7268" s="7"/>
    </row>
    <row r="7269" spans="47:48" x14ac:dyDescent="0.25">
      <c r="AU7269" s="7"/>
      <c r="AV7269" s="7"/>
    </row>
    <row r="7270" spans="47:48" x14ac:dyDescent="0.25">
      <c r="AU7270" s="7"/>
      <c r="AV7270" s="7"/>
    </row>
    <row r="7271" spans="47:48" x14ac:dyDescent="0.25">
      <c r="AU7271" s="7"/>
      <c r="AV7271" s="7"/>
    </row>
    <row r="7272" spans="47:48" x14ac:dyDescent="0.25">
      <c r="AU7272" s="7"/>
      <c r="AV7272" s="7"/>
    </row>
    <row r="7273" spans="47:48" x14ac:dyDescent="0.25">
      <c r="AU7273" s="7"/>
      <c r="AV7273" s="7"/>
    </row>
    <row r="7274" spans="47:48" x14ac:dyDescent="0.25">
      <c r="AU7274" s="7"/>
      <c r="AV7274" s="7"/>
    </row>
    <row r="7275" spans="47:48" x14ac:dyDescent="0.25">
      <c r="AU7275" s="7"/>
      <c r="AV7275" s="7"/>
    </row>
    <row r="7276" spans="47:48" x14ac:dyDescent="0.25">
      <c r="AU7276" s="7"/>
      <c r="AV7276" s="7"/>
    </row>
    <row r="7277" spans="47:48" x14ac:dyDescent="0.25">
      <c r="AU7277" s="7"/>
      <c r="AV7277" s="7"/>
    </row>
    <row r="7278" spans="47:48" x14ac:dyDescent="0.25">
      <c r="AU7278" s="7"/>
      <c r="AV7278" s="7"/>
    </row>
    <row r="7279" spans="47:48" x14ac:dyDescent="0.25">
      <c r="AU7279" s="7"/>
      <c r="AV7279" s="7"/>
    </row>
    <row r="7280" spans="47:48" x14ac:dyDescent="0.25">
      <c r="AU7280" s="7"/>
      <c r="AV7280" s="7"/>
    </row>
    <row r="7281" spans="47:48" x14ac:dyDescent="0.25">
      <c r="AU7281" s="7"/>
      <c r="AV7281" s="7"/>
    </row>
    <row r="7282" spans="47:48" x14ac:dyDescent="0.25">
      <c r="AU7282" s="7"/>
      <c r="AV7282" s="7"/>
    </row>
    <row r="7283" spans="47:48" x14ac:dyDescent="0.25">
      <c r="AU7283" s="7"/>
      <c r="AV7283" s="7"/>
    </row>
    <row r="7284" spans="47:48" x14ac:dyDescent="0.25">
      <c r="AU7284" s="7"/>
      <c r="AV7284" s="7"/>
    </row>
    <row r="7285" spans="47:48" x14ac:dyDescent="0.25">
      <c r="AU7285" s="7"/>
      <c r="AV7285" s="7"/>
    </row>
    <row r="7286" spans="47:48" x14ac:dyDescent="0.25">
      <c r="AU7286" s="7"/>
      <c r="AV7286" s="7"/>
    </row>
    <row r="7287" spans="47:48" x14ac:dyDescent="0.25">
      <c r="AU7287" s="7"/>
      <c r="AV7287" s="7"/>
    </row>
    <row r="7288" spans="47:48" x14ac:dyDescent="0.25">
      <c r="AU7288" s="7"/>
      <c r="AV7288" s="7"/>
    </row>
    <row r="7289" spans="47:48" x14ac:dyDescent="0.25">
      <c r="AU7289" s="7"/>
      <c r="AV7289" s="7"/>
    </row>
    <row r="7290" spans="47:48" x14ac:dyDescent="0.25">
      <c r="AU7290" s="7"/>
      <c r="AV7290" s="7"/>
    </row>
    <row r="7291" spans="47:48" x14ac:dyDescent="0.25">
      <c r="AU7291" s="7"/>
      <c r="AV7291" s="7"/>
    </row>
    <row r="7292" spans="47:48" x14ac:dyDescent="0.25">
      <c r="AU7292" s="7"/>
      <c r="AV7292" s="7"/>
    </row>
    <row r="7293" spans="47:48" x14ac:dyDescent="0.25">
      <c r="AU7293" s="7"/>
      <c r="AV7293" s="7"/>
    </row>
    <row r="7294" spans="47:48" x14ac:dyDescent="0.25">
      <c r="AU7294" s="7"/>
      <c r="AV7294" s="7"/>
    </row>
    <row r="7295" spans="47:48" x14ac:dyDescent="0.25">
      <c r="AU7295" s="7"/>
      <c r="AV7295" s="7"/>
    </row>
    <row r="7296" spans="47:48" x14ac:dyDescent="0.25">
      <c r="AU7296" s="7"/>
      <c r="AV7296" s="7"/>
    </row>
    <row r="7297" spans="47:48" x14ac:dyDescent="0.25">
      <c r="AU7297" s="7"/>
      <c r="AV7297" s="7"/>
    </row>
    <row r="7298" spans="47:48" x14ac:dyDescent="0.25">
      <c r="AU7298" s="7"/>
      <c r="AV7298" s="7"/>
    </row>
    <row r="7299" spans="47:48" x14ac:dyDescent="0.25">
      <c r="AU7299" s="7"/>
      <c r="AV7299" s="7"/>
    </row>
    <row r="7300" spans="47:48" x14ac:dyDescent="0.25">
      <c r="AU7300" s="7"/>
      <c r="AV7300" s="7"/>
    </row>
    <row r="7301" spans="47:48" x14ac:dyDescent="0.25">
      <c r="AU7301" s="7"/>
      <c r="AV7301" s="7"/>
    </row>
    <row r="7302" spans="47:48" x14ac:dyDescent="0.25">
      <c r="AU7302" s="7"/>
      <c r="AV7302" s="7"/>
    </row>
    <row r="7303" spans="47:48" x14ac:dyDescent="0.25">
      <c r="AU7303" s="7"/>
      <c r="AV7303" s="7"/>
    </row>
    <row r="7304" spans="47:48" x14ac:dyDescent="0.25">
      <c r="AU7304" s="7"/>
      <c r="AV7304" s="7"/>
    </row>
    <row r="7305" spans="47:48" x14ac:dyDescent="0.25">
      <c r="AU7305" s="7"/>
      <c r="AV7305" s="7"/>
    </row>
    <row r="7306" spans="47:48" x14ac:dyDescent="0.25">
      <c r="AU7306" s="7"/>
      <c r="AV7306" s="7"/>
    </row>
    <row r="7307" spans="47:48" x14ac:dyDescent="0.25">
      <c r="AU7307" s="7"/>
      <c r="AV7307" s="7"/>
    </row>
    <row r="7308" spans="47:48" x14ac:dyDescent="0.25">
      <c r="AU7308" s="7"/>
      <c r="AV7308" s="7"/>
    </row>
    <row r="7309" spans="47:48" x14ac:dyDescent="0.25">
      <c r="AU7309" s="7"/>
      <c r="AV7309" s="7"/>
    </row>
    <row r="7310" spans="47:48" x14ac:dyDescent="0.25">
      <c r="AU7310" s="7"/>
      <c r="AV7310" s="7"/>
    </row>
    <row r="7311" spans="47:48" x14ac:dyDescent="0.25">
      <c r="AU7311" s="7"/>
      <c r="AV7311" s="7"/>
    </row>
    <row r="7312" spans="47:48" x14ac:dyDescent="0.25">
      <c r="AU7312" s="7"/>
      <c r="AV7312" s="7"/>
    </row>
    <row r="7313" spans="47:48" x14ac:dyDescent="0.25">
      <c r="AU7313" s="7"/>
      <c r="AV7313" s="7"/>
    </row>
    <row r="7314" spans="47:48" x14ac:dyDescent="0.25">
      <c r="AU7314" s="7"/>
      <c r="AV7314" s="7"/>
    </row>
    <row r="7315" spans="47:48" x14ac:dyDescent="0.25">
      <c r="AU7315" s="7"/>
      <c r="AV7315" s="7"/>
    </row>
    <row r="7316" spans="47:48" x14ac:dyDescent="0.25">
      <c r="AU7316" s="7"/>
      <c r="AV7316" s="7"/>
    </row>
    <row r="7317" spans="47:48" x14ac:dyDescent="0.25">
      <c r="AU7317" s="7"/>
      <c r="AV7317" s="7"/>
    </row>
    <row r="7318" spans="47:48" x14ac:dyDescent="0.25">
      <c r="AU7318" s="7"/>
      <c r="AV7318" s="7"/>
    </row>
    <row r="7319" spans="47:48" x14ac:dyDescent="0.25">
      <c r="AU7319" s="7"/>
      <c r="AV7319" s="7"/>
    </row>
    <row r="7320" spans="47:48" x14ac:dyDescent="0.25">
      <c r="AU7320" s="7"/>
      <c r="AV7320" s="7"/>
    </row>
    <row r="7321" spans="47:48" x14ac:dyDescent="0.25">
      <c r="AU7321" s="7"/>
      <c r="AV7321" s="7"/>
    </row>
    <row r="7322" spans="47:48" x14ac:dyDescent="0.25">
      <c r="AU7322" s="7"/>
      <c r="AV7322" s="7"/>
    </row>
    <row r="7323" spans="47:48" x14ac:dyDescent="0.25">
      <c r="AU7323" s="7"/>
      <c r="AV7323" s="7"/>
    </row>
    <row r="7324" spans="47:48" x14ac:dyDescent="0.25">
      <c r="AU7324" s="7"/>
      <c r="AV7324" s="7"/>
    </row>
    <row r="7325" spans="47:48" x14ac:dyDescent="0.25">
      <c r="AU7325" s="7"/>
      <c r="AV7325" s="7"/>
    </row>
    <row r="7326" spans="47:48" x14ac:dyDescent="0.25">
      <c r="AU7326" s="7"/>
      <c r="AV7326" s="7"/>
    </row>
    <row r="7327" spans="47:48" x14ac:dyDescent="0.25">
      <c r="AU7327" s="7"/>
      <c r="AV7327" s="7"/>
    </row>
    <row r="7328" spans="47:48" x14ac:dyDescent="0.25">
      <c r="AU7328" s="7"/>
      <c r="AV7328" s="7"/>
    </row>
    <row r="7329" spans="47:48" x14ac:dyDescent="0.25">
      <c r="AU7329" s="7"/>
      <c r="AV7329" s="7"/>
    </row>
    <row r="7330" spans="47:48" x14ac:dyDescent="0.25">
      <c r="AU7330" s="7"/>
      <c r="AV7330" s="7"/>
    </row>
    <row r="7331" spans="47:48" x14ac:dyDescent="0.25">
      <c r="AU7331" s="7"/>
      <c r="AV7331" s="7"/>
    </row>
    <row r="7332" spans="47:48" x14ac:dyDescent="0.25">
      <c r="AU7332" s="7"/>
      <c r="AV7332" s="7"/>
    </row>
    <row r="7333" spans="47:48" x14ac:dyDescent="0.25">
      <c r="AU7333" s="7"/>
      <c r="AV7333" s="7"/>
    </row>
    <row r="7334" spans="47:48" x14ac:dyDescent="0.25">
      <c r="AU7334" s="7"/>
      <c r="AV7334" s="7"/>
    </row>
    <row r="7335" spans="47:48" x14ac:dyDescent="0.25">
      <c r="AU7335" s="7"/>
      <c r="AV7335" s="7"/>
    </row>
    <row r="7336" spans="47:48" x14ac:dyDescent="0.25">
      <c r="AU7336" s="7"/>
      <c r="AV7336" s="7"/>
    </row>
    <row r="7337" spans="47:48" x14ac:dyDescent="0.25">
      <c r="AU7337" s="7"/>
      <c r="AV7337" s="7"/>
    </row>
    <row r="7338" spans="47:48" x14ac:dyDescent="0.25">
      <c r="AU7338" s="7"/>
      <c r="AV7338" s="7"/>
    </row>
    <row r="7339" spans="47:48" x14ac:dyDescent="0.25">
      <c r="AU7339" s="7"/>
      <c r="AV7339" s="7"/>
    </row>
    <row r="7340" spans="47:48" x14ac:dyDescent="0.25">
      <c r="AU7340" s="7"/>
      <c r="AV7340" s="7"/>
    </row>
    <row r="7341" spans="47:48" x14ac:dyDescent="0.25">
      <c r="AU7341" s="7"/>
      <c r="AV7341" s="7"/>
    </row>
    <row r="7342" spans="47:48" x14ac:dyDescent="0.25">
      <c r="AU7342" s="7"/>
      <c r="AV7342" s="7"/>
    </row>
    <row r="7343" spans="47:48" x14ac:dyDescent="0.25">
      <c r="AU7343" s="7"/>
      <c r="AV7343" s="7"/>
    </row>
    <row r="7344" spans="47:48" x14ac:dyDescent="0.25">
      <c r="AU7344" s="7"/>
      <c r="AV7344" s="7"/>
    </row>
    <row r="7345" spans="47:48" x14ac:dyDescent="0.25">
      <c r="AU7345" s="7"/>
      <c r="AV7345" s="7"/>
    </row>
    <row r="7346" spans="47:48" x14ac:dyDescent="0.25">
      <c r="AU7346" s="7"/>
      <c r="AV7346" s="7"/>
    </row>
    <row r="7347" spans="47:48" x14ac:dyDescent="0.25">
      <c r="AU7347" s="7"/>
      <c r="AV7347" s="7"/>
    </row>
    <row r="7348" spans="47:48" x14ac:dyDescent="0.25">
      <c r="AU7348" s="7"/>
      <c r="AV7348" s="7"/>
    </row>
    <row r="7349" spans="47:48" x14ac:dyDescent="0.25">
      <c r="AU7349" s="7"/>
      <c r="AV7349" s="7"/>
    </row>
    <row r="7350" spans="47:48" x14ac:dyDescent="0.25">
      <c r="AU7350" s="7"/>
      <c r="AV7350" s="7"/>
    </row>
    <row r="7351" spans="47:48" x14ac:dyDescent="0.25">
      <c r="AU7351" s="7"/>
      <c r="AV7351" s="7"/>
    </row>
    <row r="7352" spans="47:48" x14ac:dyDescent="0.25">
      <c r="AU7352" s="7"/>
      <c r="AV7352" s="7"/>
    </row>
    <row r="7353" spans="47:48" x14ac:dyDescent="0.25">
      <c r="AU7353" s="7"/>
      <c r="AV7353" s="7"/>
    </row>
    <row r="7354" spans="47:48" x14ac:dyDescent="0.25">
      <c r="AU7354" s="7"/>
      <c r="AV7354" s="7"/>
    </row>
    <row r="7355" spans="47:48" x14ac:dyDescent="0.25">
      <c r="AU7355" s="7"/>
      <c r="AV7355" s="7"/>
    </row>
    <row r="7356" spans="47:48" x14ac:dyDescent="0.25">
      <c r="AU7356" s="7"/>
      <c r="AV7356" s="7"/>
    </row>
    <row r="7357" spans="47:48" x14ac:dyDescent="0.25">
      <c r="AU7357" s="7"/>
      <c r="AV7357" s="7"/>
    </row>
    <row r="7358" spans="47:48" x14ac:dyDescent="0.25">
      <c r="AU7358" s="7"/>
      <c r="AV7358" s="7"/>
    </row>
    <row r="7359" spans="47:48" x14ac:dyDescent="0.25">
      <c r="AU7359" s="7"/>
      <c r="AV7359" s="7"/>
    </row>
    <row r="7360" spans="47:48" x14ac:dyDescent="0.25">
      <c r="AU7360" s="7"/>
      <c r="AV7360" s="7"/>
    </row>
    <row r="7361" spans="47:48" x14ac:dyDescent="0.25">
      <c r="AU7361" s="7"/>
      <c r="AV7361" s="7"/>
    </row>
    <row r="7362" spans="47:48" x14ac:dyDescent="0.25">
      <c r="AU7362" s="7"/>
      <c r="AV7362" s="7"/>
    </row>
    <row r="7363" spans="47:48" x14ac:dyDescent="0.25">
      <c r="AU7363" s="7"/>
      <c r="AV7363" s="7"/>
    </row>
    <row r="7364" spans="47:48" x14ac:dyDescent="0.25">
      <c r="AU7364" s="7"/>
      <c r="AV7364" s="7"/>
    </row>
    <row r="7365" spans="47:48" x14ac:dyDescent="0.25">
      <c r="AU7365" s="7"/>
      <c r="AV7365" s="7"/>
    </row>
    <row r="7366" spans="47:48" x14ac:dyDescent="0.25">
      <c r="AU7366" s="7"/>
      <c r="AV7366" s="7"/>
    </row>
    <row r="7367" spans="47:48" x14ac:dyDescent="0.25">
      <c r="AU7367" s="7"/>
      <c r="AV7367" s="7"/>
    </row>
    <row r="7368" spans="47:48" x14ac:dyDescent="0.25">
      <c r="AU7368" s="7"/>
      <c r="AV7368" s="7"/>
    </row>
    <row r="7369" spans="47:48" x14ac:dyDescent="0.25">
      <c r="AU7369" s="7"/>
      <c r="AV7369" s="7"/>
    </row>
    <row r="7370" spans="47:48" x14ac:dyDescent="0.25">
      <c r="AU7370" s="7"/>
      <c r="AV7370" s="7"/>
    </row>
    <row r="7371" spans="47:48" x14ac:dyDescent="0.25">
      <c r="AU7371" s="7"/>
      <c r="AV7371" s="7"/>
    </row>
    <row r="7372" spans="47:48" x14ac:dyDescent="0.25">
      <c r="AU7372" s="7"/>
      <c r="AV7372" s="7"/>
    </row>
    <row r="7373" spans="47:48" x14ac:dyDescent="0.25">
      <c r="AU7373" s="7"/>
      <c r="AV7373" s="7"/>
    </row>
    <row r="7374" spans="47:48" x14ac:dyDescent="0.25">
      <c r="AU7374" s="7"/>
      <c r="AV7374" s="7"/>
    </row>
    <row r="7375" spans="47:48" x14ac:dyDescent="0.25">
      <c r="AU7375" s="7"/>
      <c r="AV7375" s="7"/>
    </row>
    <row r="7376" spans="47:48" x14ac:dyDescent="0.25">
      <c r="AU7376" s="7"/>
      <c r="AV7376" s="7"/>
    </row>
    <row r="7377" spans="47:48" x14ac:dyDescent="0.25">
      <c r="AU7377" s="7"/>
      <c r="AV7377" s="7"/>
    </row>
    <row r="7378" spans="47:48" x14ac:dyDescent="0.25">
      <c r="AU7378" s="7"/>
      <c r="AV7378" s="7"/>
    </row>
    <row r="7379" spans="47:48" x14ac:dyDescent="0.25">
      <c r="AU7379" s="7"/>
      <c r="AV7379" s="7"/>
    </row>
    <row r="7380" spans="47:48" x14ac:dyDescent="0.25">
      <c r="AU7380" s="7"/>
      <c r="AV7380" s="7"/>
    </row>
    <row r="7381" spans="47:48" x14ac:dyDescent="0.25">
      <c r="AU7381" s="7"/>
      <c r="AV7381" s="7"/>
    </row>
    <row r="7382" spans="47:48" x14ac:dyDescent="0.25">
      <c r="AU7382" s="7"/>
      <c r="AV7382" s="7"/>
    </row>
    <row r="7383" spans="47:48" x14ac:dyDescent="0.25">
      <c r="AU7383" s="7"/>
      <c r="AV7383" s="7"/>
    </row>
    <row r="7384" spans="47:48" x14ac:dyDescent="0.25">
      <c r="AU7384" s="7"/>
      <c r="AV7384" s="7"/>
    </row>
    <row r="7385" spans="47:48" x14ac:dyDescent="0.25">
      <c r="AU7385" s="7"/>
      <c r="AV7385" s="7"/>
    </row>
    <row r="7386" spans="47:48" x14ac:dyDescent="0.25">
      <c r="AU7386" s="7"/>
      <c r="AV7386" s="7"/>
    </row>
    <row r="7387" spans="47:48" x14ac:dyDescent="0.25">
      <c r="AU7387" s="7"/>
      <c r="AV7387" s="7"/>
    </row>
    <row r="7388" spans="47:48" x14ac:dyDescent="0.25">
      <c r="AU7388" s="7"/>
      <c r="AV7388" s="7"/>
    </row>
    <row r="7389" spans="47:48" x14ac:dyDescent="0.25">
      <c r="AU7389" s="7"/>
      <c r="AV7389" s="7"/>
    </row>
    <row r="7390" spans="47:48" x14ac:dyDescent="0.25">
      <c r="AU7390" s="7"/>
      <c r="AV7390" s="7"/>
    </row>
    <row r="7391" spans="47:48" x14ac:dyDescent="0.25">
      <c r="AU7391" s="7"/>
      <c r="AV7391" s="7"/>
    </row>
    <row r="7392" spans="47:48" x14ac:dyDescent="0.25">
      <c r="AU7392" s="7"/>
      <c r="AV7392" s="7"/>
    </row>
    <row r="7393" spans="47:48" x14ac:dyDescent="0.25">
      <c r="AU7393" s="7"/>
      <c r="AV7393" s="7"/>
    </row>
    <row r="7394" spans="47:48" x14ac:dyDescent="0.25">
      <c r="AU7394" s="7"/>
      <c r="AV7394" s="7"/>
    </row>
    <row r="7395" spans="47:48" x14ac:dyDescent="0.25">
      <c r="AU7395" s="7"/>
      <c r="AV7395" s="7"/>
    </row>
    <row r="7396" spans="47:48" x14ac:dyDescent="0.25">
      <c r="AU7396" s="7"/>
      <c r="AV7396" s="7"/>
    </row>
    <row r="7397" spans="47:48" x14ac:dyDescent="0.25">
      <c r="AU7397" s="7"/>
      <c r="AV7397" s="7"/>
    </row>
    <row r="7398" spans="47:48" x14ac:dyDescent="0.25">
      <c r="AU7398" s="7"/>
      <c r="AV7398" s="7"/>
    </row>
    <row r="7399" spans="47:48" x14ac:dyDescent="0.25">
      <c r="AU7399" s="7"/>
      <c r="AV7399" s="7"/>
    </row>
    <row r="7400" spans="47:48" x14ac:dyDescent="0.25">
      <c r="AU7400" s="7"/>
      <c r="AV7400" s="7"/>
    </row>
    <row r="7401" spans="47:48" x14ac:dyDescent="0.25">
      <c r="AU7401" s="7"/>
      <c r="AV7401" s="7"/>
    </row>
    <row r="7402" spans="47:48" x14ac:dyDescent="0.25">
      <c r="AU7402" s="7"/>
      <c r="AV7402" s="7"/>
    </row>
    <row r="7403" spans="47:48" x14ac:dyDescent="0.25">
      <c r="AU7403" s="7"/>
      <c r="AV7403" s="7"/>
    </row>
    <row r="7404" spans="47:48" x14ac:dyDescent="0.25">
      <c r="AU7404" s="7"/>
      <c r="AV7404" s="7"/>
    </row>
    <row r="7405" spans="47:48" x14ac:dyDescent="0.25">
      <c r="AU7405" s="7"/>
      <c r="AV7405" s="7"/>
    </row>
    <row r="7406" spans="47:48" x14ac:dyDescent="0.25">
      <c r="AU7406" s="7"/>
      <c r="AV7406" s="7"/>
    </row>
    <row r="7407" spans="47:48" x14ac:dyDescent="0.25">
      <c r="AU7407" s="7"/>
      <c r="AV7407" s="7"/>
    </row>
    <row r="7408" spans="47:48" x14ac:dyDescent="0.25">
      <c r="AU7408" s="7"/>
      <c r="AV7408" s="7"/>
    </row>
    <row r="7409" spans="47:48" x14ac:dyDescent="0.25">
      <c r="AU7409" s="7"/>
      <c r="AV7409" s="7"/>
    </row>
    <row r="7410" spans="47:48" x14ac:dyDescent="0.25">
      <c r="AU7410" s="7"/>
      <c r="AV7410" s="7"/>
    </row>
    <row r="7411" spans="47:48" x14ac:dyDescent="0.25">
      <c r="AU7411" s="7"/>
      <c r="AV7411" s="7"/>
    </row>
    <row r="7412" spans="47:48" x14ac:dyDescent="0.25">
      <c r="AU7412" s="7"/>
      <c r="AV7412" s="7"/>
    </row>
    <row r="7413" spans="47:48" x14ac:dyDescent="0.25">
      <c r="AU7413" s="7"/>
      <c r="AV7413" s="7"/>
    </row>
    <row r="7414" spans="47:48" x14ac:dyDescent="0.25">
      <c r="AU7414" s="7"/>
      <c r="AV7414" s="7"/>
    </row>
    <row r="7415" spans="47:48" x14ac:dyDescent="0.25">
      <c r="AU7415" s="7"/>
      <c r="AV7415" s="7"/>
    </row>
    <row r="7416" spans="47:48" x14ac:dyDescent="0.25">
      <c r="AU7416" s="7"/>
      <c r="AV7416" s="7"/>
    </row>
    <row r="7417" spans="47:48" x14ac:dyDescent="0.25">
      <c r="AU7417" s="7"/>
      <c r="AV7417" s="7"/>
    </row>
    <row r="7418" spans="47:48" x14ac:dyDescent="0.25">
      <c r="AU7418" s="7"/>
      <c r="AV7418" s="7"/>
    </row>
    <row r="7419" spans="47:48" x14ac:dyDescent="0.25">
      <c r="AU7419" s="7"/>
      <c r="AV7419" s="7"/>
    </row>
    <row r="7420" spans="47:48" x14ac:dyDescent="0.25">
      <c r="AU7420" s="7"/>
      <c r="AV7420" s="7"/>
    </row>
    <row r="7421" spans="47:48" x14ac:dyDescent="0.25">
      <c r="AU7421" s="7"/>
      <c r="AV7421" s="7"/>
    </row>
    <row r="7422" spans="47:48" x14ac:dyDescent="0.25">
      <c r="AU7422" s="7"/>
      <c r="AV7422" s="7"/>
    </row>
    <row r="7423" spans="47:48" x14ac:dyDescent="0.25">
      <c r="AU7423" s="7"/>
      <c r="AV7423" s="7"/>
    </row>
    <row r="7424" spans="47:48" x14ac:dyDescent="0.25">
      <c r="AU7424" s="7"/>
      <c r="AV7424" s="7"/>
    </row>
    <row r="7425" spans="47:48" x14ac:dyDescent="0.25">
      <c r="AU7425" s="7"/>
      <c r="AV7425" s="7"/>
    </row>
    <row r="7426" spans="47:48" x14ac:dyDescent="0.25">
      <c r="AU7426" s="7"/>
      <c r="AV7426" s="7"/>
    </row>
    <row r="7427" spans="47:48" x14ac:dyDescent="0.25">
      <c r="AU7427" s="7"/>
      <c r="AV7427" s="7"/>
    </row>
    <row r="7428" spans="47:48" x14ac:dyDescent="0.25">
      <c r="AU7428" s="7"/>
      <c r="AV7428" s="7"/>
    </row>
    <row r="7429" spans="47:48" x14ac:dyDescent="0.25">
      <c r="AU7429" s="7"/>
      <c r="AV7429" s="7"/>
    </row>
    <row r="7430" spans="47:48" x14ac:dyDescent="0.25">
      <c r="AU7430" s="7"/>
      <c r="AV7430" s="7"/>
    </row>
    <row r="7431" spans="47:48" x14ac:dyDescent="0.25">
      <c r="AU7431" s="7"/>
      <c r="AV7431" s="7"/>
    </row>
    <row r="7432" spans="47:48" x14ac:dyDescent="0.25">
      <c r="AU7432" s="7"/>
      <c r="AV7432" s="7"/>
    </row>
    <row r="7433" spans="47:48" x14ac:dyDescent="0.25">
      <c r="AU7433" s="7"/>
      <c r="AV7433" s="7"/>
    </row>
    <row r="7434" spans="47:48" x14ac:dyDescent="0.25">
      <c r="AU7434" s="7"/>
      <c r="AV7434" s="7"/>
    </row>
    <row r="7435" spans="47:48" x14ac:dyDescent="0.25">
      <c r="AU7435" s="7"/>
      <c r="AV7435" s="7"/>
    </row>
    <row r="7436" spans="47:48" x14ac:dyDescent="0.25">
      <c r="AU7436" s="7"/>
      <c r="AV7436" s="7"/>
    </row>
    <row r="7437" spans="47:48" x14ac:dyDescent="0.25">
      <c r="AU7437" s="7"/>
      <c r="AV7437" s="7"/>
    </row>
    <row r="7438" spans="47:48" x14ac:dyDescent="0.25">
      <c r="AU7438" s="7"/>
      <c r="AV7438" s="7"/>
    </row>
    <row r="7439" spans="47:48" x14ac:dyDescent="0.25">
      <c r="AU7439" s="7"/>
      <c r="AV7439" s="7"/>
    </row>
    <row r="7440" spans="47:48" x14ac:dyDescent="0.25">
      <c r="AU7440" s="7"/>
      <c r="AV7440" s="7"/>
    </row>
    <row r="7441" spans="47:48" x14ac:dyDescent="0.25">
      <c r="AU7441" s="7"/>
      <c r="AV7441" s="7"/>
    </row>
    <row r="7442" spans="47:48" x14ac:dyDescent="0.25">
      <c r="AU7442" s="7"/>
      <c r="AV7442" s="7"/>
    </row>
    <row r="7443" spans="47:48" x14ac:dyDescent="0.25">
      <c r="AU7443" s="7"/>
      <c r="AV7443" s="7"/>
    </row>
    <row r="7444" spans="47:48" x14ac:dyDescent="0.25">
      <c r="AU7444" s="7"/>
      <c r="AV7444" s="7"/>
    </row>
    <row r="7445" spans="47:48" x14ac:dyDescent="0.25">
      <c r="AU7445" s="7"/>
      <c r="AV7445" s="7"/>
    </row>
    <row r="7446" spans="47:48" x14ac:dyDescent="0.25">
      <c r="AU7446" s="7"/>
      <c r="AV7446" s="7"/>
    </row>
    <row r="7447" spans="47:48" x14ac:dyDescent="0.25">
      <c r="AU7447" s="7"/>
      <c r="AV7447" s="7"/>
    </row>
    <row r="7448" spans="47:48" x14ac:dyDescent="0.25">
      <c r="AU7448" s="7"/>
      <c r="AV7448" s="7"/>
    </row>
    <row r="7449" spans="47:48" x14ac:dyDescent="0.25">
      <c r="AU7449" s="7"/>
      <c r="AV7449" s="7"/>
    </row>
    <row r="7450" spans="47:48" x14ac:dyDescent="0.25">
      <c r="AU7450" s="7"/>
      <c r="AV7450" s="7"/>
    </row>
    <row r="7451" spans="47:48" x14ac:dyDescent="0.25">
      <c r="AU7451" s="7"/>
      <c r="AV7451" s="7"/>
    </row>
    <row r="7452" spans="47:48" x14ac:dyDescent="0.25">
      <c r="AU7452" s="7"/>
      <c r="AV7452" s="7"/>
    </row>
    <row r="7453" spans="47:48" x14ac:dyDescent="0.25">
      <c r="AU7453" s="7"/>
      <c r="AV7453" s="7"/>
    </row>
    <row r="7454" spans="47:48" x14ac:dyDescent="0.25">
      <c r="AU7454" s="7"/>
      <c r="AV7454" s="7"/>
    </row>
    <row r="7455" spans="47:48" x14ac:dyDescent="0.25">
      <c r="AU7455" s="7"/>
      <c r="AV7455" s="7"/>
    </row>
    <row r="7456" spans="47:48" x14ac:dyDescent="0.25">
      <c r="AU7456" s="7"/>
      <c r="AV7456" s="7"/>
    </row>
    <row r="7457" spans="47:48" x14ac:dyDescent="0.25">
      <c r="AU7457" s="7"/>
      <c r="AV7457" s="7"/>
    </row>
    <row r="7458" spans="47:48" x14ac:dyDescent="0.25">
      <c r="AU7458" s="7"/>
      <c r="AV7458" s="7"/>
    </row>
    <row r="7459" spans="47:48" x14ac:dyDescent="0.25">
      <c r="AU7459" s="7"/>
      <c r="AV7459" s="7"/>
    </row>
    <row r="7460" spans="47:48" x14ac:dyDescent="0.25">
      <c r="AU7460" s="7"/>
      <c r="AV7460" s="7"/>
    </row>
    <row r="7461" spans="47:48" x14ac:dyDescent="0.25">
      <c r="AU7461" s="7"/>
      <c r="AV7461" s="7"/>
    </row>
    <row r="7462" spans="47:48" x14ac:dyDescent="0.25">
      <c r="AU7462" s="7"/>
      <c r="AV7462" s="7"/>
    </row>
    <row r="7463" spans="47:48" x14ac:dyDescent="0.25">
      <c r="AU7463" s="7"/>
      <c r="AV7463" s="7"/>
    </row>
    <row r="7464" spans="47:48" x14ac:dyDescent="0.25">
      <c r="AU7464" s="7"/>
      <c r="AV7464" s="7"/>
    </row>
    <row r="7465" spans="47:48" x14ac:dyDescent="0.25">
      <c r="AU7465" s="7"/>
      <c r="AV7465" s="7"/>
    </row>
    <row r="7466" spans="47:48" x14ac:dyDescent="0.25">
      <c r="AU7466" s="7"/>
      <c r="AV7466" s="7"/>
    </row>
    <row r="7467" spans="47:48" x14ac:dyDescent="0.25">
      <c r="AU7467" s="7"/>
      <c r="AV7467" s="7"/>
    </row>
    <row r="7468" spans="47:48" x14ac:dyDescent="0.25">
      <c r="AU7468" s="7"/>
      <c r="AV7468" s="7"/>
    </row>
    <row r="7469" spans="47:48" x14ac:dyDescent="0.25">
      <c r="AU7469" s="7"/>
      <c r="AV7469" s="7"/>
    </row>
    <row r="7470" spans="47:48" x14ac:dyDescent="0.25">
      <c r="AU7470" s="7"/>
      <c r="AV7470" s="7"/>
    </row>
    <row r="7471" spans="47:48" x14ac:dyDescent="0.25">
      <c r="AU7471" s="7"/>
      <c r="AV7471" s="7"/>
    </row>
    <row r="7472" spans="47:48" x14ac:dyDescent="0.25">
      <c r="AU7472" s="7"/>
      <c r="AV7472" s="7"/>
    </row>
    <row r="7473" spans="47:48" x14ac:dyDescent="0.25">
      <c r="AU7473" s="7"/>
      <c r="AV7473" s="7"/>
    </row>
    <row r="7474" spans="47:48" x14ac:dyDescent="0.25">
      <c r="AU7474" s="7"/>
      <c r="AV7474" s="7"/>
    </row>
    <row r="7475" spans="47:48" x14ac:dyDescent="0.25">
      <c r="AU7475" s="7"/>
      <c r="AV7475" s="7"/>
    </row>
    <row r="7476" spans="47:48" x14ac:dyDescent="0.25">
      <c r="AU7476" s="7"/>
      <c r="AV7476" s="7"/>
    </row>
    <row r="7477" spans="47:48" x14ac:dyDescent="0.25">
      <c r="AU7477" s="7"/>
      <c r="AV7477" s="7"/>
    </row>
    <row r="7478" spans="47:48" x14ac:dyDescent="0.25">
      <c r="AU7478" s="7"/>
      <c r="AV7478" s="7"/>
    </row>
    <row r="7479" spans="47:48" x14ac:dyDescent="0.25">
      <c r="AU7479" s="7"/>
      <c r="AV7479" s="7"/>
    </row>
    <row r="7480" spans="47:48" x14ac:dyDescent="0.25">
      <c r="AU7480" s="7"/>
      <c r="AV7480" s="7"/>
    </row>
    <row r="7481" spans="47:48" x14ac:dyDescent="0.25">
      <c r="AU7481" s="7"/>
      <c r="AV7481" s="7"/>
    </row>
    <row r="7482" spans="47:48" x14ac:dyDescent="0.25">
      <c r="AU7482" s="7"/>
      <c r="AV7482" s="7"/>
    </row>
    <row r="7483" spans="47:48" x14ac:dyDescent="0.25">
      <c r="AU7483" s="7"/>
      <c r="AV7483" s="7"/>
    </row>
    <row r="7484" spans="47:48" x14ac:dyDescent="0.25">
      <c r="AU7484" s="7"/>
      <c r="AV7484" s="7"/>
    </row>
    <row r="7485" spans="47:48" x14ac:dyDescent="0.25">
      <c r="AU7485" s="7"/>
      <c r="AV7485" s="7"/>
    </row>
    <row r="7486" spans="47:48" x14ac:dyDescent="0.25">
      <c r="AU7486" s="7"/>
      <c r="AV7486" s="7"/>
    </row>
    <row r="7487" spans="47:48" x14ac:dyDescent="0.25">
      <c r="AU7487" s="7"/>
      <c r="AV7487" s="7"/>
    </row>
    <row r="7488" spans="47:48" x14ac:dyDescent="0.25">
      <c r="AU7488" s="7"/>
      <c r="AV7488" s="7"/>
    </row>
    <row r="7489" spans="47:48" x14ac:dyDescent="0.25">
      <c r="AU7489" s="7"/>
      <c r="AV7489" s="7"/>
    </row>
    <row r="7490" spans="47:48" x14ac:dyDescent="0.25">
      <c r="AU7490" s="7"/>
      <c r="AV7490" s="7"/>
    </row>
    <row r="7491" spans="47:48" x14ac:dyDescent="0.25">
      <c r="AU7491" s="7"/>
      <c r="AV7491" s="7"/>
    </row>
    <row r="7492" spans="47:48" x14ac:dyDescent="0.25">
      <c r="AU7492" s="7"/>
      <c r="AV7492" s="7"/>
    </row>
    <row r="7493" spans="47:48" x14ac:dyDescent="0.25">
      <c r="AU7493" s="7"/>
      <c r="AV7493" s="7"/>
    </row>
    <row r="7494" spans="47:48" x14ac:dyDescent="0.25">
      <c r="AU7494" s="7"/>
      <c r="AV7494" s="7"/>
    </row>
    <row r="7495" spans="47:48" x14ac:dyDescent="0.25">
      <c r="AU7495" s="7"/>
      <c r="AV7495" s="7"/>
    </row>
    <row r="7496" spans="47:48" x14ac:dyDescent="0.25">
      <c r="AU7496" s="7"/>
      <c r="AV7496" s="7"/>
    </row>
    <row r="7497" spans="47:48" x14ac:dyDescent="0.25">
      <c r="AU7497" s="7"/>
      <c r="AV7497" s="7"/>
    </row>
    <row r="7498" spans="47:48" x14ac:dyDescent="0.25">
      <c r="AU7498" s="7"/>
      <c r="AV7498" s="7"/>
    </row>
    <row r="7499" spans="47:48" x14ac:dyDescent="0.25">
      <c r="AU7499" s="7"/>
      <c r="AV7499" s="7"/>
    </row>
    <row r="7500" spans="47:48" x14ac:dyDescent="0.25">
      <c r="AU7500" s="7"/>
      <c r="AV7500" s="7"/>
    </row>
    <row r="7501" spans="47:48" x14ac:dyDescent="0.25">
      <c r="AU7501" s="7"/>
      <c r="AV7501" s="7"/>
    </row>
    <row r="7502" spans="47:48" x14ac:dyDescent="0.25">
      <c r="AU7502" s="7"/>
      <c r="AV7502" s="7"/>
    </row>
    <row r="7503" spans="47:48" x14ac:dyDescent="0.25">
      <c r="AU7503" s="7"/>
      <c r="AV7503" s="7"/>
    </row>
    <row r="7504" spans="47:48" x14ac:dyDescent="0.25">
      <c r="AU7504" s="7"/>
      <c r="AV7504" s="7"/>
    </row>
    <row r="7505" spans="47:48" x14ac:dyDescent="0.25">
      <c r="AU7505" s="7"/>
      <c r="AV7505" s="7"/>
    </row>
    <row r="7506" spans="47:48" x14ac:dyDescent="0.25">
      <c r="AU7506" s="7"/>
      <c r="AV7506" s="7"/>
    </row>
    <row r="7507" spans="47:48" x14ac:dyDescent="0.25">
      <c r="AU7507" s="7"/>
      <c r="AV7507" s="7"/>
    </row>
    <row r="7508" spans="47:48" x14ac:dyDescent="0.25">
      <c r="AU7508" s="7"/>
      <c r="AV7508" s="7"/>
    </row>
    <row r="7509" spans="47:48" x14ac:dyDescent="0.25">
      <c r="AU7509" s="7"/>
      <c r="AV7509" s="7"/>
    </row>
    <row r="7510" spans="47:48" x14ac:dyDescent="0.25">
      <c r="AU7510" s="7"/>
      <c r="AV7510" s="7"/>
    </row>
    <row r="7511" spans="47:48" x14ac:dyDescent="0.25">
      <c r="AU7511" s="7"/>
      <c r="AV7511" s="7"/>
    </row>
    <row r="7512" spans="47:48" x14ac:dyDescent="0.25">
      <c r="AU7512" s="7"/>
      <c r="AV7512" s="7"/>
    </row>
    <row r="7513" spans="47:48" x14ac:dyDescent="0.25">
      <c r="AU7513" s="7"/>
      <c r="AV7513" s="7"/>
    </row>
    <row r="7514" spans="47:48" x14ac:dyDescent="0.25">
      <c r="AU7514" s="7"/>
      <c r="AV7514" s="7"/>
    </row>
    <row r="7515" spans="47:48" x14ac:dyDescent="0.25">
      <c r="AU7515" s="7"/>
      <c r="AV7515" s="7"/>
    </row>
    <row r="7516" spans="47:48" x14ac:dyDescent="0.25">
      <c r="AU7516" s="7"/>
      <c r="AV7516" s="7"/>
    </row>
    <row r="7517" spans="47:48" x14ac:dyDescent="0.25">
      <c r="AU7517" s="7"/>
      <c r="AV7517" s="7"/>
    </row>
    <row r="7518" spans="47:48" x14ac:dyDescent="0.25">
      <c r="AU7518" s="7"/>
      <c r="AV7518" s="7"/>
    </row>
    <row r="7519" spans="47:48" x14ac:dyDescent="0.25">
      <c r="AU7519" s="7"/>
      <c r="AV7519" s="7"/>
    </row>
    <row r="7520" spans="47:48" x14ac:dyDescent="0.25">
      <c r="AU7520" s="7"/>
      <c r="AV7520" s="7"/>
    </row>
    <row r="7521" spans="47:48" x14ac:dyDescent="0.25">
      <c r="AU7521" s="7"/>
      <c r="AV7521" s="7"/>
    </row>
    <row r="7522" spans="47:48" x14ac:dyDescent="0.25">
      <c r="AU7522" s="7"/>
      <c r="AV7522" s="7"/>
    </row>
    <row r="7523" spans="47:48" x14ac:dyDescent="0.25">
      <c r="AU7523" s="7"/>
      <c r="AV7523" s="7"/>
    </row>
    <row r="7524" spans="47:48" x14ac:dyDescent="0.25">
      <c r="AU7524" s="7"/>
      <c r="AV7524" s="7"/>
    </row>
    <row r="7525" spans="47:48" x14ac:dyDescent="0.25">
      <c r="AU7525" s="7"/>
      <c r="AV7525" s="7"/>
    </row>
    <row r="7526" spans="47:48" x14ac:dyDescent="0.25">
      <c r="AU7526" s="7"/>
      <c r="AV7526" s="7"/>
    </row>
    <row r="7527" spans="47:48" x14ac:dyDescent="0.25">
      <c r="AU7527" s="7"/>
      <c r="AV7527" s="7"/>
    </row>
    <row r="7528" spans="47:48" x14ac:dyDescent="0.25">
      <c r="AU7528" s="7"/>
      <c r="AV7528" s="7"/>
    </row>
    <row r="7529" spans="47:48" x14ac:dyDescent="0.25">
      <c r="AU7529" s="7"/>
      <c r="AV7529" s="7"/>
    </row>
    <row r="7530" spans="47:48" x14ac:dyDescent="0.25">
      <c r="AU7530" s="7"/>
      <c r="AV7530" s="7"/>
    </row>
    <row r="7531" spans="47:48" x14ac:dyDescent="0.25">
      <c r="AU7531" s="7"/>
      <c r="AV7531" s="7"/>
    </row>
    <row r="7532" spans="47:48" x14ac:dyDescent="0.25">
      <c r="AU7532" s="7"/>
      <c r="AV7532" s="7"/>
    </row>
    <row r="7533" spans="47:48" x14ac:dyDescent="0.25">
      <c r="AU7533" s="7"/>
      <c r="AV7533" s="7"/>
    </row>
    <row r="7534" spans="47:48" x14ac:dyDescent="0.25">
      <c r="AU7534" s="7"/>
      <c r="AV7534" s="7"/>
    </row>
    <row r="7535" spans="47:48" x14ac:dyDescent="0.25">
      <c r="AU7535" s="7"/>
      <c r="AV7535" s="7"/>
    </row>
    <row r="7536" spans="47:48" x14ac:dyDescent="0.25">
      <c r="AU7536" s="7"/>
      <c r="AV7536" s="7"/>
    </row>
    <row r="7537" spans="47:48" x14ac:dyDescent="0.25">
      <c r="AU7537" s="7"/>
      <c r="AV7537" s="7"/>
    </row>
    <row r="7538" spans="47:48" x14ac:dyDescent="0.25">
      <c r="AU7538" s="7"/>
      <c r="AV7538" s="7"/>
    </row>
    <row r="7539" spans="47:48" x14ac:dyDescent="0.25">
      <c r="AU7539" s="7"/>
      <c r="AV7539" s="7"/>
    </row>
    <row r="7540" spans="47:48" x14ac:dyDescent="0.25">
      <c r="AU7540" s="7"/>
      <c r="AV7540" s="7"/>
    </row>
    <row r="7541" spans="47:48" x14ac:dyDescent="0.25">
      <c r="AU7541" s="7"/>
      <c r="AV7541" s="7"/>
    </row>
    <row r="7542" spans="47:48" x14ac:dyDescent="0.25">
      <c r="AU7542" s="7"/>
      <c r="AV7542" s="7"/>
    </row>
    <row r="7543" spans="47:48" x14ac:dyDescent="0.25">
      <c r="AU7543" s="7"/>
      <c r="AV7543" s="7"/>
    </row>
    <row r="7544" spans="47:48" x14ac:dyDescent="0.25">
      <c r="AU7544" s="7"/>
      <c r="AV7544" s="7"/>
    </row>
    <row r="7545" spans="47:48" x14ac:dyDescent="0.25">
      <c r="AU7545" s="7"/>
      <c r="AV7545" s="7"/>
    </row>
    <row r="7546" spans="47:48" x14ac:dyDescent="0.25">
      <c r="AU7546" s="7"/>
      <c r="AV7546" s="7"/>
    </row>
    <row r="7547" spans="47:48" x14ac:dyDescent="0.25">
      <c r="AU7547" s="7"/>
      <c r="AV7547" s="7"/>
    </row>
    <row r="7548" spans="47:48" x14ac:dyDescent="0.25">
      <c r="AU7548" s="7"/>
      <c r="AV7548" s="7"/>
    </row>
    <row r="7549" spans="47:48" x14ac:dyDescent="0.25">
      <c r="AU7549" s="7"/>
      <c r="AV7549" s="7"/>
    </row>
    <row r="7550" spans="47:48" x14ac:dyDescent="0.25">
      <c r="AU7550" s="7"/>
      <c r="AV7550" s="7"/>
    </row>
    <row r="7551" spans="47:48" x14ac:dyDescent="0.25">
      <c r="AU7551" s="7"/>
      <c r="AV7551" s="7"/>
    </row>
    <row r="7552" spans="47:48" x14ac:dyDescent="0.25">
      <c r="AU7552" s="7"/>
      <c r="AV7552" s="7"/>
    </row>
    <row r="7553" spans="47:48" x14ac:dyDescent="0.25">
      <c r="AU7553" s="7"/>
      <c r="AV7553" s="7"/>
    </row>
    <row r="7554" spans="47:48" x14ac:dyDescent="0.25">
      <c r="AU7554" s="7"/>
      <c r="AV7554" s="7"/>
    </row>
    <row r="7555" spans="47:48" x14ac:dyDescent="0.25">
      <c r="AU7555" s="7"/>
      <c r="AV7555" s="7"/>
    </row>
    <row r="7556" spans="47:48" x14ac:dyDescent="0.25">
      <c r="AU7556" s="7"/>
      <c r="AV7556" s="7"/>
    </row>
    <row r="7557" spans="47:48" x14ac:dyDescent="0.25">
      <c r="AU7557" s="7"/>
      <c r="AV7557" s="7"/>
    </row>
    <row r="7558" spans="47:48" x14ac:dyDescent="0.25">
      <c r="AU7558" s="7"/>
      <c r="AV7558" s="7"/>
    </row>
    <row r="7559" spans="47:48" x14ac:dyDescent="0.25">
      <c r="AU7559" s="7"/>
      <c r="AV7559" s="7"/>
    </row>
    <row r="7560" spans="47:48" x14ac:dyDescent="0.25">
      <c r="AU7560" s="7"/>
      <c r="AV7560" s="7"/>
    </row>
    <row r="7561" spans="47:48" x14ac:dyDescent="0.25">
      <c r="AU7561" s="7"/>
      <c r="AV7561" s="7"/>
    </row>
    <row r="7562" spans="47:48" x14ac:dyDescent="0.25">
      <c r="AU7562" s="7"/>
      <c r="AV7562" s="7"/>
    </row>
    <row r="7563" spans="47:48" x14ac:dyDescent="0.25">
      <c r="AU7563" s="7"/>
      <c r="AV7563" s="7"/>
    </row>
    <row r="7564" spans="47:48" x14ac:dyDescent="0.25">
      <c r="AU7564" s="7"/>
      <c r="AV7564" s="7"/>
    </row>
    <row r="7565" spans="47:48" x14ac:dyDescent="0.25">
      <c r="AU7565" s="7"/>
      <c r="AV7565" s="7"/>
    </row>
    <row r="7566" spans="47:48" x14ac:dyDescent="0.25">
      <c r="AU7566" s="7"/>
      <c r="AV7566" s="7"/>
    </row>
    <row r="7567" spans="47:48" x14ac:dyDescent="0.25">
      <c r="AU7567" s="7"/>
      <c r="AV7567" s="7"/>
    </row>
    <row r="7568" spans="47:48" x14ac:dyDescent="0.25">
      <c r="AU7568" s="7"/>
      <c r="AV7568" s="7"/>
    </row>
    <row r="7569" spans="47:48" x14ac:dyDescent="0.25">
      <c r="AU7569" s="7"/>
      <c r="AV7569" s="7"/>
    </row>
    <row r="7570" spans="47:48" x14ac:dyDescent="0.25">
      <c r="AU7570" s="7"/>
      <c r="AV7570" s="7"/>
    </row>
    <row r="7571" spans="47:48" x14ac:dyDescent="0.25">
      <c r="AU7571" s="7"/>
      <c r="AV7571" s="7"/>
    </row>
    <row r="7572" spans="47:48" x14ac:dyDescent="0.25">
      <c r="AU7572" s="7"/>
      <c r="AV7572" s="7"/>
    </row>
    <row r="7573" spans="47:48" x14ac:dyDescent="0.25">
      <c r="AU7573" s="7"/>
      <c r="AV7573" s="7"/>
    </row>
    <row r="7574" spans="47:48" x14ac:dyDescent="0.25">
      <c r="AU7574" s="7"/>
      <c r="AV7574" s="7"/>
    </row>
    <row r="7575" spans="47:48" x14ac:dyDescent="0.25">
      <c r="AU7575" s="7"/>
      <c r="AV7575" s="7"/>
    </row>
    <row r="7576" spans="47:48" x14ac:dyDescent="0.25">
      <c r="AU7576" s="7"/>
      <c r="AV7576" s="7"/>
    </row>
    <row r="7577" spans="47:48" x14ac:dyDescent="0.25">
      <c r="AU7577" s="7"/>
      <c r="AV7577" s="7"/>
    </row>
    <row r="7578" spans="47:48" x14ac:dyDescent="0.25">
      <c r="AU7578" s="7"/>
      <c r="AV7578" s="7"/>
    </row>
    <row r="7579" spans="47:48" x14ac:dyDescent="0.25">
      <c r="AU7579" s="7"/>
      <c r="AV7579" s="7"/>
    </row>
    <row r="7580" spans="47:48" x14ac:dyDescent="0.25">
      <c r="AU7580" s="7"/>
      <c r="AV7580" s="7"/>
    </row>
    <row r="7581" spans="47:48" x14ac:dyDescent="0.25">
      <c r="AU7581" s="7"/>
      <c r="AV7581" s="7"/>
    </row>
    <row r="7582" spans="47:48" x14ac:dyDescent="0.25">
      <c r="AU7582" s="7"/>
      <c r="AV7582" s="7"/>
    </row>
    <row r="7583" spans="47:48" x14ac:dyDescent="0.25">
      <c r="AU7583" s="7"/>
      <c r="AV7583" s="7"/>
    </row>
    <row r="7584" spans="47:48" x14ac:dyDescent="0.25">
      <c r="AU7584" s="7"/>
      <c r="AV7584" s="7"/>
    </row>
    <row r="7585" spans="47:48" x14ac:dyDescent="0.25">
      <c r="AU7585" s="7"/>
      <c r="AV7585" s="7"/>
    </row>
    <row r="7586" spans="47:48" x14ac:dyDescent="0.25">
      <c r="AU7586" s="7"/>
      <c r="AV7586" s="7"/>
    </row>
    <row r="7587" spans="47:48" x14ac:dyDescent="0.25">
      <c r="AU7587" s="7"/>
      <c r="AV7587" s="7"/>
    </row>
    <row r="7588" spans="47:48" x14ac:dyDescent="0.25">
      <c r="AU7588" s="7"/>
      <c r="AV7588" s="7"/>
    </row>
    <row r="7589" spans="47:48" x14ac:dyDescent="0.25">
      <c r="AU7589" s="7"/>
      <c r="AV7589" s="7"/>
    </row>
    <row r="7590" spans="47:48" x14ac:dyDescent="0.25">
      <c r="AU7590" s="7"/>
      <c r="AV7590" s="7"/>
    </row>
    <row r="7591" spans="47:48" x14ac:dyDescent="0.25">
      <c r="AU7591" s="7"/>
      <c r="AV7591" s="7"/>
    </row>
    <row r="7592" spans="47:48" x14ac:dyDescent="0.25">
      <c r="AU7592" s="7"/>
      <c r="AV7592" s="7"/>
    </row>
    <row r="7593" spans="47:48" x14ac:dyDescent="0.25">
      <c r="AU7593" s="7"/>
      <c r="AV7593" s="7"/>
    </row>
    <row r="7594" spans="47:48" x14ac:dyDescent="0.25">
      <c r="AU7594" s="7"/>
      <c r="AV7594" s="7"/>
    </row>
    <row r="7595" spans="47:48" x14ac:dyDescent="0.25">
      <c r="AU7595" s="7"/>
      <c r="AV7595" s="7"/>
    </row>
    <row r="7596" spans="47:48" x14ac:dyDescent="0.25">
      <c r="AU7596" s="7"/>
      <c r="AV7596" s="7"/>
    </row>
    <row r="7597" spans="47:48" x14ac:dyDescent="0.25">
      <c r="AU7597" s="7"/>
      <c r="AV7597" s="7"/>
    </row>
    <row r="7598" spans="47:48" x14ac:dyDescent="0.25">
      <c r="AU7598" s="7"/>
      <c r="AV7598" s="7"/>
    </row>
    <row r="7599" spans="47:48" x14ac:dyDescent="0.25">
      <c r="AU7599" s="7"/>
      <c r="AV7599" s="7"/>
    </row>
    <row r="7600" spans="47:48" x14ac:dyDescent="0.25">
      <c r="AU7600" s="7"/>
      <c r="AV7600" s="7"/>
    </row>
    <row r="7601" spans="47:48" x14ac:dyDescent="0.25">
      <c r="AU7601" s="7"/>
      <c r="AV7601" s="7"/>
    </row>
    <row r="7602" spans="47:48" x14ac:dyDescent="0.25">
      <c r="AU7602" s="7"/>
      <c r="AV7602" s="7"/>
    </row>
    <row r="7603" spans="47:48" x14ac:dyDescent="0.25">
      <c r="AU7603" s="7"/>
      <c r="AV7603" s="7"/>
    </row>
    <row r="7604" spans="47:48" x14ac:dyDescent="0.25">
      <c r="AU7604" s="7"/>
      <c r="AV7604" s="7"/>
    </row>
    <row r="7605" spans="47:48" x14ac:dyDescent="0.25">
      <c r="AU7605" s="7"/>
      <c r="AV7605" s="7"/>
    </row>
    <row r="7606" spans="47:48" x14ac:dyDescent="0.25">
      <c r="AU7606" s="7"/>
      <c r="AV7606" s="7"/>
    </row>
    <row r="7607" spans="47:48" x14ac:dyDescent="0.25">
      <c r="AU7607" s="7"/>
      <c r="AV7607" s="7"/>
    </row>
    <row r="7608" spans="47:48" x14ac:dyDescent="0.25">
      <c r="AU7608" s="7"/>
      <c r="AV7608" s="7"/>
    </row>
    <row r="7609" spans="47:48" x14ac:dyDescent="0.25">
      <c r="AU7609" s="7"/>
      <c r="AV7609" s="7"/>
    </row>
    <row r="7610" spans="47:48" x14ac:dyDescent="0.25">
      <c r="AU7610" s="7"/>
      <c r="AV7610" s="7"/>
    </row>
    <row r="7611" spans="47:48" x14ac:dyDescent="0.25">
      <c r="AU7611" s="7"/>
      <c r="AV7611" s="7"/>
    </row>
    <row r="7612" spans="47:48" x14ac:dyDescent="0.25">
      <c r="AU7612" s="7"/>
      <c r="AV7612" s="7"/>
    </row>
    <row r="7613" spans="47:48" x14ac:dyDescent="0.25">
      <c r="AU7613" s="7"/>
      <c r="AV7613" s="7"/>
    </row>
    <row r="7614" spans="47:48" x14ac:dyDescent="0.25">
      <c r="AU7614" s="7"/>
      <c r="AV7614" s="7"/>
    </row>
    <row r="7615" spans="47:48" x14ac:dyDescent="0.25">
      <c r="AU7615" s="7"/>
      <c r="AV7615" s="7"/>
    </row>
    <row r="7616" spans="47:48" x14ac:dyDescent="0.25">
      <c r="AU7616" s="7"/>
      <c r="AV7616" s="7"/>
    </row>
    <row r="7617" spans="47:48" x14ac:dyDescent="0.25">
      <c r="AU7617" s="7"/>
      <c r="AV7617" s="7"/>
    </row>
    <row r="7618" spans="47:48" x14ac:dyDescent="0.25">
      <c r="AU7618" s="7"/>
      <c r="AV7618" s="7"/>
    </row>
    <row r="7619" spans="47:48" x14ac:dyDescent="0.25">
      <c r="AU7619" s="7"/>
      <c r="AV7619" s="7"/>
    </row>
    <row r="7620" spans="47:48" x14ac:dyDescent="0.25">
      <c r="AU7620" s="7"/>
      <c r="AV7620" s="7"/>
    </row>
    <row r="7621" spans="47:48" x14ac:dyDescent="0.25">
      <c r="AU7621" s="7"/>
      <c r="AV7621" s="7"/>
    </row>
    <row r="7622" spans="47:48" x14ac:dyDescent="0.25">
      <c r="AU7622" s="7"/>
      <c r="AV7622" s="7"/>
    </row>
    <row r="7623" spans="47:48" x14ac:dyDescent="0.25">
      <c r="AU7623" s="7"/>
      <c r="AV7623" s="7"/>
    </row>
    <row r="7624" spans="47:48" x14ac:dyDescent="0.25">
      <c r="AU7624" s="7"/>
      <c r="AV7624" s="7"/>
    </row>
    <row r="7625" spans="47:48" x14ac:dyDescent="0.25">
      <c r="AU7625" s="7"/>
      <c r="AV7625" s="7"/>
    </row>
    <row r="7626" spans="47:48" x14ac:dyDescent="0.25">
      <c r="AU7626" s="7"/>
      <c r="AV7626" s="7"/>
    </row>
    <row r="7627" spans="47:48" x14ac:dyDescent="0.25">
      <c r="AU7627" s="7"/>
      <c r="AV7627" s="7"/>
    </row>
    <row r="7628" spans="47:48" x14ac:dyDescent="0.25">
      <c r="AU7628" s="7"/>
      <c r="AV7628" s="7"/>
    </row>
    <row r="7629" spans="47:48" x14ac:dyDescent="0.25">
      <c r="AU7629" s="7"/>
      <c r="AV7629" s="7"/>
    </row>
    <row r="7630" spans="47:48" x14ac:dyDescent="0.25">
      <c r="AU7630" s="7"/>
      <c r="AV7630" s="7"/>
    </row>
    <row r="7631" spans="47:48" x14ac:dyDescent="0.25">
      <c r="AU7631" s="7"/>
      <c r="AV7631" s="7"/>
    </row>
    <row r="7632" spans="47:48" x14ac:dyDescent="0.25">
      <c r="AU7632" s="7"/>
      <c r="AV7632" s="7"/>
    </row>
    <row r="7633" spans="47:48" x14ac:dyDescent="0.25">
      <c r="AU7633" s="7"/>
      <c r="AV7633" s="7"/>
    </row>
    <row r="7634" spans="47:48" x14ac:dyDescent="0.25">
      <c r="AU7634" s="7"/>
      <c r="AV7634" s="7"/>
    </row>
    <row r="7635" spans="47:48" x14ac:dyDescent="0.25">
      <c r="AU7635" s="7"/>
      <c r="AV7635" s="7"/>
    </row>
    <row r="7636" spans="47:48" x14ac:dyDescent="0.25">
      <c r="AU7636" s="7"/>
      <c r="AV7636" s="7"/>
    </row>
    <row r="7637" spans="47:48" x14ac:dyDescent="0.25">
      <c r="AU7637" s="7"/>
      <c r="AV7637" s="7"/>
    </row>
    <row r="7638" spans="47:48" x14ac:dyDescent="0.25">
      <c r="AU7638" s="7"/>
      <c r="AV7638" s="7"/>
    </row>
    <row r="7639" spans="47:48" x14ac:dyDescent="0.25">
      <c r="AU7639" s="7"/>
      <c r="AV7639" s="7"/>
    </row>
    <row r="7640" spans="47:48" x14ac:dyDescent="0.25">
      <c r="AU7640" s="7"/>
      <c r="AV7640" s="7"/>
    </row>
    <row r="7641" spans="47:48" x14ac:dyDescent="0.25">
      <c r="AU7641" s="7"/>
      <c r="AV7641" s="7"/>
    </row>
    <row r="7642" spans="47:48" x14ac:dyDescent="0.25">
      <c r="AU7642" s="7"/>
      <c r="AV7642" s="7"/>
    </row>
    <row r="7643" spans="47:48" x14ac:dyDescent="0.25">
      <c r="AU7643" s="7"/>
      <c r="AV7643" s="7"/>
    </row>
    <row r="7644" spans="47:48" x14ac:dyDescent="0.25">
      <c r="AU7644" s="7"/>
      <c r="AV7644" s="7"/>
    </row>
    <row r="7645" spans="47:48" x14ac:dyDescent="0.25">
      <c r="AU7645" s="7"/>
      <c r="AV7645" s="7"/>
    </row>
    <row r="7646" spans="47:48" x14ac:dyDescent="0.25">
      <c r="AU7646" s="7"/>
      <c r="AV7646" s="7"/>
    </row>
    <row r="7647" spans="47:48" x14ac:dyDescent="0.25">
      <c r="AU7647" s="7"/>
      <c r="AV7647" s="7"/>
    </row>
    <row r="7648" spans="47:48" x14ac:dyDescent="0.25">
      <c r="AU7648" s="7"/>
      <c r="AV7648" s="7"/>
    </row>
    <row r="7649" spans="47:48" x14ac:dyDescent="0.25">
      <c r="AU7649" s="7"/>
      <c r="AV7649" s="7"/>
    </row>
    <row r="7650" spans="47:48" x14ac:dyDescent="0.25">
      <c r="AU7650" s="7"/>
      <c r="AV7650" s="7"/>
    </row>
    <row r="7651" spans="47:48" x14ac:dyDescent="0.25">
      <c r="AU7651" s="7"/>
      <c r="AV7651" s="7"/>
    </row>
    <row r="7652" spans="47:48" x14ac:dyDescent="0.25">
      <c r="AU7652" s="7"/>
      <c r="AV7652" s="7"/>
    </row>
    <row r="7653" spans="47:48" x14ac:dyDescent="0.25">
      <c r="AU7653" s="7"/>
      <c r="AV7653" s="7"/>
    </row>
    <row r="7654" spans="47:48" x14ac:dyDescent="0.25">
      <c r="AU7654" s="7"/>
      <c r="AV7654" s="7"/>
    </row>
    <row r="7655" spans="47:48" x14ac:dyDescent="0.25">
      <c r="AU7655" s="7"/>
      <c r="AV7655" s="7"/>
    </row>
    <row r="7656" spans="47:48" x14ac:dyDescent="0.25">
      <c r="AU7656" s="7"/>
      <c r="AV7656" s="7"/>
    </row>
    <row r="7657" spans="47:48" x14ac:dyDescent="0.25">
      <c r="AU7657" s="7"/>
      <c r="AV7657" s="7"/>
    </row>
    <row r="7658" spans="47:48" x14ac:dyDescent="0.25">
      <c r="AU7658" s="7"/>
      <c r="AV7658" s="7"/>
    </row>
    <row r="7659" spans="47:48" x14ac:dyDescent="0.25">
      <c r="AU7659" s="7"/>
      <c r="AV7659" s="7"/>
    </row>
    <row r="7660" spans="47:48" x14ac:dyDescent="0.25">
      <c r="AU7660" s="7"/>
      <c r="AV7660" s="7"/>
    </row>
    <row r="7661" spans="47:48" x14ac:dyDescent="0.25">
      <c r="AU7661" s="7"/>
      <c r="AV7661" s="7"/>
    </row>
    <row r="7662" spans="47:48" x14ac:dyDescent="0.25">
      <c r="AU7662" s="7"/>
      <c r="AV7662" s="7"/>
    </row>
    <row r="7663" spans="47:48" x14ac:dyDescent="0.25">
      <c r="AU7663" s="7"/>
      <c r="AV7663" s="7"/>
    </row>
    <row r="7664" spans="47:48" x14ac:dyDescent="0.25">
      <c r="AU7664" s="7"/>
      <c r="AV7664" s="7"/>
    </row>
    <row r="7665" spans="47:48" x14ac:dyDescent="0.25">
      <c r="AU7665" s="7"/>
      <c r="AV7665" s="7"/>
    </row>
    <row r="7666" spans="47:48" x14ac:dyDescent="0.25">
      <c r="AU7666" s="7"/>
      <c r="AV7666" s="7"/>
    </row>
    <row r="7667" spans="47:48" x14ac:dyDescent="0.25">
      <c r="AU7667" s="7"/>
      <c r="AV7667" s="7"/>
    </row>
    <row r="7668" spans="47:48" x14ac:dyDescent="0.25">
      <c r="AU7668" s="7"/>
      <c r="AV7668" s="7"/>
    </row>
    <row r="7669" spans="47:48" x14ac:dyDescent="0.25">
      <c r="AU7669" s="7"/>
      <c r="AV7669" s="7"/>
    </row>
    <row r="7670" spans="47:48" x14ac:dyDescent="0.25">
      <c r="AU7670" s="7"/>
      <c r="AV7670" s="7"/>
    </row>
    <row r="7671" spans="47:48" x14ac:dyDescent="0.25">
      <c r="AU7671" s="7"/>
      <c r="AV7671" s="7"/>
    </row>
    <row r="7672" spans="47:48" x14ac:dyDescent="0.25">
      <c r="AU7672" s="7"/>
      <c r="AV7672" s="7"/>
    </row>
    <row r="7673" spans="47:48" x14ac:dyDescent="0.25">
      <c r="AU7673" s="7"/>
      <c r="AV7673" s="7"/>
    </row>
    <row r="7674" spans="47:48" x14ac:dyDescent="0.25">
      <c r="AU7674" s="7"/>
      <c r="AV7674" s="7"/>
    </row>
    <row r="7675" spans="47:48" x14ac:dyDescent="0.25">
      <c r="AU7675" s="7"/>
      <c r="AV7675" s="7"/>
    </row>
    <row r="7676" spans="47:48" x14ac:dyDescent="0.25">
      <c r="AU7676" s="7"/>
      <c r="AV7676" s="7"/>
    </row>
    <row r="7677" spans="47:48" x14ac:dyDescent="0.25">
      <c r="AU7677" s="7"/>
      <c r="AV7677" s="7"/>
    </row>
    <row r="7678" spans="47:48" x14ac:dyDescent="0.25">
      <c r="AU7678" s="7"/>
      <c r="AV7678" s="7"/>
    </row>
    <row r="7679" spans="47:48" x14ac:dyDescent="0.25">
      <c r="AU7679" s="7"/>
      <c r="AV7679" s="7"/>
    </row>
    <row r="7680" spans="47:48" x14ac:dyDescent="0.25">
      <c r="AU7680" s="7"/>
      <c r="AV7680" s="7"/>
    </row>
    <row r="7681" spans="47:48" x14ac:dyDescent="0.25">
      <c r="AU7681" s="7"/>
      <c r="AV7681" s="7"/>
    </row>
    <row r="7682" spans="47:48" x14ac:dyDescent="0.25">
      <c r="AU7682" s="7"/>
      <c r="AV7682" s="7"/>
    </row>
    <row r="7683" spans="47:48" x14ac:dyDescent="0.25">
      <c r="AU7683" s="7"/>
      <c r="AV7683" s="7"/>
    </row>
    <row r="7684" spans="47:48" x14ac:dyDescent="0.25">
      <c r="AU7684" s="7"/>
      <c r="AV7684" s="7"/>
    </row>
    <row r="7685" spans="47:48" x14ac:dyDescent="0.25">
      <c r="AU7685" s="7"/>
      <c r="AV7685" s="7"/>
    </row>
    <row r="7686" spans="47:48" x14ac:dyDescent="0.25">
      <c r="AU7686" s="7"/>
      <c r="AV7686" s="7"/>
    </row>
    <row r="7687" spans="47:48" x14ac:dyDescent="0.25">
      <c r="AU7687" s="7"/>
      <c r="AV7687" s="7"/>
    </row>
    <row r="7688" spans="47:48" x14ac:dyDescent="0.25">
      <c r="AU7688" s="7"/>
      <c r="AV7688" s="7"/>
    </row>
    <row r="7689" spans="47:48" x14ac:dyDescent="0.25">
      <c r="AU7689" s="7"/>
      <c r="AV7689" s="7"/>
    </row>
    <row r="7690" spans="47:48" x14ac:dyDescent="0.25">
      <c r="AU7690" s="7"/>
      <c r="AV7690" s="7"/>
    </row>
    <row r="7691" spans="47:48" x14ac:dyDescent="0.25">
      <c r="AU7691" s="7"/>
      <c r="AV7691" s="7"/>
    </row>
    <row r="7692" spans="47:48" x14ac:dyDescent="0.25">
      <c r="AU7692" s="7"/>
      <c r="AV7692" s="7"/>
    </row>
    <row r="7693" spans="47:48" x14ac:dyDescent="0.25">
      <c r="AU7693" s="7"/>
      <c r="AV7693" s="7"/>
    </row>
    <row r="7694" spans="47:48" x14ac:dyDescent="0.25">
      <c r="AU7694" s="7"/>
      <c r="AV7694" s="7"/>
    </row>
    <row r="7695" spans="47:48" x14ac:dyDescent="0.25">
      <c r="AU7695" s="7"/>
      <c r="AV7695" s="7"/>
    </row>
    <row r="7696" spans="47:48" x14ac:dyDescent="0.25">
      <c r="AU7696" s="7"/>
      <c r="AV7696" s="7"/>
    </row>
    <row r="7697" spans="47:48" x14ac:dyDescent="0.25">
      <c r="AU7697" s="7"/>
      <c r="AV7697" s="7"/>
    </row>
    <row r="7698" spans="47:48" x14ac:dyDescent="0.25">
      <c r="AU7698" s="7"/>
      <c r="AV7698" s="7"/>
    </row>
    <row r="7699" spans="47:48" x14ac:dyDescent="0.25">
      <c r="AU7699" s="7"/>
      <c r="AV7699" s="7"/>
    </row>
    <row r="7700" spans="47:48" x14ac:dyDescent="0.25">
      <c r="AU7700" s="7"/>
      <c r="AV7700" s="7"/>
    </row>
    <row r="7701" spans="47:48" x14ac:dyDescent="0.25">
      <c r="AU7701" s="7"/>
      <c r="AV7701" s="7"/>
    </row>
    <row r="7702" spans="47:48" x14ac:dyDescent="0.25">
      <c r="AU7702" s="7"/>
      <c r="AV7702" s="7"/>
    </row>
    <row r="7703" spans="47:48" x14ac:dyDescent="0.25">
      <c r="AU7703" s="7"/>
      <c r="AV7703" s="7"/>
    </row>
    <row r="7704" spans="47:48" x14ac:dyDescent="0.25">
      <c r="AU7704" s="7"/>
      <c r="AV7704" s="7"/>
    </row>
    <row r="7705" spans="47:48" x14ac:dyDescent="0.25">
      <c r="AU7705" s="7"/>
      <c r="AV7705" s="7"/>
    </row>
    <row r="7706" spans="47:48" x14ac:dyDescent="0.25">
      <c r="AU7706" s="7"/>
      <c r="AV7706" s="7"/>
    </row>
    <row r="7707" spans="47:48" x14ac:dyDescent="0.25">
      <c r="AU7707" s="7"/>
      <c r="AV7707" s="7"/>
    </row>
    <row r="7708" spans="47:48" x14ac:dyDescent="0.25">
      <c r="AU7708" s="7"/>
      <c r="AV7708" s="7"/>
    </row>
    <row r="7709" spans="47:48" x14ac:dyDescent="0.25">
      <c r="AU7709" s="7"/>
      <c r="AV7709" s="7"/>
    </row>
    <row r="7710" spans="47:48" x14ac:dyDescent="0.25">
      <c r="AU7710" s="7"/>
      <c r="AV7710" s="7"/>
    </row>
    <row r="7711" spans="47:48" x14ac:dyDescent="0.25">
      <c r="AU7711" s="7"/>
      <c r="AV7711" s="7"/>
    </row>
    <row r="7712" spans="47:48" x14ac:dyDescent="0.25">
      <c r="AU7712" s="7"/>
      <c r="AV7712" s="7"/>
    </row>
    <row r="7713" spans="47:48" x14ac:dyDescent="0.25">
      <c r="AU7713" s="7"/>
      <c r="AV7713" s="7"/>
    </row>
    <row r="7714" spans="47:48" x14ac:dyDescent="0.25">
      <c r="AU7714" s="7"/>
      <c r="AV7714" s="7"/>
    </row>
    <row r="7715" spans="47:48" x14ac:dyDescent="0.25">
      <c r="AU7715" s="7"/>
      <c r="AV7715" s="7"/>
    </row>
    <row r="7716" spans="47:48" x14ac:dyDescent="0.25">
      <c r="AU7716" s="7"/>
      <c r="AV7716" s="7"/>
    </row>
    <row r="7717" spans="47:48" x14ac:dyDescent="0.25">
      <c r="AU7717" s="7"/>
      <c r="AV7717" s="7"/>
    </row>
    <row r="7718" spans="47:48" x14ac:dyDescent="0.25">
      <c r="AU7718" s="7"/>
      <c r="AV7718" s="7"/>
    </row>
    <row r="7719" spans="47:48" x14ac:dyDescent="0.25">
      <c r="AU7719" s="7"/>
      <c r="AV7719" s="7"/>
    </row>
    <row r="7720" spans="47:48" x14ac:dyDescent="0.25">
      <c r="AU7720" s="7"/>
      <c r="AV7720" s="7"/>
    </row>
    <row r="7721" spans="47:48" x14ac:dyDescent="0.25">
      <c r="AU7721" s="7"/>
      <c r="AV7721" s="7"/>
    </row>
    <row r="7722" spans="47:48" x14ac:dyDescent="0.25">
      <c r="AU7722" s="7"/>
      <c r="AV7722" s="7"/>
    </row>
    <row r="7723" spans="47:48" x14ac:dyDescent="0.25">
      <c r="AU7723" s="7"/>
      <c r="AV7723" s="7"/>
    </row>
    <row r="7724" spans="47:48" x14ac:dyDescent="0.25">
      <c r="AU7724" s="7"/>
      <c r="AV7724" s="7"/>
    </row>
    <row r="7725" spans="47:48" x14ac:dyDescent="0.25">
      <c r="AU7725" s="7"/>
      <c r="AV7725" s="7"/>
    </row>
    <row r="7726" spans="47:48" x14ac:dyDescent="0.25">
      <c r="AU7726" s="7"/>
      <c r="AV7726" s="7"/>
    </row>
    <row r="7727" spans="47:48" x14ac:dyDescent="0.25">
      <c r="AU7727" s="7"/>
      <c r="AV7727" s="7"/>
    </row>
    <row r="7728" spans="47:48" x14ac:dyDescent="0.25">
      <c r="AU7728" s="7"/>
      <c r="AV7728" s="7"/>
    </row>
    <row r="7729" spans="47:48" x14ac:dyDescent="0.25">
      <c r="AU7729" s="7"/>
      <c r="AV7729" s="7"/>
    </row>
    <row r="7730" spans="47:48" x14ac:dyDescent="0.25">
      <c r="AU7730" s="7"/>
      <c r="AV7730" s="7"/>
    </row>
    <row r="7731" spans="47:48" x14ac:dyDescent="0.25">
      <c r="AU7731" s="7"/>
      <c r="AV7731" s="7"/>
    </row>
    <row r="7732" spans="47:48" x14ac:dyDescent="0.25">
      <c r="AU7732" s="7"/>
      <c r="AV7732" s="7"/>
    </row>
    <row r="7733" spans="47:48" x14ac:dyDescent="0.25">
      <c r="AU7733" s="7"/>
      <c r="AV7733" s="7"/>
    </row>
    <row r="7734" spans="47:48" x14ac:dyDescent="0.25">
      <c r="AU7734" s="7"/>
      <c r="AV7734" s="7"/>
    </row>
    <row r="7735" spans="47:48" x14ac:dyDescent="0.25">
      <c r="AU7735" s="7"/>
      <c r="AV7735" s="7"/>
    </row>
    <row r="7736" spans="47:48" x14ac:dyDescent="0.25">
      <c r="AU7736" s="7"/>
      <c r="AV7736" s="7"/>
    </row>
    <row r="7737" spans="47:48" x14ac:dyDescent="0.25">
      <c r="AU7737" s="7"/>
      <c r="AV7737" s="7"/>
    </row>
    <row r="7738" spans="47:48" x14ac:dyDescent="0.25">
      <c r="AU7738" s="7"/>
      <c r="AV7738" s="7"/>
    </row>
    <row r="7739" spans="47:48" x14ac:dyDescent="0.25">
      <c r="AU7739" s="7"/>
      <c r="AV7739" s="7"/>
    </row>
    <row r="7740" spans="47:48" x14ac:dyDescent="0.25">
      <c r="AU7740" s="7"/>
      <c r="AV7740" s="7"/>
    </row>
    <row r="7741" spans="47:48" x14ac:dyDescent="0.25">
      <c r="AU7741" s="7"/>
      <c r="AV7741" s="7"/>
    </row>
    <row r="7742" spans="47:48" x14ac:dyDescent="0.25">
      <c r="AU7742" s="7"/>
      <c r="AV7742" s="7"/>
    </row>
    <row r="7743" spans="47:48" x14ac:dyDescent="0.25">
      <c r="AU7743" s="7"/>
      <c r="AV7743" s="7"/>
    </row>
    <row r="7744" spans="47:48" x14ac:dyDescent="0.25">
      <c r="AU7744" s="7"/>
      <c r="AV7744" s="7"/>
    </row>
    <row r="7745" spans="47:48" x14ac:dyDescent="0.25">
      <c r="AU7745" s="7"/>
      <c r="AV7745" s="7"/>
    </row>
    <row r="7746" spans="47:48" x14ac:dyDescent="0.25">
      <c r="AU7746" s="7"/>
      <c r="AV7746" s="7"/>
    </row>
    <row r="7747" spans="47:48" x14ac:dyDescent="0.25">
      <c r="AU7747" s="7"/>
      <c r="AV7747" s="7"/>
    </row>
    <row r="7748" spans="47:48" x14ac:dyDescent="0.25">
      <c r="AU7748" s="7"/>
      <c r="AV7748" s="7"/>
    </row>
    <row r="7749" spans="47:48" x14ac:dyDescent="0.25">
      <c r="AU7749" s="7"/>
      <c r="AV7749" s="7"/>
    </row>
    <row r="7750" spans="47:48" x14ac:dyDescent="0.25">
      <c r="AU7750" s="7"/>
      <c r="AV7750" s="7"/>
    </row>
    <row r="7751" spans="47:48" x14ac:dyDescent="0.25">
      <c r="AU7751" s="7"/>
      <c r="AV7751" s="7"/>
    </row>
    <row r="7752" spans="47:48" x14ac:dyDescent="0.25">
      <c r="AU7752" s="7"/>
      <c r="AV7752" s="7"/>
    </row>
    <row r="7753" spans="47:48" x14ac:dyDescent="0.25">
      <c r="AU7753" s="7"/>
      <c r="AV7753" s="7"/>
    </row>
    <row r="7754" spans="47:48" x14ac:dyDescent="0.25">
      <c r="AU7754" s="7"/>
      <c r="AV7754" s="7"/>
    </row>
    <row r="7755" spans="47:48" x14ac:dyDescent="0.25">
      <c r="AU7755" s="7"/>
      <c r="AV7755" s="7"/>
    </row>
    <row r="7756" spans="47:48" x14ac:dyDescent="0.25">
      <c r="AU7756" s="7"/>
      <c r="AV7756" s="7"/>
    </row>
    <row r="7757" spans="47:48" x14ac:dyDescent="0.25">
      <c r="AU7757" s="7"/>
      <c r="AV7757" s="7"/>
    </row>
    <row r="7758" spans="47:48" x14ac:dyDescent="0.25">
      <c r="AU7758" s="7"/>
      <c r="AV7758" s="7"/>
    </row>
    <row r="7759" spans="47:48" x14ac:dyDescent="0.25">
      <c r="AU7759" s="7"/>
      <c r="AV7759" s="7"/>
    </row>
    <row r="7760" spans="47:48" x14ac:dyDescent="0.25">
      <c r="AU7760" s="7"/>
      <c r="AV7760" s="7"/>
    </row>
    <row r="7761" spans="47:48" x14ac:dyDescent="0.25">
      <c r="AU7761" s="7"/>
      <c r="AV7761" s="7"/>
    </row>
    <row r="7762" spans="47:48" x14ac:dyDescent="0.25">
      <c r="AU7762" s="7"/>
      <c r="AV7762" s="7"/>
    </row>
    <row r="7763" spans="47:48" x14ac:dyDescent="0.25">
      <c r="AU7763" s="7"/>
      <c r="AV7763" s="7"/>
    </row>
    <row r="7764" spans="47:48" x14ac:dyDescent="0.25">
      <c r="AU7764" s="7"/>
      <c r="AV7764" s="7"/>
    </row>
    <row r="7765" spans="47:48" x14ac:dyDescent="0.25">
      <c r="AU7765" s="7"/>
      <c r="AV7765" s="7"/>
    </row>
    <row r="7766" spans="47:48" x14ac:dyDescent="0.25">
      <c r="AU7766" s="7"/>
      <c r="AV7766" s="7"/>
    </row>
    <row r="7767" spans="47:48" x14ac:dyDescent="0.25">
      <c r="AU7767" s="7"/>
      <c r="AV7767" s="7"/>
    </row>
    <row r="7768" spans="47:48" x14ac:dyDescent="0.25">
      <c r="AU7768" s="7"/>
      <c r="AV7768" s="7"/>
    </row>
    <row r="7769" spans="47:48" x14ac:dyDescent="0.25">
      <c r="AU7769" s="7"/>
      <c r="AV7769" s="7"/>
    </row>
    <row r="7770" spans="47:48" x14ac:dyDescent="0.25">
      <c r="AU7770" s="7"/>
      <c r="AV7770" s="7"/>
    </row>
    <row r="7771" spans="47:48" x14ac:dyDescent="0.25">
      <c r="AU7771" s="7"/>
      <c r="AV7771" s="7"/>
    </row>
    <row r="7772" spans="47:48" x14ac:dyDescent="0.25">
      <c r="AU7772" s="7"/>
      <c r="AV7772" s="7"/>
    </row>
    <row r="7773" spans="47:48" x14ac:dyDescent="0.25">
      <c r="AU7773" s="7"/>
      <c r="AV7773" s="7"/>
    </row>
    <row r="7774" spans="47:48" x14ac:dyDescent="0.25">
      <c r="AU7774" s="7"/>
      <c r="AV7774" s="7"/>
    </row>
    <row r="7775" spans="47:48" x14ac:dyDescent="0.25">
      <c r="AU7775" s="7"/>
      <c r="AV7775" s="7"/>
    </row>
    <row r="7776" spans="47:48" x14ac:dyDescent="0.25">
      <c r="AU7776" s="7"/>
      <c r="AV7776" s="7"/>
    </row>
    <row r="7777" spans="47:48" x14ac:dyDescent="0.25">
      <c r="AU7777" s="7"/>
      <c r="AV7777" s="7"/>
    </row>
    <row r="7778" spans="47:48" x14ac:dyDescent="0.25">
      <c r="AU7778" s="7"/>
      <c r="AV7778" s="7"/>
    </row>
    <row r="7779" spans="47:48" x14ac:dyDescent="0.25">
      <c r="AU7779" s="7"/>
      <c r="AV7779" s="7"/>
    </row>
    <row r="7780" spans="47:48" x14ac:dyDescent="0.25">
      <c r="AU7780" s="7"/>
      <c r="AV7780" s="7"/>
    </row>
    <row r="7781" spans="47:48" x14ac:dyDescent="0.25">
      <c r="AU7781" s="7"/>
      <c r="AV7781" s="7"/>
    </row>
    <row r="7782" spans="47:48" x14ac:dyDescent="0.25">
      <c r="AU7782" s="7"/>
      <c r="AV7782" s="7"/>
    </row>
    <row r="7783" spans="47:48" x14ac:dyDescent="0.25">
      <c r="AU7783" s="7"/>
      <c r="AV7783" s="7"/>
    </row>
    <row r="7784" spans="47:48" x14ac:dyDescent="0.25">
      <c r="AU7784" s="7"/>
      <c r="AV7784" s="7"/>
    </row>
    <row r="7785" spans="47:48" x14ac:dyDescent="0.25">
      <c r="AU7785" s="7"/>
      <c r="AV7785" s="7"/>
    </row>
    <row r="7786" spans="47:48" x14ac:dyDescent="0.25">
      <c r="AU7786" s="7"/>
      <c r="AV7786" s="7"/>
    </row>
    <row r="7787" spans="47:48" x14ac:dyDescent="0.25">
      <c r="AU7787" s="7"/>
      <c r="AV7787" s="7"/>
    </row>
    <row r="7788" spans="47:48" x14ac:dyDescent="0.25">
      <c r="AU7788" s="7"/>
      <c r="AV7788" s="7"/>
    </row>
    <row r="7789" spans="47:48" x14ac:dyDescent="0.25">
      <c r="AU7789" s="7"/>
      <c r="AV7789" s="7"/>
    </row>
    <row r="7790" spans="47:48" x14ac:dyDescent="0.25">
      <c r="AU7790" s="7"/>
      <c r="AV7790" s="7"/>
    </row>
    <row r="7791" spans="47:48" x14ac:dyDescent="0.25">
      <c r="AU7791" s="7"/>
      <c r="AV7791" s="7"/>
    </row>
    <row r="7792" spans="47:48" x14ac:dyDescent="0.25">
      <c r="AU7792" s="7"/>
      <c r="AV7792" s="7"/>
    </row>
    <row r="7793" spans="47:48" x14ac:dyDescent="0.25">
      <c r="AU7793" s="7"/>
      <c r="AV7793" s="7"/>
    </row>
    <row r="7794" spans="47:48" x14ac:dyDescent="0.25">
      <c r="AU7794" s="7"/>
      <c r="AV7794" s="7"/>
    </row>
    <row r="7795" spans="47:48" x14ac:dyDescent="0.25">
      <c r="AU7795" s="7"/>
      <c r="AV7795" s="7"/>
    </row>
    <row r="7796" spans="47:48" x14ac:dyDescent="0.25">
      <c r="AU7796" s="7"/>
      <c r="AV7796" s="7"/>
    </row>
    <row r="7797" spans="47:48" x14ac:dyDescent="0.25">
      <c r="AU7797" s="7"/>
      <c r="AV7797" s="7"/>
    </row>
    <row r="7798" spans="47:48" x14ac:dyDescent="0.25">
      <c r="AU7798" s="7"/>
      <c r="AV7798" s="7"/>
    </row>
    <row r="7799" spans="47:48" x14ac:dyDescent="0.25">
      <c r="AU7799" s="7"/>
      <c r="AV7799" s="7"/>
    </row>
    <row r="7800" spans="47:48" x14ac:dyDescent="0.25">
      <c r="AU7800" s="7"/>
      <c r="AV7800" s="7"/>
    </row>
    <row r="7801" spans="47:48" x14ac:dyDescent="0.25">
      <c r="AU7801" s="7"/>
      <c r="AV7801" s="7"/>
    </row>
    <row r="7802" spans="47:48" x14ac:dyDescent="0.25">
      <c r="AU7802" s="7"/>
      <c r="AV7802" s="7"/>
    </row>
    <row r="7803" spans="47:48" x14ac:dyDescent="0.25">
      <c r="AU7803" s="7"/>
      <c r="AV7803" s="7"/>
    </row>
    <row r="7804" spans="47:48" x14ac:dyDescent="0.25">
      <c r="AU7804" s="7"/>
      <c r="AV7804" s="7"/>
    </row>
    <row r="7805" spans="47:48" x14ac:dyDescent="0.25">
      <c r="AU7805" s="7"/>
      <c r="AV7805" s="7"/>
    </row>
    <row r="7806" spans="47:48" x14ac:dyDescent="0.25">
      <c r="AU7806" s="7"/>
      <c r="AV7806" s="7"/>
    </row>
    <row r="7807" spans="47:48" x14ac:dyDescent="0.25">
      <c r="AU7807" s="7"/>
      <c r="AV7807" s="7"/>
    </row>
    <row r="7808" spans="47:48" x14ac:dyDescent="0.25">
      <c r="AU7808" s="7"/>
      <c r="AV7808" s="7"/>
    </row>
    <row r="7809" spans="47:48" x14ac:dyDescent="0.25">
      <c r="AU7809" s="7"/>
      <c r="AV7809" s="7"/>
    </row>
    <row r="7810" spans="47:48" x14ac:dyDescent="0.25">
      <c r="AU7810" s="7"/>
      <c r="AV7810" s="7"/>
    </row>
    <row r="7811" spans="47:48" x14ac:dyDescent="0.25">
      <c r="AU7811" s="7"/>
      <c r="AV7811" s="7"/>
    </row>
    <row r="7812" spans="47:48" x14ac:dyDescent="0.25">
      <c r="AU7812" s="7"/>
      <c r="AV7812" s="7"/>
    </row>
    <row r="7813" spans="47:48" x14ac:dyDescent="0.25">
      <c r="AU7813" s="7"/>
      <c r="AV7813" s="7"/>
    </row>
    <row r="7814" spans="47:48" x14ac:dyDescent="0.25">
      <c r="AU7814" s="7"/>
      <c r="AV7814" s="7"/>
    </row>
    <row r="7815" spans="47:48" x14ac:dyDescent="0.25">
      <c r="AU7815" s="7"/>
      <c r="AV7815" s="7"/>
    </row>
    <row r="7816" spans="47:48" x14ac:dyDescent="0.25">
      <c r="AU7816" s="7"/>
      <c r="AV7816" s="7"/>
    </row>
    <row r="7817" spans="47:48" x14ac:dyDescent="0.25">
      <c r="AU7817" s="7"/>
      <c r="AV7817" s="7"/>
    </row>
    <row r="7818" spans="47:48" x14ac:dyDescent="0.25">
      <c r="AU7818" s="7"/>
      <c r="AV7818" s="7"/>
    </row>
    <row r="7819" spans="47:48" x14ac:dyDescent="0.25">
      <c r="AU7819" s="7"/>
      <c r="AV7819" s="7"/>
    </row>
    <row r="7820" spans="47:48" x14ac:dyDescent="0.25">
      <c r="AU7820" s="7"/>
      <c r="AV7820" s="7"/>
    </row>
    <row r="7821" spans="47:48" x14ac:dyDescent="0.25">
      <c r="AU7821" s="7"/>
      <c r="AV7821" s="7"/>
    </row>
    <row r="7822" spans="47:48" x14ac:dyDescent="0.25">
      <c r="AU7822" s="7"/>
      <c r="AV7822" s="7"/>
    </row>
    <row r="7823" spans="47:48" x14ac:dyDescent="0.25">
      <c r="AU7823" s="7"/>
      <c r="AV7823" s="7"/>
    </row>
    <row r="7824" spans="47:48" x14ac:dyDescent="0.25">
      <c r="AU7824" s="7"/>
      <c r="AV7824" s="7"/>
    </row>
    <row r="7825" spans="47:48" x14ac:dyDescent="0.25">
      <c r="AU7825" s="7"/>
      <c r="AV7825" s="7"/>
    </row>
    <row r="7826" spans="47:48" x14ac:dyDescent="0.25">
      <c r="AU7826" s="7"/>
      <c r="AV7826" s="7"/>
    </row>
    <row r="7827" spans="47:48" x14ac:dyDescent="0.25">
      <c r="AU7827" s="7"/>
      <c r="AV7827" s="7"/>
    </row>
    <row r="7828" spans="47:48" x14ac:dyDescent="0.25">
      <c r="AU7828" s="7"/>
      <c r="AV7828" s="7"/>
    </row>
    <row r="7829" spans="47:48" x14ac:dyDescent="0.25">
      <c r="AU7829" s="7"/>
      <c r="AV7829" s="7"/>
    </row>
    <row r="7830" spans="47:48" x14ac:dyDescent="0.25">
      <c r="AU7830" s="7"/>
      <c r="AV7830" s="7"/>
    </row>
    <row r="7831" spans="47:48" x14ac:dyDescent="0.25">
      <c r="AU7831" s="7"/>
      <c r="AV7831" s="7"/>
    </row>
    <row r="7832" spans="47:48" x14ac:dyDescent="0.25">
      <c r="AU7832" s="7"/>
      <c r="AV7832" s="7"/>
    </row>
    <row r="7833" spans="47:48" x14ac:dyDescent="0.25">
      <c r="AU7833" s="7"/>
      <c r="AV7833" s="7"/>
    </row>
    <row r="7834" spans="47:48" x14ac:dyDescent="0.25">
      <c r="AU7834" s="7"/>
      <c r="AV7834" s="7"/>
    </row>
    <row r="7835" spans="47:48" x14ac:dyDescent="0.25">
      <c r="AU7835" s="7"/>
      <c r="AV7835" s="7"/>
    </row>
    <row r="7836" spans="47:48" x14ac:dyDescent="0.25">
      <c r="AU7836" s="7"/>
      <c r="AV7836" s="7"/>
    </row>
    <row r="7837" spans="47:48" x14ac:dyDescent="0.25">
      <c r="AU7837" s="7"/>
      <c r="AV7837" s="7"/>
    </row>
    <row r="7838" spans="47:48" x14ac:dyDescent="0.25">
      <c r="AU7838" s="7"/>
      <c r="AV7838" s="7"/>
    </row>
    <row r="7839" spans="47:48" x14ac:dyDescent="0.25">
      <c r="AU7839" s="7"/>
      <c r="AV7839" s="7"/>
    </row>
    <row r="7840" spans="47:48" x14ac:dyDescent="0.25">
      <c r="AU7840" s="7"/>
      <c r="AV7840" s="7"/>
    </row>
    <row r="7841" spans="47:48" x14ac:dyDescent="0.25">
      <c r="AU7841" s="7"/>
      <c r="AV7841" s="7"/>
    </row>
    <row r="7842" spans="47:48" x14ac:dyDescent="0.25">
      <c r="AU7842" s="7"/>
      <c r="AV7842" s="7"/>
    </row>
    <row r="7843" spans="47:48" x14ac:dyDescent="0.25">
      <c r="AU7843" s="7"/>
      <c r="AV7843" s="7"/>
    </row>
    <row r="7844" spans="47:48" x14ac:dyDescent="0.25">
      <c r="AU7844" s="7"/>
      <c r="AV7844" s="7"/>
    </row>
    <row r="7845" spans="47:48" x14ac:dyDescent="0.25">
      <c r="AU7845" s="7"/>
      <c r="AV7845" s="7"/>
    </row>
    <row r="7846" spans="47:48" x14ac:dyDescent="0.25">
      <c r="AU7846" s="7"/>
      <c r="AV7846" s="7"/>
    </row>
    <row r="7847" spans="47:48" x14ac:dyDescent="0.25">
      <c r="AU7847" s="7"/>
      <c r="AV7847" s="7"/>
    </row>
    <row r="7848" spans="47:48" x14ac:dyDescent="0.25">
      <c r="AU7848" s="7"/>
      <c r="AV7848" s="7"/>
    </row>
    <row r="7849" spans="47:48" x14ac:dyDescent="0.25">
      <c r="AU7849" s="7"/>
      <c r="AV7849" s="7"/>
    </row>
    <row r="7850" spans="47:48" x14ac:dyDescent="0.25">
      <c r="AU7850" s="7"/>
      <c r="AV7850" s="7"/>
    </row>
    <row r="7851" spans="47:48" x14ac:dyDescent="0.25">
      <c r="AU7851" s="7"/>
      <c r="AV7851" s="7"/>
    </row>
    <row r="7852" spans="47:48" x14ac:dyDescent="0.25">
      <c r="AU7852" s="7"/>
      <c r="AV7852" s="7"/>
    </row>
    <row r="7853" spans="47:48" x14ac:dyDescent="0.25">
      <c r="AU7853" s="7"/>
      <c r="AV7853" s="7"/>
    </row>
    <row r="7854" spans="47:48" x14ac:dyDescent="0.25">
      <c r="AU7854" s="7"/>
      <c r="AV7854" s="7"/>
    </row>
    <row r="7855" spans="47:48" x14ac:dyDescent="0.25">
      <c r="AU7855" s="7"/>
      <c r="AV7855" s="7"/>
    </row>
    <row r="7856" spans="47:48" x14ac:dyDescent="0.25">
      <c r="AU7856" s="7"/>
      <c r="AV7856" s="7"/>
    </row>
    <row r="7857" spans="47:48" x14ac:dyDescent="0.25">
      <c r="AU7857" s="7"/>
      <c r="AV7857" s="7"/>
    </row>
    <row r="7858" spans="47:48" x14ac:dyDescent="0.25">
      <c r="AU7858" s="7"/>
      <c r="AV7858" s="7"/>
    </row>
    <row r="7859" spans="47:48" x14ac:dyDescent="0.25">
      <c r="AU7859" s="7"/>
      <c r="AV7859" s="7"/>
    </row>
    <row r="7860" spans="47:48" x14ac:dyDescent="0.25">
      <c r="AU7860" s="7"/>
      <c r="AV7860" s="7"/>
    </row>
    <row r="7861" spans="47:48" x14ac:dyDescent="0.25">
      <c r="AU7861" s="7"/>
      <c r="AV7861" s="7"/>
    </row>
    <row r="7862" spans="47:48" x14ac:dyDescent="0.25">
      <c r="AU7862" s="7"/>
      <c r="AV7862" s="7"/>
    </row>
    <row r="7863" spans="47:48" x14ac:dyDescent="0.25">
      <c r="AU7863" s="7"/>
      <c r="AV7863" s="7"/>
    </row>
    <row r="7864" spans="47:48" x14ac:dyDescent="0.25">
      <c r="AU7864" s="7"/>
      <c r="AV7864" s="7"/>
    </row>
    <row r="7865" spans="47:48" x14ac:dyDescent="0.25">
      <c r="AU7865" s="7"/>
      <c r="AV7865" s="7"/>
    </row>
    <row r="7866" spans="47:48" x14ac:dyDescent="0.25">
      <c r="AU7866" s="7"/>
      <c r="AV7866" s="7"/>
    </row>
    <row r="7867" spans="47:48" x14ac:dyDescent="0.25">
      <c r="AU7867" s="7"/>
      <c r="AV7867" s="7"/>
    </row>
    <row r="7868" spans="47:48" x14ac:dyDescent="0.25">
      <c r="AU7868" s="7"/>
      <c r="AV7868" s="7"/>
    </row>
    <row r="7869" spans="47:48" x14ac:dyDescent="0.25">
      <c r="AU7869" s="7"/>
      <c r="AV7869" s="7"/>
    </row>
    <row r="7870" spans="47:48" x14ac:dyDescent="0.25">
      <c r="AU7870" s="7"/>
      <c r="AV7870" s="7"/>
    </row>
    <row r="7871" spans="47:48" x14ac:dyDescent="0.25">
      <c r="AU7871" s="7"/>
      <c r="AV7871" s="7"/>
    </row>
    <row r="7872" spans="47:48" x14ac:dyDescent="0.25">
      <c r="AU7872" s="7"/>
      <c r="AV7872" s="7"/>
    </row>
    <row r="7873" spans="47:48" x14ac:dyDescent="0.25">
      <c r="AU7873" s="7"/>
      <c r="AV7873" s="7"/>
    </row>
    <row r="7874" spans="47:48" x14ac:dyDescent="0.25">
      <c r="AU7874" s="7"/>
      <c r="AV7874" s="7"/>
    </row>
    <row r="7875" spans="47:48" x14ac:dyDescent="0.25">
      <c r="AU7875" s="7"/>
      <c r="AV7875" s="7"/>
    </row>
    <row r="7876" spans="47:48" x14ac:dyDescent="0.25">
      <c r="AU7876" s="7"/>
      <c r="AV7876" s="7"/>
    </row>
    <row r="7877" spans="47:48" x14ac:dyDescent="0.25">
      <c r="AU7877" s="7"/>
      <c r="AV7877" s="7"/>
    </row>
    <row r="7878" spans="47:48" x14ac:dyDescent="0.25">
      <c r="AU7878" s="7"/>
      <c r="AV7878" s="7"/>
    </row>
    <row r="7879" spans="47:48" x14ac:dyDescent="0.25">
      <c r="AU7879" s="7"/>
      <c r="AV7879" s="7"/>
    </row>
    <row r="7880" spans="47:48" x14ac:dyDescent="0.25">
      <c r="AU7880" s="7"/>
      <c r="AV7880" s="7"/>
    </row>
    <row r="7881" spans="47:48" x14ac:dyDescent="0.25">
      <c r="AU7881" s="7"/>
      <c r="AV7881" s="7"/>
    </row>
    <row r="7882" spans="47:48" x14ac:dyDescent="0.25">
      <c r="AU7882" s="7"/>
      <c r="AV7882" s="7"/>
    </row>
    <row r="7883" spans="47:48" x14ac:dyDescent="0.25">
      <c r="AU7883" s="7"/>
      <c r="AV7883" s="7"/>
    </row>
    <row r="7884" spans="47:48" x14ac:dyDescent="0.25">
      <c r="AU7884" s="7"/>
      <c r="AV7884" s="7"/>
    </row>
    <row r="7885" spans="47:48" x14ac:dyDescent="0.25">
      <c r="AU7885" s="7"/>
      <c r="AV7885" s="7"/>
    </row>
    <row r="7886" spans="47:48" x14ac:dyDescent="0.25">
      <c r="AU7886" s="7"/>
      <c r="AV7886" s="7"/>
    </row>
    <row r="7887" spans="47:48" x14ac:dyDescent="0.25">
      <c r="AU7887" s="7"/>
      <c r="AV7887" s="7"/>
    </row>
    <row r="7888" spans="47:48" x14ac:dyDescent="0.25">
      <c r="AU7888" s="7"/>
      <c r="AV7888" s="7"/>
    </row>
    <row r="7889" spans="47:48" x14ac:dyDescent="0.25">
      <c r="AU7889" s="7"/>
      <c r="AV7889" s="7"/>
    </row>
    <row r="7890" spans="47:48" x14ac:dyDescent="0.25">
      <c r="AU7890" s="7"/>
      <c r="AV7890" s="7"/>
    </row>
    <row r="7891" spans="47:48" x14ac:dyDescent="0.25">
      <c r="AU7891" s="7"/>
      <c r="AV7891" s="7"/>
    </row>
    <row r="7892" spans="47:48" x14ac:dyDescent="0.25">
      <c r="AU7892" s="7"/>
      <c r="AV7892" s="7"/>
    </row>
    <row r="7893" spans="47:48" x14ac:dyDescent="0.25">
      <c r="AU7893" s="7"/>
      <c r="AV7893" s="7"/>
    </row>
    <row r="7894" spans="47:48" x14ac:dyDescent="0.25">
      <c r="AU7894" s="7"/>
      <c r="AV7894" s="7"/>
    </row>
    <row r="7895" spans="47:48" x14ac:dyDescent="0.25">
      <c r="AU7895" s="7"/>
      <c r="AV7895" s="7"/>
    </row>
    <row r="7896" spans="47:48" x14ac:dyDescent="0.25">
      <c r="AU7896" s="7"/>
      <c r="AV7896" s="7"/>
    </row>
    <row r="7897" spans="47:48" x14ac:dyDescent="0.25">
      <c r="AU7897" s="7"/>
      <c r="AV7897" s="7"/>
    </row>
    <row r="7898" spans="47:48" x14ac:dyDescent="0.25">
      <c r="AU7898" s="7"/>
      <c r="AV7898" s="7"/>
    </row>
    <row r="7899" spans="47:48" x14ac:dyDescent="0.25">
      <c r="AU7899" s="7"/>
      <c r="AV7899" s="7"/>
    </row>
    <row r="7900" spans="47:48" x14ac:dyDescent="0.25">
      <c r="AU7900" s="7"/>
      <c r="AV7900" s="7"/>
    </row>
    <row r="7901" spans="47:48" x14ac:dyDescent="0.25">
      <c r="AU7901" s="7"/>
      <c r="AV7901" s="7"/>
    </row>
    <row r="7902" spans="47:48" x14ac:dyDescent="0.25">
      <c r="AU7902" s="7"/>
      <c r="AV7902" s="7"/>
    </row>
    <row r="7903" spans="47:48" x14ac:dyDescent="0.25">
      <c r="AU7903" s="7"/>
      <c r="AV7903" s="7"/>
    </row>
    <row r="7904" spans="47:48" x14ac:dyDescent="0.25">
      <c r="AU7904" s="7"/>
      <c r="AV7904" s="7"/>
    </row>
    <row r="7905" spans="47:48" x14ac:dyDescent="0.25">
      <c r="AU7905" s="7"/>
      <c r="AV7905" s="7"/>
    </row>
    <row r="7906" spans="47:48" x14ac:dyDescent="0.25">
      <c r="AU7906" s="7"/>
      <c r="AV7906" s="7"/>
    </row>
    <row r="7907" spans="47:48" x14ac:dyDescent="0.25">
      <c r="AU7907" s="7"/>
      <c r="AV7907" s="7"/>
    </row>
    <row r="7908" spans="47:48" x14ac:dyDescent="0.25">
      <c r="AU7908" s="7"/>
      <c r="AV7908" s="7"/>
    </row>
    <row r="7909" spans="47:48" x14ac:dyDescent="0.25">
      <c r="AU7909" s="7"/>
      <c r="AV7909" s="7"/>
    </row>
    <row r="7910" spans="47:48" x14ac:dyDescent="0.25">
      <c r="AU7910" s="7"/>
      <c r="AV7910" s="7"/>
    </row>
    <row r="7911" spans="47:48" x14ac:dyDescent="0.25">
      <c r="AU7911" s="7"/>
      <c r="AV7911" s="7"/>
    </row>
    <row r="7912" spans="47:48" x14ac:dyDescent="0.25">
      <c r="AU7912" s="7"/>
      <c r="AV7912" s="7"/>
    </row>
    <row r="7913" spans="47:48" x14ac:dyDescent="0.25">
      <c r="AU7913" s="7"/>
      <c r="AV7913" s="7"/>
    </row>
    <row r="7914" spans="47:48" x14ac:dyDescent="0.25">
      <c r="AU7914" s="7"/>
      <c r="AV7914" s="7"/>
    </row>
    <row r="7915" spans="47:48" x14ac:dyDescent="0.25">
      <c r="AU7915" s="7"/>
      <c r="AV7915" s="7"/>
    </row>
    <row r="7916" spans="47:48" x14ac:dyDescent="0.25">
      <c r="AU7916" s="7"/>
      <c r="AV7916" s="7"/>
    </row>
    <row r="7917" spans="47:48" x14ac:dyDescent="0.25">
      <c r="AU7917" s="7"/>
      <c r="AV7917" s="7"/>
    </row>
    <row r="7918" spans="47:48" x14ac:dyDescent="0.25">
      <c r="AU7918" s="7"/>
      <c r="AV7918" s="7"/>
    </row>
    <row r="7919" spans="47:48" x14ac:dyDescent="0.25">
      <c r="AU7919" s="7"/>
      <c r="AV7919" s="7"/>
    </row>
    <row r="7920" spans="47:48" x14ac:dyDescent="0.25">
      <c r="AU7920" s="7"/>
      <c r="AV7920" s="7"/>
    </row>
    <row r="7921" spans="47:48" x14ac:dyDescent="0.25">
      <c r="AU7921" s="7"/>
      <c r="AV7921" s="7"/>
    </row>
    <row r="7922" spans="47:48" x14ac:dyDescent="0.25">
      <c r="AU7922" s="7"/>
      <c r="AV7922" s="7"/>
    </row>
    <row r="7923" spans="47:48" x14ac:dyDescent="0.25">
      <c r="AU7923" s="7"/>
      <c r="AV7923" s="7"/>
    </row>
    <row r="7924" spans="47:48" x14ac:dyDescent="0.25">
      <c r="AU7924" s="7"/>
      <c r="AV7924" s="7"/>
    </row>
    <row r="7925" spans="47:48" x14ac:dyDescent="0.25">
      <c r="AU7925" s="7"/>
      <c r="AV7925" s="7"/>
    </row>
    <row r="7926" spans="47:48" x14ac:dyDescent="0.25">
      <c r="AU7926" s="7"/>
      <c r="AV7926" s="7"/>
    </row>
    <row r="7927" spans="47:48" x14ac:dyDescent="0.25">
      <c r="AU7927" s="7"/>
      <c r="AV7927" s="7"/>
    </row>
    <row r="7928" spans="47:48" x14ac:dyDescent="0.25">
      <c r="AU7928" s="7"/>
      <c r="AV7928" s="7"/>
    </row>
    <row r="7929" spans="47:48" x14ac:dyDescent="0.25">
      <c r="AU7929" s="7"/>
      <c r="AV7929" s="7"/>
    </row>
    <row r="7930" spans="47:48" x14ac:dyDescent="0.25">
      <c r="AU7930" s="7"/>
      <c r="AV7930" s="7"/>
    </row>
    <row r="7931" spans="47:48" x14ac:dyDescent="0.25">
      <c r="AU7931" s="7"/>
      <c r="AV7931" s="7"/>
    </row>
    <row r="7932" spans="47:48" x14ac:dyDescent="0.25">
      <c r="AU7932" s="7"/>
      <c r="AV7932" s="7"/>
    </row>
    <row r="7933" spans="47:48" x14ac:dyDescent="0.25">
      <c r="AU7933" s="7"/>
      <c r="AV7933" s="7"/>
    </row>
    <row r="7934" spans="47:48" x14ac:dyDescent="0.25">
      <c r="AU7934" s="7"/>
      <c r="AV7934" s="7"/>
    </row>
    <row r="7935" spans="47:48" x14ac:dyDescent="0.25">
      <c r="AU7935" s="7"/>
      <c r="AV7935" s="7"/>
    </row>
    <row r="7936" spans="47:48" x14ac:dyDescent="0.25">
      <c r="AU7936" s="7"/>
      <c r="AV7936" s="7"/>
    </row>
    <row r="7937" spans="47:48" x14ac:dyDescent="0.25">
      <c r="AU7937" s="7"/>
      <c r="AV7937" s="7"/>
    </row>
    <row r="7938" spans="47:48" x14ac:dyDescent="0.25">
      <c r="AU7938" s="7"/>
      <c r="AV7938" s="7"/>
    </row>
    <row r="7939" spans="47:48" x14ac:dyDescent="0.25">
      <c r="AU7939" s="7"/>
      <c r="AV7939" s="7"/>
    </row>
    <row r="7940" spans="47:48" x14ac:dyDescent="0.25">
      <c r="AU7940" s="7"/>
      <c r="AV7940" s="7"/>
    </row>
    <row r="7941" spans="47:48" x14ac:dyDescent="0.25">
      <c r="AU7941" s="7"/>
      <c r="AV7941" s="7"/>
    </row>
    <row r="7942" spans="47:48" x14ac:dyDescent="0.25">
      <c r="AU7942" s="7"/>
      <c r="AV7942" s="7"/>
    </row>
    <row r="7943" spans="47:48" x14ac:dyDescent="0.25">
      <c r="AU7943" s="7"/>
      <c r="AV7943" s="7"/>
    </row>
    <row r="7944" spans="47:48" x14ac:dyDescent="0.25">
      <c r="AU7944" s="7"/>
      <c r="AV7944" s="7"/>
    </row>
    <row r="7945" spans="47:48" x14ac:dyDescent="0.25">
      <c r="AU7945" s="7"/>
      <c r="AV7945" s="7"/>
    </row>
    <row r="7946" spans="47:48" x14ac:dyDescent="0.25">
      <c r="AU7946" s="7"/>
      <c r="AV7946" s="7"/>
    </row>
    <row r="7947" spans="47:48" x14ac:dyDescent="0.25">
      <c r="AU7947" s="7"/>
      <c r="AV7947" s="7"/>
    </row>
    <row r="7948" spans="47:48" x14ac:dyDescent="0.25">
      <c r="AU7948" s="7"/>
      <c r="AV7948" s="7"/>
    </row>
    <row r="7949" spans="47:48" x14ac:dyDescent="0.25">
      <c r="AU7949" s="7"/>
      <c r="AV7949" s="7"/>
    </row>
    <row r="7950" spans="47:48" x14ac:dyDescent="0.25">
      <c r="AU7950" s="7"/>
      <c r="AV7950" s="7"/>
    </row>
    <row r="7951" spans="47:48" x14ac:dyDescent="0.25">
      <c r="AU7951" s="7"/>
      <c r="AV7951" s="7"/>
    </row>
    <row r="7952" spans="47:48" x14ac:dyDescent="0.25">
      <c r="AU7952" s="7"/>
      <c r="AV7952" s="7"/>
    </row>
    <row r="7953" spans="47:48" x14ac:dyDescent="0.25">
      <c r="AU7953" s="7"/>
      <c r="AV7953" s="7"/>
    </row>
    <row r="7954" spans="47:48" x14ac:dyDescent="0.25">
      <c r="AU7954" s="7"/>
      <c r="AV7954" s="7"/>
    </row>
    <row r="7955" spans="47:48" x14ac:dyDescent="0.25">
      <c r="AU7955" s="7"/>
      <c r="AV7955" s="7"/>
    </row>
    <row r="7956" spans="47:48" x14ac:dyDescent="0.25">
      <c r="AU7956" s="7"/>
      <c r="AV7956" s="7"/>
    </row>
    <row r="7957" spans="47:48" x14ac:dyDescent="0.25">
      <c r="AU7957" s="7"/>
      <c r="AV7957" s="7"/>
    </row>
    <row r="7958" spans="47:48" x14ac:dyDescent="0.25">
      <c r="AU7958" s="7"/>
      <c r="AV7958" s="7"/>
    </row>
    <row r="7959" spans="47:48" x14ac:dyDescent="0.25">
      <c r="AU7959" s="7"/>
      <c r="AV7959" s="7"/>
    </row>
    <row r="7960" spans="47:48" x14ac:dyDescent="0.25">
      <c r="AU7960" s="7"/>
      <c r="AV7960" s="7"/>
    </row>
    <row r="7961" spans="47:48" x14ac:dyDescent="0.25">
      <c r="AU7961" s="7"/>
      <c r="AV7961" s="7"/>
    </row>
    <row r="7962" spans="47:48" x14ac:dyDescent="0.25">
      <c r="AU7962" s="7"/>
      <c r="AV7962" s="7"/>
    </row>
    <row r="7963" spans="47:48" x14ac:dyDescent="0.25">
      <c r="AU7963" s="7"/>
      <c r="AV7963" s="7"/>
    </row>
    <row r="7964" spans="47:48" x14ac:dyDescent="0.25">
      <c r="AU7964" s="7"/>
      <c r="AV7964" s="7"/>
    </row>
    <row r="7965" spans="47:48" x14ac:dyDescent="0.25">
      <c r="AU7965" s="7"/>
      <c r="AV7965" s="7"/>
    </row>
    <row r="7966" spans="47:48" x14ac:dyDescent="0.25">
      <c r="AU7966" s="7"/>
      <c r="AV7966" s="7"/>
    </row>
    <row r="7967" spans="47:48" x14ac:dyDescent="0.25">
      <c r="AU7967" s="7"/>
      <c r="AV7967" s="7"/>
    </row>
    <row r="7968" spans="47:48" x14ac:dyDescent="0.25">
      <c r="AU7968" s="7"/>
      <c r="AV7968" s="7"/>
    </row>
    <row r="7969" spans="47:48" x14ac:dyDescent="0.25">
      <c r="AU7969" s="7"/>
      <c r="AV7969" s="7"/>
    </row>
    <row r="7970" spans="47:48" x14ac:dyDescent="0.25">
      <c r="AU7970" s="7"/>
      <c r="AV7970" s="7"/>
    </row>
    <row r="7971" spans="47:48" x14ac:dyDescent="0.25">
      <c r="AU7971" s="7"/>
      <c r="AV7971" s="7"/>
    </row>
    <row r="7972" spans="47:48" x14ac:dyDescent="0.25">
      <c r="AU7972" s="7"/>
      <c r="AV7972" s="7"/>
    </row>
    <row r="7973" spans="47:48" x14ac:dyDescent="0.25">
      <c r="AU7973" s="7"/>
      <c r="AV7973" s="7"/>
    </row>
    <row r="7974" spans="47:48" x14ac:dyDescent="0.25">
      <c r="AU7974" s="7"/>
      <c r="AV7974" s="7"/>
    </row>
    <row r="7975" spans="47:48" x14ac:dyDescent="0.25">
      <c r="AU7975" s="7"/>
      <c r="AV7975" s="7"/>
    </row>
    <row r="7976" spans="47:48" x14ac:dyDescent="0.25">
      <c r="AU7976" s="7"/>
      <c r="AV7976" s="7"/>
    </row>
    <row r="7977" spans="47:48" x14ac:dyDescent="0.25">
      <c r="AU7977" s="7"/>
      <c r="AV7977" s="7"/>
    </row>
    <row r="7978" spans="47:48" x14ac:dyDescent="0.25">
      <c r="AU7978" s="7"/>
      <c r="AV7978" s="7"/>
    </row>
    <row r="7979" spans="47:48" x14ac:dyDescent="0.25">
      <c r="AU7979" s="7"/>
      <c r="AV7979" s="7"/>
    </row>
    <row r="7980" spans="47:48" x14ac:dyDescent="0.25">
      <c r="AU7980" s="7"/>
      <c r="AV7980" s="7"/>
    </row>
    <row r="7981" spans="47:48" x14ac:dyDescent="0.25">
      <c r="AU7981" s="7"/>
      <c r="AV7981" s="7"/>
    </row>
    <row r="7982" spans="47:48" x14ac:dyDescent="0.25">
      <c r="AU7982" s="7"/>
      <c r="AV7982" s="7"/>
    </row>
    <row r="7983" spans="47:48" x14ac:dyDescent="0.25">
      <c r="AU7983" s="7"/>
      <c r="AV7983" s="7"/>
    </row>
    <row r="7984" spans="47:48" x14ac:dyDescent="0.25">
      <c r="AU7984" s="7"/>
      <c r="AV7984" s="7"/>
    </row>
    <row r="7985" spans="47:48" x14ac:dyDescent="0.25">
      <c r="AU7985" s="7"/>
      <c r="AV7985" s="7"/>
    </row>
    <row r="7986" spans="47:48" x14ac:dyDescent="0.25">
      <c r="AU7986" s="7"/>
      <c r="AV7986" s="7"/>
    </row>
    <row r="7987" spans="47:48" x14ac:dyDescent="0.25">
      <c r="AU7987" s="7"/>
      <c r="AV7987" s="7"/>
    </row>
    <row r="7988" spans="47:48" x14ac:dyDescent="0.25">
      <c r="AU7988" s="7"/>
      <c r="AV7988" s="7"/>
    </row>
    <row r="7989" spans="47:48" x14ac:dyDescent="0.25">
      <c r="AU7989" s="7"/>
      <c r="AV7989" s="7"/>
    </row>
    <row r="7990" spans="47:48" x14ac:dyDescent="0.25">
      <c r="AU7990" s="7"/>
      <c r="AV7990" s="7"/>
    </row>
    <row r="7991" spans="47:48" x14ac:dyDescent="0.25">
      <c r="AU7991" s="7"/>
      <c r="AV7991" s="7"/>
    </row>
    <row r="7992" spans="47:48" x14ac:dyDescent="0.25">
      <c r="AU7992" s="7"/>
      <c r="AV7992" s="7"/>
    </row>
    <row r="7993" spans="47:48" x14ac:dyDescent="0.25">
      <c r="AU7993" s="7"/>
      <c r="AV7993" s="7"/>
    </row>
    <row r="7994" spans="47:48" x14ac:dyDescent="0.25">
      <c r="AU7994" s="7"/>
      <c r="AV7994" s="7"/>
    </row>
    <row r="7995" spans="47:48" x14ac:dyDescent="0.25">
      <c r="AU7995" s="7"/>
      <c r="AV7995" s="7"/>
    </row>
    <row r="7996" spans="47:48" x14ac:dyDescent="0.25">
      <c r="AU7996" s="7"/>
      <c r="AV7996" s="7"/>
    </row>
    <row r="7997" spans="47:48" x14ac:dyDescent="0.25">
      <c r="AU7997" s="7"/>
      <c r="AV7997" s="7"/>
    </row>
    <row r="7998" spans="47:48" x14ac:dyDescent="0.25">
      <c r="AU7998" s="7"/>
      <c r="AV7998" s="7"/>
    </row>
    <row r="7999" spans="47:48" x14ac:dyDescent="0.25">
      <c r="AU7999" s="7"/>
      <c r="AV7999" s="7"/>
    </row>
    <row r="8000" spans="47:48" x14ac:dyDescent="0.25">
      <c r="AU8000" s="7"/>
      <c r="AV8000" s="7"/>
    </row>
    <row r="8001" spans="47:48" x14ac:dyDescent="0.25">
      <c r="AU8001" s="7"/>
      <c r="AV8001" s="7"/>
    </row>
    <row r="8002" spans="47:48" x14ac:dyDescent="0.25">
      <c r="AU8002" s="7"/>
      <c r="AV8002" s="7"/>
    </row>
    <row r="8003" spans="47:48" x14ac:dyDescent="0.25">
      <c r="AU8003" s="7"/>
      <c r="AV8003" s="7"/>
    </row>
    <row r="8004" spans="47:48" x14ac:dyDescent="0.25">
      <c r="AU8004" s="7"/>
      <c r="AV8004" s="7"/>
    </row>
    <row r="8005" spans="47:48" x14ac:dyDescent="0.25">
      <c r="AU8005" s="7"/>
      <c r="AV8005" s="7"/>
    </row>
    <row r="8006" spans="47:48" x14ac:dyDescent="0.25">
      <c r="AU8006" s="7"/>
      <c r="AV8006" s="7"/>
    </row>
    <row r="8007" spans="47:48" x14ac:dyDescent="0.25">
      <c r="AU8007" s="7"/>
      <c r="AV8007" s="7"/>
    </row>
    <row r="8008" spans="47:48" x14ac:dyDescent="0.25">
      <c r="AU8008" s="7"/>
      <c r="AV8008" s="7"/>
    </row>
    <row r="8009" spans="47:48" x14ac:dyDescent="0.25">
      <c r="AU8009" s="7"/>
      <c r="AV8009" s="7"/>
    </row>
    <row r="8010" spans="47:48" x14ac:dyDescent="0.25">
      <c r="AU8010" s="7"/>
      <c r="AV8010" s="7"/>
    </row>
    <row r="8011" spans="47:48" x14ac:dyDescent="0.25">
      <c r="AU8011" s="7"/>
      <c r="AV8011" s="7"/>
    </row>
    <row r="8012" spans="47:48" x14ac:dyDescent="0.25">
      <c r="AU8012" s="7"/>
      <c r="AV8012" s="7"/>
    </row>
    <row r="8013" spans="47:48" x14ac:dyDescent="0.25">
      <c r="AU8013" s="7"/>
      <c r="AV8013" s="7"/>
    </row>
    <row r="8014" spans="47:48" x14ac:dyDescent="0.25">
      <c r="AU8014" s="7"/>
      <c r="AV8014" s="7"/>
    </row>
    <row r="8015" spans="47:48" x14ac:dyDescent="0.25">
      <c r="AU8015" s="7"/>
      <c r="AV8015" s="7"/>
    </row>
    <row r="8016" spans="47:48" x14ac:dyDescent="0.25">
      <c r="AU8016" s="7"/>
      <c r="AV8016" s="7"/>
    </row>
    <row r="8017" spans="47:48" x14ac:dyDescent="0.25">
      <c r="AU8017" s="7"/>
      <c r="AV8017" s="7"/>
    </row>
    <row r="8018" spans="47:48" x14ac:dyDescent="0.25">
      <c r="AU8018" s="7"/>
      <c r="AV8018" s="7"/>
    </row>
    <row r="8019" spans="47:48" x14ac:dyDescent="0.25">
      <c r="AU8019" s="7"/>
      <c r="AV8019" s="7"/>
    </row>
    <row r="8020" spans="47:48" x14ac:dyDescent="0.25">
      <c r="AU8020" s="7"/>
      <c r="AV8020" s="7"/>
    </row>
    <row r="8021" spans="47:48" x14ac:dyDescent="0.25">
      <c r="AU8021" s="7"/>
      <c r="AV8021" s="7"/>
    </row>
    <row r="8022" spans="47:48" x14ac:dyDescent="0.25">
      <c r="AU8022" s="7"/>
      <c r="AV8022" s="7"/>
    </row>
    <row r="8023" spans="47:48" x14ac:dyDescent="0.25">
      <c r="AU8023" s="7"/>
      <c r="AV8023" s="7"/>
    </row>
    <row r="8024" spans="47:48" x14ac:dyDescent="0.25">
      <c r="AU8024" s="7"/>
      <c r="AV8024" s="7"/>
    </row>
    <row r="8025" spans="47:48" x14ac:dyDescent="0.25">
      <c r="AU8025" s="7"/>
      <c r="AV8025" s="7"/>
    </row>
    <row r="8026" spans="47:48" x14ac:dyDescent="0.25">
      <c r="AU8026" s="7"/>
      <c r="AV8026" s="7"/>
    </row>
    <row r="8027" spans="47:48" x14ac:dyDescent="0.25">
      <c r="AU8027" s="7"/>
      <c r="AV8027" s="7"/>
    </row>
    <row r="8028" spans="47:48" x14ac:dyDescent="0.25">
      <c r="AU8028" s="7"/>
      <c r="AV8028" s="7"/>
    </row>
    <row r="8029" spans="47:48" x14ac:dyDescent="0.25">
      <c r="AU8029" s="7"/>
      <c r="AV8029" s="7"/>
    </row>
    <row r="8030" spans="47:48" x14ac:dyDescent="0.25">
      <c r="AU8030" s="7"/>
      <c r="AV8030" s="7"/>
    </row>
    <row r="8031" spans="47:48" x14ac:dyDescent="0.25">
      <c r="AU8031" s="7"/>
      <c r="AV8031" s="7"/>
    </row>
    <row r="8032" spans="47:48" x14ac:dyDescent="0.25">
      <c r="AU8032" s="7"/>
      <c r="AV8032" s="7"/>
    </row>
    <row r="8033" spans="47:48" x14ac:dyDescent="0.25">
      <c r="AU8033" s="7"/>
      <c r="AV8033" s="7"/>
    </row>
    <row r="8034" spans="47:48" x14ac:dyDescent="0.25">
      <c r="AU8034" s="7"/>
      <c r="AV8034" s="7"/>
    </row>
    <row r="8035" spans="47:48" x14ac:dyDescent="0.25">
      <c r="AU8035" s="7"/>
      <c r="AV8035" s="7"/>
    </row>
    <row r="8036" spans="47:48" x14ac:dyDescent="0.25">
      <c r="AU8036" s="7"/>
      <c r="AV8036" s="7"/>
    </row>
    <row r="8037" spans="47:48" x14ac:dyDescent="0.25">
      <c r="AU8037" s="7"/>
      <c r="AV8037" s="7"/>
    </row>
    <row r="8038" spans="47:48" x14ac:dyDescent="0.25">
      <c r="AU8038" s="7"/>
      <c r="AV8038" s="7"/>
    </row>
    <row r="8039" spans="47:48" x14ac:dyDescent="0.25">
      <c r="AU8039" s="7"/>
      <c r="AV8039" s="7"/>
    </row>
    <row r="8040" spans="47:48" x14ac:dyDescent="0.25">
      <c r="AU8040" s="7"/>
      <c r="AV8040" s="7"/>
    </row>
    <row r="8041" spans="47:48" x14ac:dyDescent="0.25">
      <c r="AU8041" s="7"/>
      <c r="AV8041" s="7"/>
    </row>
    <row r="8042" spans="47:48" x14ac:dyDescent="0.25">
      <c r="AU8042" s="7"/>
      <c r="AV8042" s="7"/>
    </row>
    <row r="8043" spans="47:48" x14ac:dyDescent="0.25">
      <c r="AU8043" s="7"/>
      <c r="AV8043" s="7"/>
    </row>
    <row r="8044" spans="47:48" x14ac:dyDescent="0.25">
      <c r="AU8044" s="7"/>
      <c r="AV8044" s="7"/>
    </row>
    <row r="8045" spans="47:48" x14ac:dyDescent="0.25">
      <c r="AU8045" s="7"/>
      <c r="AV8045" s="7"/>
    </row>
    <row r="8046" spans="47:48" x14ac:dyDescent="0.25">
      <c r="AU8046" s="7"/>
      <c r="AV8046" s="7"/>
    </row>
    <row r="8047" spans="47:48" x14ac:dyDescent="0.25">
      <c r="AU8047" s="7"/>
      <c r="AV8047" s="7"/>
    </row>
    <row r="8048" spans="47:48" x14ac:dyDescent="0.25">
      <c r="AU8048" s="7"/>
      <c r="AV8048" s="7"/>
    </row>
    <row r="8049" spans="47:48" x14ac:dyDescent="0.25">
      <c r="AU8049" s="7"/>
      <c r="AV8049" s="7"/>
    </row>
    <row r="8050" spans="47:48" x14ac:dyDescent="0.25">
      <c r="AU8050" s="7"/>
      <c r="AV8050" s="7"/>
    </row>
    <row r="8051" spans="47:48" x14ac:dyDescent="0.25">
      <c r="AU8051" s="7"/>
      <c r="AV8051" s="7"/>
    </row>
    <row r="8052" spans="47:48" x14ac:dyDescent="0.25">
      <c r="AU8052" s="7"/>
      <c r="AV8052" s="7"/>
    </row>
    <row r="8053" spans="47:48" x14ac:dyDescent="0.25">
      <c r="AU8053" s="7"/>
      <c r="AV8053" s="7"/>
    </row>
    <row r="8054" spans="47:48" x14ac:dyDescent="0.25">
      <c r="AU8054" s="7"/>
      <c r="AV8054" s="7"/>
    </row>
    <row r="8055" spans="47:48" x14ac:dyDescent="0.25">
      <c r="AU8055" s="7"/>
      <c r="AV8055" s="7"/>
    </row>
    <row r="8056" spans="47:48" x14ac:dyDescent="0.25">
      <c r="AU8056" s="7"/>
      <c r="AV8056" s="7"/>
    </row>
    <row r="8057" spans="47:48" x14ac:dyDescent="0.25">
      <c r="AU8057" s="7"/>
      <c r="AV8057" s="7"/>
    </row>
    <row r="8058" spans="47:48" x14ac:dyDescent="0.25">
      <c r="AU8058" s="7"/>
      <c r="AV8058" s="7"/>
    </row>
    <row r="8059" spans="47:48" x14ac:dyDescent="0.25">
      <c r="AU8059" s="7"/>
      <c r="AV8059" s="7"/>
    </row>
    <row r="8060" spans="47:48" x14ac:dyDescent="0.25">
      <c r="AU8060" s="7"/>
      <c r="AV8060" s="7"/>
    </row>
    <row r="8061" spans="47:48" x14ac:dyDescent="0.25">
      <c r="AU8061" s="7"/>
      <c r="AV8061" s="7"/>
    </row>
    <row r="8062" spans="47:48" x14ac:dyDescent="0.25">
      <c r="AU8062" s="7"/>
      <c r="AV8062" s="7"/>
    </row>
    <row r="8063" spans="47:48" x14ac:dyDescent="0.25">
      <c r="AU8063" s="7"/>
      <c r="AV8063" s="7"/>
    </row>
    <row r="8064" spans="47:48" x14ac:dyDescent="0.25">
      <c r="AU8064" s="7"/>
      <c r="AV8064" s="7"/>
    </row>
    <row r="8065" spans="47:48" x14ac:dyDescent="0.25">
      <c r="AU8065" s="7"/>
      <c r="AV8065" s="7"/>
    </row>
    <row r="8066" spans="47:48" x14ac:dyDescent="0.25">
      <c r="AU8066" s="7"/>
      <c r="AV8066" s="7"/>
    </row>
    <row r="8067" spans="47:48" x14ac:dyDescent="0.25">
      <c r="AU8067" s="7"/>
      <c r="AV8067" s="7"/>
    </row>
    <row r="8068" spans="47:48" x14ac:dyDescent="0.25">
      <c r="AU8068" s="7"/>
      <c r="AV8068" s="7"/>
    </row>
    <row r="8069" spans="47:48" x14ac:dyDescent="0.25">
      <c r="AU8069" s="7"/>
      <c r="AV8069" s="7"/>
    </row>
    <row r="8070" spans="47:48" x14ac:dyDescent="0.25">
      <c r="AU8070" s="7"/>
      <c r="AV8070" s="7"/>
    </row>
    <row r="8071" spans="47:48" x14ac:dyDescent="0.25">
      <c r="AU8071" s="7"/>
      <c r="AV8071" s="7"/>
    </row>
    <row r="8072" spans="47:48" x14ac:dyDescent="0.25">
      <c r="AU8072" s="7"/>
      <c r="AV8072" s="7"/>
    </row>
    <row r="8073" spans="47:48" x14ac:dyDescent="0.25">
      <c r="AU8073" s="7"/>
      <c r="AV8073" s="7"/>
    </row>
    <row r="8074" spans="47:48" x14ac:dyDescent="0.25">
      <c r="AU8074" s="7"/>
      <c r="AV8074" s="7"/>
    </row>
    <row r="8075" spans="47:48" x14ac:dyDescent="0.25">
      <c r="AU8075" s="7"/>
      <c r="AV8075" s="7"/>
    </row>
    <row r="8076" spans="47:48" x14ac:dyDescent="0.25">
      <c r="AU8076" s="7"/>
      <c r="AV8076" s="7"/>
    </row>
    <row r="8077" spans="47:48" x14ac:dyDescent="0.25">
      <c r="AU8077" s="7"/>
      <c r="AV8077" s="7"/>
    </row>
    <row r="8078" spans="47:48" x14ac:dyDescent="0.25">
      <c r="AU8078" s="7"/>
      <c r="AV8078" s="7"/>
    </row>
    <row r="8079" spans="47:48" x14ac:dyDescent="0.25">
      <c r="AU8079" s="7"/>
      <c r="AV8079" s="7"/>
    </row>
    <row r="8080" spans="47:48" x14ac:dyDescent="0.25">
      <c r="AU8080" s="7"/>
      <c r="AV8080" s="7"/>
    </row>
    <row r="8081" spans="47:48" x14ac:dyDescent="0.25">
      <c r="AU8081" s="7"/>
      <c r="AV8081" s="7"/>
    </row>
    <row r="8082" spans="47:48" x14ac:dyDescent="0.25">
      <c r="AU8082" s="7"/>
      <c r="AV8082" s="7"/>
    </row>
    <row r="8083" spans="47:48" x14ac:dyDescent="0.25">
      <c r="AU8083" s="7"/>
      <c r="AV8083" s="7"/>
    </row>
    <row r="8084" spans="47:48" x14ac:dyDescent="0.25">
      <c r="AU8084" s="7"/>
      <c r="AV8084" s="7"/>
    </row>
    <row r="8085" spans="47:48" x14ac:dyDescent="0.25">
      <c r="AU8085" s="7"/>
      <c r="AV8085" s="7"/>
    </row>
    <row r="8086" spans="47:48" x14ac:dyDescent="0.25">
      <c r="AU8086" s="7"/>
      <c r="AV8086" s="7"/>
    </row>
    <row r="8087" spans="47:48" x14ac:dyDescent="0.25">
      <c r="AU8087" s="7"/>
      <c r="AV8087" s="7"/>
    </row>
    <row r="8088" spans="47:48" x14ac:dyDescent="0.25">
      <c r="AU8088" s="7"/>
      <c r="AV8088" s="7"/>
    </row>
    <row r="8089" spans="47:48" x14ac:dyDescent="0.25">
      <c r="AU8089" s="7"/>
      <c r="AV8089" s="7"/>
    </row>
    <row r="8090" spans="47:48" x14ac:dyDescent="0.25">
      <c r="AU8090" s="7"/>
      <c r="AV8090" s="7"/>
    </row>
    <row r="8091" spans="47:48" x14ac:dyDescent="0.25">
      <c r="AU8091" s="7"/>
      <c r="AV8091" s="7"/>
    </row>
    <row r="8092" spans="47:48" x14ac:dyDescent="0.25">
      <c r="AU8092" s="7"/>
      <c r="AV8092" s="7"/>
    </row>
    <row r="8093" spans="47:48" x14ac:dyDescent="0.25">
      <c r="AU8093" s="7"/>
      <c r="AV8093" s="7"/>
    </row>
    <row r="8094" spans="47:48" x14ac:dyDescent="0.25">
      <c r="AU8094" s="7"/>
      <c r="AV8094" s="7"/>
    </row>
    <row r="8095" spans="47:48" x14ac:dyDescent="0.25">
      <c r="AU8095" s="7"/>
      <c r="AV8095" s="7"/>
    </row>
    <row r="8096" spans="47:48" x14ac:dyDescent="0.25">
      <c r="AU8096" s="7"/>
      <c r="AV8096" s="7"/>
    </row>
    <row r="8097" spans="47:48" x14ac:dyDescent="0.25">
      <c r="AU8097" s="7"/>
      <c r="AV8097" s="7"/>
    </row>
    <row r="8098" spans="47:48" x14ac:dyDescent="0.25">
      <c r="AU8098" s="7"/>
      <c r="AV8098" s="7"/>
    </row>
    <row r="8099" spans="47:48" x14ac:dyDescent="0.25">
      <c r="AU8099" s="7"/>
      <c r="AV8099" s="7"/>
    </row>
    <row r="8100" spans="47:48" x14ac:dyDescent="0.25">
      <c r="AU8100" s="7"/>
      <c r="AV8100" s="7"/>
    </row>
    <row r="8101" spans="47:48" x14ac:dyDescent="0.25">
      <c r="AU8101" s="7"/>
      <c r="AV8101" s="7"/>
    </row>
    <row r="8102" spans="47:48" x14ac:dyDescent="0.25">
      <c r="AU8102" s="7"/>
      <c r="AV8102" s="7"/>
    </row>
    <row r="8103" spans="47:48" x14ac:dyDescent="0.25">
      <c r="AU8103" s="7"/>
      <c r="AV8103" s="7"/>
    </row>
    <row r="8104" spans="47:48" x14ac:dyDescent="0.25">
      <c r="AU8104" s="7"/>
      <c r="AV8104" s="7"/>
    </row>
    <row r="8105" spans="47:48" x14ac:dyDescent="0.25">
      <c r="AU8105" s="7"/>
      <c r="AV8105" s="7"/>
    </row>
    <row r="8106" spans="47:48" x14ac:dyDescent="0.25">
      <c r="AU8106" s="7"/>
      <c r="AV8106" s="7"/>
    </row>
    <row r="8107" spans="47:48" x14ac:dyDescent="0.25">
      <c r="AU8107" s="7"/>
      <c r="AV8107" s="7"/>
    </row>
    <row r="8108" spans="47:48" x14ac:dyDescent="0.25">
      <c r="AU8108" s="7"/>
      <c r="AV8108" s="7"/>
    </row>
    <row r="8109" spans="47:48" x14ac:dyDescent="0.25">
      <c r="AU8109" s="7"/>
      <c r="AV8109" s="7"/>
    </row>
    <row r="8110" spans="47:48" x14ac:dyDescent="0.25">
      <c r="AU8110" s="7"/>
      <c r="AV8110" s="7"/>
    </row>
    <row r="8111" spans="47:48" x14ac:dyDescent="0.25">
      <c r="AU8111" s="7"/>
      <c r="AV8111" s="7"/>
    </row>
    <row r="8112" spans="47:48" x14ac:dyDescent="0.25">
      <c r="AU8112" s="7"/>
      <c r="AV8112" s="7"/>
    </row>
    <row r="8113" spans="47:48" x14ac:dyDescent="0.25">
      <c r="AU8113" s="7"/>
      <c r="AV8113" s="7"/>
    </row>
    <row r="8114" spans="47:48" x14ac:dyDescent="0.25">
      <c r="AU8114" s="7"/>
      <c r="AV8114" s="7"/>
    </row>
    <row r="8115" spans="47:48" x14ac:dyDescent="0.25">
      <c r="AU8115" s="7"/>
      <c r="AV8115" s="7"/>
    </row>
    <row r="8116" spans="47:48" x14ac:dyDescent="0.25">
      <c r="AU8116" s="7"/>
      <c r="AV8116" s="7"/>
    </row>
    <row r="8117" spans="47:48" x14ac:dyDescent="0.25">
      <c r="AU8117" s="7"/>
      <c r="AV8117" s="7"/>
    </row>
    <row r="8118" spans="47:48" x14ac:dyDescent="0.25">
      <c r="AU8118" s="7"/>
      <c r="AV8118" s="7"/>
    </row>
    <row r="8119" spans="47:48" x14ac:dyDescent="0.25">
      <c r="AU8119" s="7"/>
      <c r="AV8119" s="7"/>
    </row>
    <row r="8120" spans="47:48" x14ac:dyDescent="0.25">
      <c r="AU8120" s="7"/>
      <c r="AV8120" s="7"/>
    </row>
    <row r="8121" spans="47:48" x14ac:dyDescent="0.25">
      <c r="AU8121" s="7"/>
      <c r="AV8121" s="7"/>
    </row>
    <row r="8122" spans="47:48" x14ac:dyDescent="0.25">
      <c r="AU8122" s="7"/>
      <c r="AV8122" s="7"/>
    </row>
    <row r="8123" spans="47:48" x14ac:dyDescent="0.25">
      <c r="AU8123" s="7"/>
      <c r="AV8123" s="7"/>
    </row>
    <row r="8124" spans="47:48" x14ac:dyDescent="0.25">
      <c r="AU8124" s="7"/>
      <c r="AV8124" s="7"/>
    </row>
    <row r="8125" spans="47:48" x14ac:dyDescent="0.25">
      <c r="AU8125" s="7"/>
      <c r="AV8125" s="7"/>
    </row>
    <row r="8126" spans="47:48" x14ac:dyDescent="0.25">
      <c r="AU8126" s="7"/>
      <c r="AV8126" s="7"/>
    </row>
    <row r="8127" spans="47:48" x14ac:dyDescent="0.25">
      <c r="AU8127" s="7"/>
      <c r="AV8127" s="7"/>
    </row>
    <row r="8128" spans="47:48" x14ac:dyDescent="0.25">
      <c r="AU8128" s="7"/>
      <c r="AV8128" s="7"/>
    </row>
    <row r="8129" spans="47:48" x14ac:dyDescent="0.25">
      <c r="AU8129" s="7"/>
      <c r="AV8129" s="7"/>
    </row>
    <row r="8130" spans="47:48" x14ac:dyDescent="0.25">
      <c r="AU8130" s="7"/>
      <c r="AV8130" s="7"/>
    </row>
    <row r="8131" spans="47:48" x14ac:dyDescent="0.25">
      <c r="AU8131" s="7"/>
      <c r="AV8131" s="7"/>
    </row>
    <row r="8132" spans="47:48" x14ac:dyDescent="0.25">
      <c r="AU8132" s="7"/>
      <c r="AV8132" s="7"/>
    </row>
    <row r="8133" spans="47:48" x14ac:dyDescent="0.25">
      <c r="AU8133" s="7"/>
      <c r="AV8133" s="7"/>
    </row>
    <row r="8134" spans="47:48" x14ac:dyDescent="0.25">
      <c r="AU8134" s="7"/>
      <c r="AV8134" s="7"/>
    </row>
    <row r="8135" spans="47:48" x14ac:dyDescent="0.25">
      <c r="AU8135" s="7"/>
      <c r="AV8135" s="7"/>
    </row>
    <row r="8136" spans="47:48" x14ac:dyDescent="0.25">
      <c r="AU8136" s="7"/>
      <c r="AV8136" s="7"/>
    </row>
    <row r="8137" spans="47:48" x14ac:dyDescent="0.25">
      <c r="AU8137" s="7"/>
      <c r="AV8137" s="7"/>
    </row>
    <row r="8138" spans="47:48" x14ac:dyDescent="0.25">
      <c r="AU8138" s="7"/>
      <c r="AV8138" s="7"/>
    </row>
    <row r="8139" spans="47:48" x14ac:dyDescent="0.25">
      <c r="AU8139" s="7"/>
      <c r="AV8139" s="7"/>
    </row>
    <row r="8140" spans="47:48" x14ac:dyDescent="0.25">
      <c r="AU8140" s="7"/>
      <c r="AV8140" s="7"/>
    </row>
    <row r="8141" spans="47:48" x14ac:dyDescent="0.25">
      <c r="AU8141" s="7"/>
      <c r="AV8141" s="7"/>
    </row>
    <row r="8142" spans="47:48" x14ac:dyDescent="0.25">
      <c r="AU8142" s="7"/>
      <c r="AV8142" s="7"/>
    </row>
    <row r="8143" spans="47:48" x14ac:dyDescent="0.25">
      <c r="AU8143" s="7"/>
      <c r="AV8143" s="7"/>
    </row>
    <row r="8144" spans="47:48" x14ac:dyDescent="0.25">
      <c r="AU8144" s="7"/>
      <c r="AV8144" s="7"/>
    </row>
    <row r="8145" spans="47:48" x14ac:dyDescent="0.25">
      <c r="AU8145" s="7"/>
      <c r="AV8145" s="7"/>
    </row>
    <row r="8146" spans="47:48" x14ac:dyDescent="0.25">
      <c r="AU8146" s="7"/>
      <c r="AV8146" s="7"/>
    </row>
    <row r="8147" spans="47:48" x14ac:dyDescent="0.25">
      <c r="AU8147" s="7"/>
      <c r="AV8147" s="7"/>
    </row>
    <row r="8148" spans="47:48" x14ac:dyDescent="0.25">
      <c r="AU8148" s="7"/>
      <c r="AV8148" s="7"/>
    </row>
    <row r="8149" spans="47:48" x14ac:dyDescent="0.25">
      <c r="AU8149" s="7"/>
      <c r="AV8149" s="7"/>
    </row>
    <row r="8150" spans="47:48" x14ac:dyDescent="0.25">
      <c r="AU8150" s="7"/>
      <c r="AV8150" s="7"/>
    </row>
    <row r="8151" spans="47:48" x14ac:dyDescent="0.25">
      <c r="AU8151" s="7"/>
      <c r="AV8151" s="7"/>
    </row>
    <row r="8152" spans="47:48" x14ac:dyDescent="0.25">
      <c r="AU8152" s="7"/>
      <c r="AV8152" s="7"/>
    </row>
    <row r="8153" spans="47:48" x14ac:dyDescent="0.25">
      <c r="AU8153" s="7"/>
      <c r="AV8153" s="7"/>
    </row>
    <row r="8154" spans="47:48" x14ac:dyDescent="0.25">
      <c r="AU8154" s="7"/>
      <c r="AV8154" s="7"/>
    </row>
    <row r="8155" spans="47:48" x14ac:dyDescent="0.25">
      <c r="AU8155" s="7"/>
      <c r="AV8155" s="7"/>
    </row>
    <row r="8156" spans="47:48" x14ac:dyDescent="0.25">
      <c r="AU8156" s="7"/>
      <c r="AV8156" s="7"/>
    </row>
    <row r="8157" spans="47:48" x14ac:dyDescent="0.25">
      <c r="AU8157" s="7"/>
      <c r="AV8157" s="7"/>
    </row>
    <row r="8158" spans="47:48" x14ac:dyDescent="0.25">
      <c r="AU8158" s="7"/>
      <c r="AV8158" s="7"/>
    </row>
    <row r="8159" spans="47:48" x14ac:dyDescent="0.25">
      <c r="AU8159" s="7"/>
      <c r="AV8159" s="7"/>
    </row>
    <row r="8160" spans="47:48" x14ac:dyDescent="0.25">
      <c r="AU8160" s="7"/>
      <c r="AV8160" s="7"/>
    </row>
    <row r="8161" spans="47:48" x14ac:dyDescent="0.25">
      <c r="AU8161" s="7"/>
      <c r="AV8161" s="7"/>
    </row>
    <row r="8162" spans="47:48" x14ac:dyDescent="0.25">
      <c r="AU8162" s="7"/>
      <c r="AV8162" s="7"/>
    </row>
    <row r="8163" spans="47:48" x14ac:dyDescent="0.25">
      <c r="AU8163" s="7"/>
      <c r="AV8163" s="7"/>
    </row>
    <row r="8164" spans="47:48" x14ac:dyDescent="0.25">
      <c r="AU8164" s="7"/>
      <c r="AV8164" s="7"/>
    </row>
    <row r="8165" spans="47:48" x14ac:dyDescent="0.25">
      <c r="AU8165" s="7"/>
      <c r="AV8165" s="7"/>
    </row>
    <row r="8166" spans="47:48" x14ac:dyDescent="0.25">
      <c r="AU8166" s="7"/>
      <c r="AV8166" s="7"/>
    </row>
    <row r="8167" spans="47:48" x14ac:dyDescent="0.25">
      <c r="AU8167" s="7"/>
      <c r="AV8167" s="7"/>
    </row>
    <row r="8168" spans="47:48" x14ac:dyDescent="0.25">
      <c r="AU8168" s="7"/>
      <c r="AV8168" s="7"/>
    </row>
    <row r="8169" spans="47:48" x14ac:dyDescent="0.25">
      <c r="AU8169" s="7"/>
      <c r="AV8169" s="7"/>
    </row>
    <row r="8170" spans="47:48" x14ac:dyDescent="0.25">
      <c r="AU8170" s="7"/>
      <c r="AV8170" s="7"/>
    </row>
    <row r="8171" spans="47:48" x14ac:dyDescent="0.25">
      <c r="AU8171" s="7"/>
      <c r="AV8171" s="7"/>
    </row>
    <row r="8172" spans="47:48" x14ac:dyDescent="0.25">
      <c r="AU8172" s="7"/>
      <c r="AV8172" s="7"/>
    </row>
    <row r="8173" spans="47:48" x14ac:dyDescent="0.25">
      <c r="AU8173" s="7"/>
      <c r="AV8173" s="7"/>
    </row>
    <row r="8174" spans="47:48" x14ac:dyDescent="0.25">
      <c r="AU8174" s="7"/>
      <c r="AV8174" s="7"/>
    </row>
    <row r="8175" spans="47:48" x14ac:dyDescent="0.25">
      <c r="AU8175" s="7"/>
      <c r="AV8175" s="7"/>
    </row>
    <row r="8176" spans="47:48" x14ac:dyDescent="0.25">
      <c r="AU8176" s="7"/>
      <c r="AV8176" s="7"/>
    </row>
    <row r="8177" spans="47:48" x14ac:dyDescent="0.25">
      <c r="AU8177" s="7"/>
      <c r="AV8177" s="7"/>
    </row>
    <row r="8178" spans="47:48" x14ac:dyDescent="0.25">
      <c r="AU8178" s="7"/>
      <c r="AV8178" s="7"/>
    </row>
    <row r="8179" spans="47:48" x14ac:dyDescent="0.25">
      <c r="AU8179" s="7"/>
      <c r="AV8179" s="7"/>
    </row>
    <row r="8180" spans="47:48" x14ac:dyDescent="0.25">
      <c r="AU8180" s="7"/>
      <c r="AV8180" s="7"/>
    </row>
    <row r="8181" spans="47:48" x14ac:dyDescent="0.25">
      <c r="AU8181" s="7"/>
      <c r="AV8181" s="7"/>
    </row>
    <row r="8182" spans="47:48" x14ac:dyDescent="0.25">
      <c r="AU8182" s="7"/>
      <c r="AV8182" s="7"/>
    </row>
    <row r="8183" spans="47:48" x14ac:dyDescent="0.25">
      <c r="AU8183" s="7"/>
      <c r="AV8183" s="7"/>
    </row>
    <row r="8184" spans="47:48" x14ac:dyDescent="0.25">
      <c r="AU8184" s="7"/>
      <c r="AV8184" s="7"/>
    </row>
    <row r="8185" spans="47:48" x14ac:dyDescent="0.25">
      <c r="AU8185" s="7"/>
      <c r="AV8185" s="7"/>
    </row>
    <row r="8186" spans="47:48" x14ac:dyDescent="0.25">
      <c r="AU8186" s="7"/>
      <c r="AV8186" s="7"/>
    </row>
    <row r="8187" spans="47:48" x14ac:dyDescent="0.25">
      <c r="AU8187" s="7"/>
      <c r="AV8187" s="7"/>
    </row>
    <row r="8188" spans="47:48" x14ac:dyDescent="0.25">
      <c r="AU8188" s="7"/>
      <c r="AV8188" s="7"/>
    </row>
    <row r="8189" spans="47:48" x14ac:dyDescent="0.25">
      <c r="AU8189" s="7"/>
      <c r="AV8189" s="7"/>
    </row>
    <row r="8190" spans="47:48" x14ac:dyDescent="0.25">
      <c r="AU8190" s="7"/>
      <c r="AV8190" s="7"/>
    </row>
    <row r="8191" spans="47:48" x14ac:dyDescent="0.25">
      <c r="AU8191" s="7"/>
      <c r="AV8191" s="7"/>
    </row>
    <row r="8192" spans="47:48" x14ac:dyDescent="0.25">
      <c r="AU8192" s="7"/>
      <c r="AV8192" s="7"/>
    </row>
    <row r="8193" spans="47:48" x14ac:dyDescent="0.25">
      <c r="AU8193" s="7"/>
      <c r="AV8193" s="7"/>
    </row>
    <row r="8194" spans="47:48" x14ac:dyDescent="0.25">
      <c r="AU8194" s="7"/>
      <c r="AV8194" s="7"/>
    </row>
    <row r="8195" spans="47:48" x14ac:dyDescent="0.25">
      <c r="AU8195" s="7"/>
      <c r="AV8195" s="7"/>
    </row>
    <row r="8196" spans="47:48" x14ac:dyDescent="0.25">
      <c r="AU8196" s="7"/>
      <c r="AV8196" s="7"/>
    </row>
    <row r="8197" spans="47:48" x14ac:dyDescent="0.25">
      <c r="AU8197" s="7"/>
      <c r="AV8197" s="7"/>
    </row>
    <row r="8198" spans="47:48" x14ac:dyDescent="0.25">
      <c r="AU8198" s="7"/>
      <c r="AV8198" s="7"/>
    </row>
    <row r="8199" spans="47:48" x14ac:dyDescent="0.25">
      <c r="AU8199" s="7"/>
      <c r="AV8199" s="7"/>
    </row>
    <row r="8200" spans="47:48" x14ac:dyDescent="0.25">
      <c r="AU8200" s="7"/>
      <c r="AV8200" s="7"/>
    </row>
    <row r="8201" spans="47:48" x14ac:dyDescent="0.25">
      <c r="AU8201" s="7"/>
      <c r="AV8201" s="7"/>
    </row>
    <row r="8202" spans="47:48" x14ac:dyDescent="0.25">
      <c r="AU8202" s="7"/>
      <c r="AV8202" s="7"/>
    </row>
    <row r="8203" spans="47:48" x14ac:dyDescent="0.25">
      <c r="AU8203" s="7"/>
      <c r="AV8203" s="7"/>
    </row>
    <row r="8204" spans="47:48" x14ac:dyDescent="0.25">
      <c r="AU8204" s="7"/>
      <c r="AV8204" s="7"/>
    </row>
    <row r="8205" spans="47:48" x14ac:dyDescent="0.25">
      <c r="AU8205" s="7"/>
      <c r="AV8205" s="7"/>
    </row>
    <row r="8206" spans="47:48" x14ac:dyDescent="0.25">
      <c r="AU8206" s="7"/>
      <c r="AV8206" s="7"/>
    </row>
    <row r="8207" spans="47:48" x14ac:dyDescent="0.25">
      <c r="AU8207" s="7"/>
      <c r="AV8207" s="7"/>
    </row>
    <row r="8208" spans="47:48" x14ac:dyDescent="0.25">
      <c r="AU8208" s="7"/>
      <c r="AV8208" s="7"/>
    </row>
    <row r="8209" spans="47:48" x14ac:dyDescent="0.25">
      <c r="AU8209" s="7"/>
      <c r="AV8209" s="7"/>
    </row>
    <row r="8210" spans="47:48" x14ac:dyDescent="0.25">
      <c r="AU8210" s="7"/>
      <c r="AV8210" s="7"/>
    </row>
    <row r="8211" spans="47:48" x14ac:dyDescent="0.25">
      <c r="AU8211" s="7"/>
      <c r="AV8211" s="7"/>
    </row>
    <row r="8212" spans="47:48" x14ac:dyDescent="0.25">
      <c r="AU8212" s="7"/>
      <c r="AV8212" s="7"/>
    </row>
    <row r="8213" spans="47:48" x14ac:dyDescent="0.25">
      <c r="AU8213" s="7"/>
      <c r="AV8213" s="7"/>
    </row>
    <row r="8214" spans="47:48" x14ac:dyDescent="0.25">
      <c r="AU8214" s="7"/>
      <c r="AV8214" s="7"/>
    </row>
    <row r="8215" spans="47:48" x14ac:dyDescent="0.25">
      <c r="AU8215" s="7"/>
      <c r="AV8215" s="7"/>
    </row>
    <row r="8216" spans="47:48" x14ac:dyDescent="0.25">
      <c r="AU8216" s="7"/>
      <c r="AV8216" s="7"/>
    </row>
    <row r="8217" spans="47:48" x14ac:dyDescent="0.25">
      <c r="AU8217" s="7"/>
      <c r="AV8217" s="7"/>
    </row>
    <row r="8218" spans="47:48" x14ac:dyDescent="0.25">
      <c r="AU8218" s="7"/>
      <c r="AV8218" s="7"/>
    </row>
    <row r="8219" spans="47:48" x14ac:dyDescent="0.25">
      <c r="AU8219" s="7"/>
      <c r="AV8219" s="7"/>
    </row>
    <row r="8220" spans="47:48" x14ac:dyDescent="0.25">
      <c r="AU8220" s="7"/>
      <c r="AV8220" s="7"/>
    </row>
    <row r="8221" spans="47:48" x14ac:dyDescent="0.25">
      <c r="AU8221" s="7"/>
      <c r="AV8221" s="7"/>
    </row>
    <row r="8222" spans="47:48" x14ac:dyDescent="0.25">
      <c r="AU8222" s="7"/>
      <c r="AV8222" s="7"/>
    </row>
    <row r="8223" spans="47:48" x14ac:dyDescent="0.25">
      <c r="AU8223" s="7"/>
      <c r="AV8223" s="7"/>
    </row>
    <row r="8224" spans="47:48" x14ac:dyDescent="0.25">
      <c r="AU8224" s="7"/>
      <c r="AV8224" s="7"/>
    </row>
    <row r="8225" spans="47:48" x14ac:dyDescent="0.25">
      <c r="AU8225" s="7"/>
      <c r="AV8225" s="7"/>
    </row>
    <row r="8226" spans="47:48" x14ac:dyDescent="0.25">
      <c r="AU8226" s="7"/>
      <c r="AV8226" s="7"/>
    </row>
    <row r="8227" spans="47:48" x14ac:dyDescent="0.25">
      <c r="AU8227" s="7"/>
      <c r="AV8227" s="7"/>
    </row>
    <row r="8228" spans="47:48" x14ac:dyDescent="0.25">
      <c r="AU8228" s="7"/>
      <c r="AV8228" s="7"/>
    </row>
    <row r="8229" spans="47:48" x14ac:dyDescent="0.25">
      <c r="AU8229" s="7"/>
      <c r="AV8229" s="7"/>
    </row>
    <row r="8230" spans="47:48" x14ac:dyDescent="0.25">
      <c r="AU8230" s="7"/>
      <c r="AV8230" s="7"/>
    </row>
    <row r="8231" spans="47:48" x14ac:dyDescent="0.25">
      <c r="AU8231" s="7"/>
      <c r="AV8231" s="7"/>
    </row>
    <row r="8232" spans="47:48" x14ac:dyDescent="0.25">
      <c r="AU8232" s="7"/>
      <c r="AV8232" s="7"/>
    </row>
    <row r="8233" spans="47:48" x14ac:dyDescent="0.25">
      <c r="AU8233" s="7"/>
      <c r="AV8233" s="7"/>
    </row>
    <row r="8234" spans="47:48" x14ac:dyDescent="0.25">
      <c r="AU8234" s="7"/>
      <c r="AV8234" s="7"/>
    </row>
    <row r="8235" spans="47:48" x14ac:dyDescent="0.25">
      <c r="AU8235" s="7"/>
      <c r="AV8235" s="7"/>
    </row>
    <row r="8236" spans="47:48" x14ac:dyDescent="0.25">
      <c r="AU8236" s="7"/>
      <c r="AV8236" s="7"/>
    </row>
    <row r="8237" spans="47:48" x14ac:dyDescent="0.25">
      <c r="AU8237" s="7"/>
      <c r="AV8237" s="7"/>
    </row>
    <row r="8238" spans="47:48" x14ac:dyDescent="0.25">
      <c r="AU8238" s="7"/>
      <c r="AV8238" s="7"/>
    </row>
    <row r="8239" spans="47:48" x14ac:dyDescent="0.25">
      <c r="AU8239" s="7"/>
      <c r="AV8239" s="7"/>
    </row>
    <row r="8240" spans="47:48" x14ac:dyDescent="0.25">
      <c r="AU8240" s="7"/>
      <c r="AV8240" s="7"/>
    </row>
    <row r="8241" spans="47:48" x14ac:dyDescent="0.25">
      <c r="AU8241" s="7"/>
      <c r="AV8241" s="7"/>
    </row>
    <row r="8242" spans="47:48" x14ac:dyDescent="0.25">
      <c r="AU8242" s="7"/>
      <c r="AV8242" s="7"/>
    </row>
    <row r="8243" spans="47:48" x14ac:dyDescent="0.25">
      <c r="AU8243" s="7"/>
      <c r="AV8243" s="7"/>
    </row>
    <row r="8244" spans="47:48" x14ac:dyDescent="0.25">
      <c r="AU8244" s="7"/>
      <c r="AV8244" s="7"/>
    </row>
    <row r="8245" spans="47:48" x14ac:dyDescent="0.25">
      <c r="AU8245" s="7"/>
      <c r="AV8245" s="7"/>
    </row>
    <row r="8246" spans="47:48" x14ac:dyDescent="0.25">
      <c r="AU8246" s="7"/>
      <c r="AV8246" s="7"/>
    </row>
    <row r="8247" spans="47:48" x14ac:dyDescent="0.25">
      <c r="AU8247" s="7"/>
      <c r="AV8247" s="7"/>
    </row>
    <row r="8248" spans="47:48" x14ac:dyDescent="0.25">
      <c r="AU8248" s="7"/>
      <c r="AV8248" s="7"/>
    </row>
    <row r="8249" spans="47:48" x14ac:dyDescent="0.25">
      <c r="AU8249" s="7"/>
      <c r="AV8249" s="7"/>
    </row>
    <row r="8250" spans="47:48" x14ac:dyDescent="0.25">
      <c r="AU8250" s="7"/>
      <c r="AV8250" s="7"/>
    </row>
    <row r="8251" spans="47:48" x14ac:dyDescent="0.25">
      <c r="AU8251" s="7"/>
      <c r="AV8251" s="7"/>
    </row>
    <row r="8252" spans="47:48" x14ac:dyDescent="0.25">
      <c r="AU8252" s="7"/>
      <c r="AV8252" s="7"/>
    </row>
    <row r="8253" spans="47:48" x14ac:dyDescent="0.25">
      <c r="AU8253" s="7"/>
      <c r="AV8253" s="7"/>
    </row>
    <row r="8254" spans="47:48" x14ac:dyDescent="0.25">
      <c r="AU8254" s="7"/>
      <c r="AV8254" s="7"/>
    </row>
    <row r="8255" spans="47:48" x14ac:dyDescent="0.25">
      <c r="AU8255" s="7"/>
      <c r="AV8255" s="7"/>
    </row>
    <row r="8256" spans="47:48" x14ac:dyDescent="0.25">
      <c r="AU8256" s="7"/>
      <c r="AV8256" s="7"/>
    </row>
    <row r="8257" spans="47:48" x14ac:dyDescent="0.25">
      <c r="AU8257" s="7"/>
      <c r="AV8257" s="7"/>
    </row>
    <row r="8258" spans="47:48" x14ac:dyDescent="0.25">
      <c r="AU8258" s="7"/>
      <c r="AV8258" s="7"/>
    </row>
    <row r="8259" spans="47:48" x14ac:dyDescent="0.25">
      <c r="AU8259" s="7"/>
      <c r="AV8259" s="7"/>
    </row>
    <row r="8260" spans="47:48" x14ac:dyDescent="0.25">
      <c r="AU8260" s="7"/>
      <c r="AV8260" s="7"/>
    </row>
    <row r="8261" spans="47:48" x14ac:dyDescent="0.25">
      <c r="AU8261" s="7"/>
      <c r="AV8261" s="7"/>
    </row>
    <row r="8262" spans="47:48" x14ac:dyDescent="0.25">
      <c r="AU8262" s="7"/>
      <c r="AV8262" s="7"/>
    </row>
    <row r="8263" spans="47:48" x14ac:dyDescent="0.25">
      <c r="AU8263" s="7"/>
      <c r="AV8263" s="7"/>
    </row>
    <row r="8264" spans="47:48" x14ac:dyDescent="0.25">
      <c r="AU8264" s="7"/>
      <c r="AV8264" s="7"/>
    </row>
    <row r="8265" spans="47:48" x14ac:dyDescent="0.25">
      <c r="AU8265" s="7"/>
      <c r="AV8265" s="7"/>
    </row>
    <row r="8266" spans="47:48" x14ac:dyDescent="0.25">
      <c r="AU8266" s="7"/>
      <c r="AV8266" s="7"/>
    </row>
    <row r="8267" spans="47:48" x14ac:dyDescent="0.25">
      <c r="AU8267" s="7"/>
      <c r="AV8267" s="7"/>
    </row>
    <row r="8268" spans="47:48" x14ac:dyDescent="0.25">
      <c r="AU8268" s="7"/>
      <c r="AV8268" s="7"/>
    </row>
    <row r="8269" spans="47:48" x14ac:dyDescent="0.25">
      <c r="AU8269" s="7"/>
      <c r="AV8269" s="7"/>
    </row>
    <row r="8270" spans="47:48" x14ac:dyDescent="0.25">
      <c r="AU8270" s="7"/>
      <c r="AV8270" s="7"/>
    </row>
    <row r="8271" spans="47:48" x14ac:dyDescent="0.25">
      <c r="AU8271" s="7"/>
      <c r="AV8271" s="7"/>
    </row>
    <row r="8272" spans="47:48" x14ac:dyDescent="0.25">
      <c r="AU8272" s="7"/>
      <c r="AV8272" s="7"/>
    </row>
    <row r="8273" spans="47:48" x14ac:dyDescent="0.25">
      <c r="AU8273" s="7"/>
      <c r="AV8273" s="7"/>
    </row>
    <row r="8274" spans="47:48" x14ac:dyDescent="0.25">
      <c r="AU8274" s="7"/>
      <c r="AV8274" s="7"/>
    </row>
    <row r="8275" spans="47:48" x14ac:dyDescent="0.25">
      <c r="AU8275" s="7"/>
      <c r="AV8275" s="7"/>
    </row>
    <row r="8276" spans="47:48" x14ac:dyDescent="0.25">
      <c r="AU8276" s="7"/>
      <c r="AV8276" s="7"/>
    </row>
    <row r="8277" spans="47:48" x14ac:dyDescent="0.25">
      <c r="AU8277" s="7"/>
      <c r="AV8277" s="7"/>
    </row>
    <row r="8278" spans="47:48" x14ac:dyDescent="0.25">
      <c r="AU8278" s="7"/>
      <c r="AV8278" s="7"/>
    </row>
    <row r="8279" spans="47:48" x14ac:dyDescent="0.25">
      <c r="AU8279" s="7"/>
      <c r="AV8279" s="7"/>
    </row>
    <row r="8280" spans="47:48" x14ac:dyDescent="0.25">
      <c r="AU8280" s="7"/>
      <c r="AV8280" s="7"/>
    </row>
    <row r="8281" spans="47:48" x14ac:dyDescent="0.25">
      <c r="AU8281" s="7"/>
      <c r="AV8281" s="7"/>
    </row>
    <row r="8282" spans="47:48" x14ac:dyDescent="0.25">
      <c r="AU8282" s="7"/>
      <c r="AV8282" s="7"/>
    </row>
    <row r="8283" spans="47:48" x14ac:dyDescent="0.25">
      <c r="AU8283" s="7"/>
      <c r="AV8283" s="7"/>
    </row>
    <row r="8284" spans="47:48" x14ac:dyDescent="0.25">
      <c r="AU8284" s="7"/>
      <c r="AV8284" s="7"/>
    </row>
    <row r="8285" spans="47:48" x14ac:dyDescent="0.25">
      <c r="AU8285" s="7"/>
      <c r="AV8285" s="7"/>
    </row>
    <row r="8286" spans="47:48" x14ac:dyDescent="0.25">
      <c r="AU8286" s="7"/>
      <c r="AV8286" s="7"/>
    </row>
    <row r="8287" spans="47:48" x14ac:dyDescent="0.25">
      <c r="AU8287" s="7"/>
      <c r="AV8287" s="7"/>
    </row>
    <row r="8288" spans="47:48" x14ac:dyDescent="0.25">
      <c r="AU8288" s="7"/>
      <c r="AV8288" s="7"/>
    </row>
    <row r="8289" spans="47:48" x14ac:dyDescent="0.25">
      <c r="AU8289" s="7"/>
      <c r="AV8289" s="7"/>
    </row>
    <row r="8290" spans="47:48" x14ac:dyDescent="0.25">
      <c r="AU8290" s="7"/>
      <c r="AV8290" s="7"/>
    </row>
    <row r="8291" spans="47:48" x14ac:dyDescent="0.25">
      <c r="AU8291" s="7"/>
      <c r="AV8291" s="7"/>
    </row>
    <row r="8292" spans="47:48" x14ac:dyDescent="0.25">
      <c r="AU8292" s="7"/>
      <c r="AV8292" s="7"/>
    </row>
    <row r="8293" spans="47:48" x14ac:dyDescent="0.25">
      <c r="AU8293" s="7"/>
      <c r="AV8293" s="7"/>
    </row>
    <row r="8294" spans="47:48" x14ac:dyDescent="0.25">
      <c r="AU8294" s="7"/>
      <c r="AV8294" s="7"/>
    </row>
    <row r="8295" spans="47:48" x14ac:dyDescent="0.25">
      <c r="AU8295" s="7"/>
      <c r="AV8295" s="7"/>
    </row>
    <row r="8296" spans="47:48" x14ac:dyDescent="0.25">
      <c r="AU8296" s="7"/>
      <c r="AV8296" s="7"/>
    </row>
    <row r="8297" spans="47:48" x14ac:dyDescent="0.25">
      <c r="AU8297" s="7"/>
      <c r="AV8297" s="7"/>
    </row>
    <row r="8298" spans="47:48" x14ac:dyDescent="0.25">
      <c r="AU8298" s="7"/>
      <c r="AV8298" s="7"/>
    </row>
    <row r="8299" spans="47:48" x14ac:dyDescent="0.25">
      <c r="AU8299" s="7"/>
      <c r="AV8299" s="7"/>
    </row>
    <row r="8300" spans="47:48" x14ac:dyDescent="0.25">
      <c r="AU8300" s="7"/>
      <c r="AV8300" s="7"/>
    </row>
    <row r="8301" spans="47:48" x14ac:dyDescent="0.25">
      <c r="AU8301" s="7"/>
      <c r="AV8301" s="7"/>
    </row>
    <row r="8302" spans="47:48" x14ac:dyDescent="0.25">
      <c r="AU8302" s="7"/>
      <c r="AV8302" s="7"/>
    </row>
    <row r="8303" spans="47:48" x14ac:dyDescent="0.25">
      <c r="AU8303" s="7"/>
      <c r="AV8303" s="7"/>
    </row>
    <row r="8304" spans="47:48" x14ac:dyDescent="0.25">
      <c r="AU8304" s="7"/>
      <c r="AV8304" s="7"/>
    </row>
    <row r="8305" spans="47:48" x14ac:dyDescent="0.25">
      <c r="AU8305" s="7"/>
      <c r="AV8305" s="7"/>
    </row>
    <row r="8306" spans="47:48" x14ac:dyDescent="0.25">
      <c r="AU8306" s="7"/>
      <c r="AV8306" s="7"/>
    </row>
    <row r="8307" spans="47:48" x14ac:dyDescent="0.25">
      <c r="AU8307" s="7"/>
      <c r="AV8307" s="7"/>
    </row>
    <row r="8308" spans="47:48" x14ac:dyDescent="0.25">
      <c r="AU8308" s="7"/>
      <c r="AV8308" s="7"/>
    </row>
    <row r="8309" spans="47:48" x14ac:dyDescent="0.25">
      <c r="AU8309" s="7"/>
      <c r="AV8309" s="7"/>
    </row>
    <row r="8310" spans="47:48" x14ac:dyDescent="0.25">
      <c r="AU8310" s="7"/>
      <c r="AV8310" s="7"/>
    </row>
    <row r="8311" spans="47:48" x14ac:dyDescent="0.25">
      <c r="AU8311" s="7"/>
      <c r="AV8311" s="7"/>
    </row>
    <row r="8312" spans="47:48" x14ac:dyDescent="0.25">
      <c r="AU8312" s="7"/>
      <c r="AV8312" s="7"/>
    </row>
    <row r="8313" spans="47:48" x14ac:dyDescent="0.25">
      <c r="AU8313" s="7"/>
      <c r="AV8313" s="7"/>
    </row>
    <row r="8314" spans="47:48" x14ac:dyDescent="0.25">
      <c r="AU8314" s="7"/>
      <c r="AV8314" s="7"/>
    </row>
    <row r="8315" spans="47:48" x14ac:dyDescent="0.25">
      <c r="AU8315" s="7"/>
      <c r="AV8315" s="7"/>
    </row>
    <row r="8316" spans="47:48" x14ac:dyDescent="0.25">
      <c r="AU8316" s="7"/>
      <c r="AV8316" s="7"/>
    </row>
    <row r="8317" spans="47:48" x14ac:dyDescent="0.25">
      <c r="AU8317" s="7"/>
      <c r="AV8317" s="7"/>
    </row>
    <row r="8318" spans="47:48" x14ac:dyDescent="0.25">
      <c r="AU8318" s="7"/>
      <c r="AV8318" s="7"/>
    </row>
    <row r="8319" spans="47:48" x14ac:dyDescent="0.25">
      <c r="AU8319" s="7"/>
      <c r="AV8319" s="7"/>
    </row>
    <row r="8320" spans="47:48" x14ac:dyDescent="0.25">
      <c r="AU8320" s="7"/>
      <c r="AV8320" s="7"/>
    </row>
    <row r="8321" spans="47:48" x14ac:dyDescent="0.25">
      <c r="AU8321" s="7"/>
      <c r="AV8321" s="7"/>
    </row>
    <row r="8322" spans="47:48" x14ac:dyDescent="0.25">
      <c r="AU8322" s="7"/>
      <c r="AV8322" s="7"/>
    </row>
    <row r="8323" spans="47:48" x14ac:dyDescent="0.25">
      <c r="AU8323" s="7"/>
      <c r="AV8323" s="7"/>
    </row>
    <row r="8324" spans="47:48" x14ac:dyDescent="0.25">
      <c r="AU8324" s="7"/>
      <c r="AV8324" s="7"/>
    </row>
    <row r="8325" spans="47:48" x14ac:dyDescent="0.25">
      <c r="AU8325" s="7"/>
      <c r="AV8325" s="7"/>
    </row>
    <row r="8326" spans="47:48" x14ac:dyDescent="0.25">
      <c r="AU8326" s="7"/>
      <c r="AV8326" s="7"/>
    </row>
    <row r="8327" spans="47:48" x14ac:dyDescent="0.25">
      <c r="AU8327" s="7"/>
      <c r="AV8327" s="7"/>
    </row>
    <row r="8328" spans="47:48" x14ac:dyDescent="0.25">
      <c r="AU8328" s="7"/>
      <c r="AV8328" s="7"/>
    </row>
    <row r="8329" spans="47:48" x14ac:dyDescent="0.25">
      <c r="AU8329" s="7"/>
      <c r="AV8329" s="7"/>
    </row>
    <row r="8330" spans="47:48" x14ac:dyDescent="0.25">
      <c r="AU8330" s="7"/>
      <c r="AV8330" s="7"/>
    </row>
    <row r="8331" spans="47:48" x14ac:dyDescent="0.25">
      <c r="AU8331" s="7"/>
      <c r="AV8331" s="7"/>
    </row>
    <row r="8332" spans="47:48" x14ac:dyDescent="0.25">
      <c r="AU8332" s="7"/>
      <c r="AV8332" s="7"/>
    </row>
    <row r="8333" spans="47:48" x14ac:dyDescent="0.25">
      <c r="AU8333" s="7"/>
      <c r="AV8333" s="7"/>
    </row>
    <row r="8334" spans="47:48" x14ac:dyDescent="0.25">
      <c r="AU8334" s="7"/>
      <c r="AV8334" s="7"/>
    </row>
    <row r="8335" spans="47:48" x14ac:dyDescent="0.25">
      <c r="AU8335" s="7"/>
      <c r="AV8335" s="7"/>
    </row>
    <row r="8336" spans="47:48" x14ac:dyDescent="0.25">
      <c r="AU8336" s="7"/>
      <c r="AV8336" s="7"/>
    </row>
    <row r="8337" spans="47:48" x14ac:dyDescent="0.25">
      <c r="AU8337" s="7"/>
      <c r="AV8337" s="7"/>
    </row>
    <row r="8338" spans="47:48" x14ac:dyDescent="0.25">
      <c r="AU8338" s="7"/>
      <c r="AV8338" s="7"/>
    </row>
    <row r="8339" spans="47:48" x14ac:dyDescent="0.25">
      <c r="AU8339" s="7"/>
      <c r="AV8339" s="7"/>
    </row>
    <row r="8340" spans="47:48" x14ac:dyDescent="0.25">
      <c r="AU8340" s="7"/>
      <c r="AV8340" s="7"/>
    </row>
    <row r="8341" spans="47:48" x14ac:dyDescent="0.25">
      <c r="AU8341" s="7"/>
      <c r="AV8341" s="7"/>
    </row>
    <row r="8342" spans="47:48" x14ac:dyDescent="0.25">
      <c r="AU8342" s="7"/>
      <c r="AV8342" s="7"/>
    </row>
    <row r="8343" spans="47:48" x14ac:dyDescent="0.25">
      <c r="AU8343" s="7"/>
      <c r="AV8343" s="7"/>
    </row>
    <row r="8344" spans="47:48" x14ac:dyDescent="0.25">
      <c r="AU8344" s="7"/>
      <c r="AV8344" s="7"/>
    </row>
    <row r="8345" spans="47:48" x14ac:dyDescent="0.25">
      <c r="AU8345" s="7"/>
      <c r="AV8345" s="7"/>
    </row>
    <row r="8346" spans="47:48" x14ac:dyDescent="0.25">
      <c r="AU8346" s="7"/>
      <c r="AV8346" s="7"/>
    </row>
    <row r="8347" spans="47:48" x14ac:dyDescent="0.25">
      <c r="AU8347" s="7"/>
      <c r="AV8347" s="7"/>
    </row>
    <row r="8348" spans="47:48" x14ac:dyDescent="0.25">
      <c r="AU8348" s="7"/>
      <c r="AV8348" s="7"/>
    </row>
    <row r="8349" spans="47:48" x14ac:dyDescent="0.25">
      <c r="AU8349" s="7"/>
      <c r="AV8349" s="7"/>
    </row>
    <row r="8350" spans="47:48" x14ac:dyDescent="0.25">
      <c r="AU8350" s="7"/>
      <c r="AV8350" s="7"/>
    </row>
    <row r="8351" spans="47:48" x14ac:dyDescent="0.25">
      <c r="AU8351" s="7"/>
      <c r="AV8351" s="7"/>
    </row>
    <row r="8352" spans="47:48" x14ac:dyDescent="0.25">
      <c r="AU8352" s="7"/>
      <c r="AV8352" s="7"/>
    </row>
    <row r="8353" spans="47:48" x14ac:dyDescent="0.25">
      <c r="AU8353" s="7"/>
      <c r="AV8353" s="7"/>
    </row>
    <row r="8354" spans="47:48" x14ac:dyDescent="0.25">
      <c r="AU8354" s="7"/>
      <c r="AV8354" s="7"/>
    </row>
    <row r="8355" spans="47:48" x14ac:dyDescent="0.25">
      <c r="AU8355" s="7"/>
      <c r="AV8355" s="7"/>
    </row>
    <row r="8356" spans="47:48" x14ac:dyDescent="0.25">
      <c r="AU8356" s="7"/>
      <c r="AV8356" s="7"/>
    </row>
    <row r="8357" spans="47:48" x14ac:dyDescent="0.25">
      <c r="AU8357" s="7"/>
      <c r="AV8357" s="7"/>
    </row>
    <row r="8358" spans="47:48" x14ac:dyDescent="0.25">
      <c r="AU8358" s="7"/>
      <c r="AV8358" s="7"/>
    </row>
    <row r="8359" spans="47:48" x14ac:dyDescent="0.25">
      <c r="AU8359" s="7"/>
      <c r="AV8359" s="7"/>
    </row>
    <row r="8360" spans="47:48" x14ac:dyDescent="0.25">
      <c r="AU8360" s="7"/>
      <c r="AV8360" s="7"/>
    </row>
    <row r="8361" spans="47:48" x14ac:dyDescent="0.25">
      <c r="AU8361" s="7"/>
      <c r="AV8361" s="7"/>
    </row>
    <row r="8362" spans="47:48" x14ac:dyDescent="0.25">
      <c r="AU8362" s="7"/>
      <c r="AV8362" s="7"/>
    </row>
    <row r="8363" spans="47:48" x14ac:dyDescent="0.25">
      <c r="AU8363" s="7"/>
      <c r="AV8363" s="7"/>
    </row>
    <row r="8364" spans="47:48" x14ac:dyDescent="0.25">
      <c r="AU8364" s="7"/>
      <c r="AV8364" s="7"/>
    </row>
    <row r="8365" spans="47:48" x14ac:dyDescent="0.25">
      <c r="AU8365" s="7"/>
      <c r="AV8365" s="7"/>
    </row>
    <row r="8366" spans="47:48" x14ac:dyDescent="0.25">
      <c r="AU8366" s="7"/>
      <c r="AV8366" s="7"/>
    </row>
    <row r="8367" spans="47:48" x14ac:dyDescent="0.25">
      <c r="AU8367" s="7"/>
      <c r="AV8367" s="7"/>
    </row>
    <row r="8368" spans="47:48" x14ac:dyDescent="0.25">
      <c r="AU8368" s="7"/>
      <c r="AV8368" s="7"/>
    </row>
    <row r="8369" spans="47:48" x14ac:dyDescent="0.25">
      <c r="AU8369" s="7"/>
      <c r="AV8369" s="7"/>
    </row>
    <row r="8370" spans="47:48" x14ac:dyDescent="0.25">
      <c r="AU8370" s="7"/>
      <c r="AV8370" s="7"/>
    </row>
    <row r="8371" spans="47:48" x14ac:dyDescent="0.25">
      <c r="AU8371" s="7"/>
      <c r="AV8371" s="7"/>
    </row>
    <row r="8372" spans="47:48" x14ac:dyDescent="0.25">
      <c r="AU8372" s="7"/>
      <c r="AV8372" s="7"/>
    </row>
    <row r="8373" spans="47:48" x14ac:dyDescent="0.25">
      <c r="AU8373" s="7"/>
      <c r="AV8373" s="7"/>
    </row>
    <row r="8374" spans="47:48" x14ac:dyDescent="0.25">
      <c r="AU8374" s="7"/>
      <c r="AV8374" s="7"/>
    </row>
    <row r="8375" spans="47:48" x14ac:dyDescent="0.25">
      <c r="AU8375" s="7"/>
      <c r="AV8375" s="7"/>
    </row>
    <row r="8376" spans="47:48" x14ac:dyDescent="0.25">
      <c r="AU8376" s="7"/>
      <c r="AV8376" s="7"/>
    </row>
    <row r="8377" spans="47:48" x14ac:dyDescent="0.25">
      <c r="AU8377" s="7"/>
      <c r="AV8377" s="7"/>
    </row>
    <row r="8378" spans="47:48" x14ac:dyDescent="0.25">
      <c r="AU8378" s="7"/>
      <c r="AV8378" s="7"/>
    </row>
    <row r="8379" spans="47:48" x14ac:dyDescent="0.25">
      <c r="AU8379" s="7"/>
      <c r="AV8379" s="7"/>
    </row>
    <row r="8380" spans="47:48" x14ac:dyDescent="0.25">
      <c r="AU8380" s="7"/>
      <c r="AV8380" s="7"/>
    </row>
    <row r="8381" spans="47:48" x14ac:dyDescent="0.25">
      <c r="AU8381" s="7"/>
      <c r="AV8381" s="7"/>
    </row>
    <row r="8382" spans="47:48" x14ac:dyDescent="0.25">
      <c r="AU8382" s="7"/>
      <c r="AV8382" s="7"/>
    </row>
    <row r="8383" spans="47:48" x14ac:dyDescent="0.25">
      <c r="AU8383" s="7"/>
      <c r="AV8383" s="7"/>
    </row>
    <row r="8384" spans="47:48" x14ac:dyDescent="0.25">
      <c r="AU8384" s="7"/>
      <c r="AV8384" s="7"/>
    </row>
    <row r="8385" spans="47:48" x14ac:dyDescent="0.25">
      <c r="AU8385" s="7"/>
      <c r="AV8385" s="7"/>
    </row>
    <row r="8386" spans="47:48" x14ac:dyDescent="0.25">
      <c r="AU8386" s="7"/>
      <c r="AV8386" s="7"/>
    </row>
    <row r="8387" spans="47:48" x14ac:dyDescent="0.25">
      <c r="AU8387" s="7"/>
      <c r="AV8387" s="7"/>
    </row>
    <row r="8388" spans="47:48" x14ac:dyDescent="0.25">
      <c r="AU8388" s="7"/>
      <c r="AV8388" s="7"/>
    </row>
    <row r="8389" spans="47:48" x14ac:dyDescent="0.25">
      <c r="AU8389" s="7"/>
      <c r="AV8389" s="7"/>
    </row>
    <row r="8390" spans="47:48" x14ac:dyDescent="0.25">
      <c r="AU8390" s="7"/>
      <c r="AV8390" s="7"/>
    </row>
    <row r="8391" spans="47:48" x14ac:dyDescent="0.25">
      <c r="AU8391" s="7"/>
      <c r="AV8391" s="7"/>
    </row>
    <row r="8392" spans="47:48" x14ac:dyDescent="0.25">
      <c r="AU8392" s="7"/>
      <c r="AV8392" s="7"/>
    </row>
    <row r="8393" spans="47:48" x14ac:dyDescent="0.25">
      <c r="AU8393" s="7"/>
      <c r="AV8393" s="7"/>
    </row>
    <row r="8394" spans="47:48" x14ac:dyDescent="0.25">
      <c r="AU8394" s="7"/>
      <c r="AV8394" s="7"/>
    </row>
    <row r="8395" spans="47:48" x14ac:dyDescent="0.25">
      <c r="AU8395" s="7"/>
      <c r="AV8395" s="7"/>
    </row>
    <row r="8396" spans="47:48" x14ac:dyDescent="0.25">
      <c r="AU8396" s="7"/>
      <c r="AV8396" s="7"/>
    </row>
    <row r="8397" spans="47:48" x14ac:dyDescent="0.25">
      <c r="AU8397" s="7"/>
      <c r="AV8397" s="7"/>
    </row>
    <row r="8398" spans="47:48" x14ac:dyDescent="0.25">
      <c r="AU8398" s="7"/>
      <c r="AV8398" s="7"/>
    </row>
    <row r="8399" spans="47:48" x14ac:dyDescent="0.25">
      <c r="AU8399" s="7"/>
      <c r="AV8399" s="7"/>
    </row>
    <row r="8400" spans="47:48" x14ac:dyDescent="0.25">
      <c r="AU8400" s="7"/>
      <c r="AV8400" s="7"/>
    </row>
    <row r="8401" spans="47:48" x14ac:dyDescent="0.25">
      <c r="AU8401" s="7"/>
      <c r="AV8401" s="7"/>
    </row>
    <row r="8402" spans="47:48" x14ac:dyDescent="0.25">
      <c r="AU8402" s="7"/>
      <c r="AV8402" s="7"/>
    </row>
    <row r="8403" spans="47:48" x14ac:dyDescent="0.25">
      <c r="AU8403" s="7"/>
      <c r="AV8403" s="7"/>
    </row>
    <row r="8404" spans="47:48" x14ac:dyDescent="0.25">
      <c r="AU8404" s="7"/>
      <c r="AV8404" s="7"/>
    </row>
    <row r="8405" spans="47:48" x14ac:dyDescent="0.25">
      <c r="AU8405" s="7"/>
      <c r="AV8405" s="7"/>
    </row>
    <row r="8406" spans="47:48" x14ac:dyDescent="0.25">
      <c r="AU8406" s="7"/>
      <c r="AV8406" s="7"/>
    </row>
    <row r="8407" spans="47:48" x14ac:dyDescent="0.25">
      <c r="AU8407" s="7"/>
      <c r="AV8407" s="7"/>
    </row>
    <row r="8408" spans="47:48" x14ac:dyDescent="0.25">
      <c r="AU8408" s="7"/>
      <c r="AV8408" s="7"/>
    </row>
    <row r="8409" spans="47:48" x14ac:dyDescent="0.25">
      <c r="AU8409" s="7"/>
      <c r="AV8409" s="7"/>
    </row>
    <row r="8410" spans="47:48" x14ac:dyDescent="0.25">
      <c r="AU8410" s="7"/>
      <c r="AV8410" s="7"/>
    </row>
    <row r="8411" spans="47:48" x14ac:dyDescent="0.25">
      <c r="AU8411" s="7"/>
      <c r="AV8411" s="7"/>
    </row>
    <row r="8412" spans="47:48" x14ac:dyDescent="0.25">
      <c r="AU8412" s="7"/>
      <c r="AV8412" s="7"/>
    </row>
    <row r="8413" spans="47:48" x14ac:dyDescent="0.25">
      <c r="AU8413" s="7"/>
      <c r="AV8413" s="7"/>
    </row>
    <row r="8414" spans="47:48" x14ac:dyDescent="0.25">
      <c r="AU8414" s="7"/>
      <c r="AV8414" s="7"/>
    </row>
    <row r="8415" spans="47:48" x14ac:dyDescent="0.25">
      <c r="AU8415" s="7"/>
      <c r="AV8415" s="7"/>
    </row>
    <row r="8416" spans="47:48" x14ac:dyDescent="0.25">
      <c r="AU8416" s="7"/>
      <c r="AV8416" s="7"/>
    </row>
    <row r="8417" spans="47:48" x14ac:dyDescent="0.25">
      <c r="AU8417" s="7"/>
      <c r="AV8417" s="7"/>
    </row>
    <row r="8418" spans="47:48" x14ac:dyDescent="0.25">
      <c r="AU8418" s="7"/>
      <c r="AV8418" s="7"/>
    </row>
    <row r="8419" spans="47:48" x14ac:dyDescent="0.25">
      <c r="AU8419" s="7"/>
      <c r="AV8419" s="7"/>
    </row>
    <row r="8420" spans="47:48" x14ac:dyDescent="0.25">
      <c r="AU8420" s="7"/>
      <c r="AV8420" s="7"/>
    </row>
    <row r="8421" spans="47:48" x14ac:dyDescent="0.25">
      <c r="AU8421" s="7"/>
      <c r="AV8421" s="7"/>
    </row>
    <row r="8422" spans="47:48" x14ac:dyDescent="0.25">
      <c r="AU8422" s="7"/>
      <c r="AV8422" s="7"/>
    </row>
    <row r="8423" spans="47:48" x14ac:dyDescent="0.25">
      <c r="AU8423" s="7"/>
      <c r="AV8423" s="7"/>
    </row>
    <row r="8424" spans="47:48" x14ac:dyDescent="0.25">
      <c r="AU8424" s="7"/>
      <c r="AV8424" s="7"/>
    </row>
    <row r="8425" spans="47:48" x14ac:dyDescent="0.25">
      <c r="AU8425" s="7"/>
      <c r="AV8425" s="7"/>
    </row>
    <row r="8426" spans="47:48" x14ac:dyDescent="0.25">
      <c r="AU8426" s="7"/>
      <c r="AV8426" s="7"/>
    </row>
    <row r="8427" spans="47:48" x14ac:dyDescent="0.25">
      <c r="AU8427" s="7"/>
      <c r="AV8427" s="7"/>
    </row>
    <row r="8428" spans="47:48" x14ac:dyDescent="0.25">
      <c r="AU8428" s="7"/>
      <c r="AV8428" s="7"/>
    </row>
    <row r="8429" spans="47:48" x14ac:dyDescent="0.25">
      <c r="AU8429" s="7"/>
      <c r="AV8429" s="7"/>
    </row>
    <row r="8430" spans="47:48" x14ac:dyDescent="0.25">
      <c r="AU8430" s="7"/>
      <c r="AV8430" s="7"/>
    </row>
    <row r="8431" spans="47:48" x14ac:dyDescent="0.25">
      <c r="AU8431" s="7"/>
      <c r="AV8431" s="7"/>
    </row>
    <row r="8432" spans="47:48" x14ac:dyDescent="0.25">
      <c r="AU8432" s="7"/>
      <c r="AV8432" s="7"/>
    </row>
    <row r="8433" spans="47:48" x14ac:dyDescent="0.25">
      <c r="AU8433" s="7"/>
      <c r="AV8433" s="7"/>
    </row>
    <row r="8434" spans="47:48" x14ac:dyDescent="0.25">
      <c r="AU8434" s="7"/>
      <c r="AV8434" s="7"/>
    </row>
    <row r="8435" spans="47:48" x14ac:dyDescent="0.25">
      <c r="AU8435" s="7"/>
      <c r="AV8435" s="7"/>
    </row>
    <row r="8436" spans="47:48" x14ac:dyDescent="0.25">
      <c r="AU8436" s="7"/>
      <c r="AV8436" s="7"/>
    </row>
    <row r="8437" spans="47:48" x14ac:dyDescent="0.25">
      <c r="AU8437" s="7"/>
      <c r="AV8437" s="7"/>
    </row>
    <row r="8438" spans="47:48" x14ac:dyDescent="0.25">
      <c r="AU8438" s="7"/>
      <c r="AV8438" s="7"/>
    </row>
    <row r="8439" spans="47:48" x14ac:dyDescent="0.25">
      <c r="AU8439" s="7"/>
      <c r="AV8439" s="7"/>
    </row>
    <row r="8440" spans="47:48" x14ac:dyDescent="0.25">
      <c r="AU8440" s="7"/>
      <c r="AV8440" s="7"/>
    </row>
    <row r="8441" spans="47:48" x14ac:dyDescent="0.25">
      <c r="AU8441" s="7"/>
      <c r="AV8441" s="7"/>
    </row>
    <row r="8442" spans="47:48" x14ac:dyDescent="0.25">
      <c r="AU8442" s="7"/>
      <c r="AV8442" s="7"/>
    </row>
    <row r="8443" spans="47:48" x14ac:dyDescent="0.25">
      <c r="AU8443" s="7"/>
      <c r="AV8443" s="7"/>
    </row>
    <row r="8444" spans="47:48" x14ac:dyDescent="0.25">
      <c r="AU8444" s="7"/>
      <c r="AV8444" s="7"/>
    </row>
    <row r="8445" spans="47:48" x14ac:dyDescent="0.25">
      <c r="AU8445" s="7"/>
      <c r="AV8445" s="7"/>
    </row>
    <row r="8446" spans="47:48" x14ac:dyDescent="0.25">
      <c r="AU8446" s="7"/>
      <c r="AV8446" s="7"/>
    </row>
    <row r="8447" spans="47:48" x14ac:dyDescent="0.25">
      <c r="AU8447" s="7"/>
      <c r="AV8447" s="7"/>
    </row>
    <row r="8448" spans="47:48" x14ac:dyDescent="0.25">
      <c r="AU8448" s="7"/>
      <c r="AV8448" s="7"/>
    </row>
    <row r="8449" spans="47:48" x14ac:dyDescent="0.25">
      <c r="AU8449" s="7"/>
      <c r="AV8449" s="7"/>
    </row>
    <row r="8450" spans="47:48" x14ac:dyDescent="0.25">
      <c r="AU8450" s="7"/>
      <c r="AV8450" s="7"/>
    </row>
    <row r="8451" spans="47:48" x14ac:dyDescent="0.25">
      <c r="AU8451" s="7"/>
      <c r="AV8451" s="7"/>
    </row>
    <row r="8452" spans="47:48" x14ac:dyDescent="0.25">
      <c r="AU8452" s="7"/>
      <c r="AV8452" s="7"/>
    </row>
    <row r="8453" spans="47:48" x14ac:dyDescent="0.25">
      <c r="AU8453" s="7"/>
      <c r="AV8453" s="7"/>
    </row>
    <row r="8454" spans="47:48" x14ac:dyDescent="0.25">
      <c r="AU8454" s="7"/>
      <c r="AV8454" s="7"/>
    </row>
    <row r="8455" spans="47:48" x14ac:dyDescent="0.25">
      <c r="AU8455" s="7"/>
      <c r="AV8455" s="7"/>
    </row>
    <row r="8456" spans="47:48" x14ac:dyDescent="0.25">
      <c r="AU8456" s="7"/>
      <c r="AV8456" s="7"/>
    </row>
    <row r="8457" spans="47:48" x14ac:dyDescent="0.25">
      <c r="AU8457" s="7"/>
      <c r="AV8457" s="7"/>
    </row>
    <row r="8458" spans="47:48" x14ac:dyDescent="0.25">
      <c r="AU8458" s="7"/>
      <c r="AV8458" s="7"/>
    </row>
    <row r="8459" spans="47:48" x14ac:dyDescent="0.25">
      <c r="AU8459" s="7"/>
      <c r="AV8459" s="7"/>
    </row>
    <row r="8460" spans="47:48" x14ac:dyDescent="0.25">
      <c r="AU8460" s="7"/>
      <c r="AV8460" s="7"/>
    </row>
    <row r="8461" spans="47:48" x14ac:dyDescent="0.25">
      <c r="AU8461" s="7"/>
      <c r="AV8461" s="7"/>
    </row>
    <row r="8462" spans="47:48" x14ac:dyDescent="0.25">
      <c r="AU8462" s="7"/>
      <c r="AV8462" s="7"/>
    </row>
    <row r="8463" spans="47:48" x14ac:dyDescent="0.25">
      <c r="AU8463" s="7"/>
      <c r="AV8463" s="7"/>
    </row>
    <row r="8464" spans="47:48" x14ac:dyDescent="0.25">
      <c r="AU8464" s="7"/>
      <c r="AV8464" s="7"/>
    </row>
    <row r="8465" spans="47:48" x14ac:dyDescent="0.25">
      <c r="AU8465" s="7"/>
      <c r="AV8465" s="7"/>
    </row>
    <row r="8466" spans="47:48" x14ac:dyDescent="0.25">
      <c r="AU8466" s="7"/>
      <c r="AV8466" s="7"/>
    </row>
    <row r="8467" spans="47:48" x14ac:dyDescent="0.25">
      <c r="AU8467" s="7"/>
      <c r="AV8467" s="7"/>
    </row>
    <row r="8468" spans="47:48" x14ac:dyDescent="0.25">
      <c r="AU8468" s="7"/>
      <c r="AV8468" s="7"/>
    </row>
    <row r="8469" spans="47:48" x14ac:dyDescent="0.25">
      <c r="AU8469" s="7"/>
      <c r="AV8469" s="7"/>
    </row>
    <row r="8470" spans="47:48" x14ac:dyDescent="0.25">
      <c r="AU8470" s="7"/>
      <c r="AV8470" s="7"/>
    </row>
    <row r="8471" spans="47:48" x14ac:dyDescent="0.25">
      <c r="AU8471" s="7"/>
      <c r="AV8471" s="7"/>
    </row>
    <row r="8472" spans="47:48" x14ac:dyDescent="0.25">
      <c r="AU8472" s="7"/>
      <c r="AV8472" s="7"/>
    </row>
    <row r="8473" spans="47:48" x14ac:dyDescent="0.25">
      <c r="AU8473" s="7"/>
      <c r="AV8473" s="7"/>
    </row>
    <row r="8474" spans="47:48" x14ac:dyDescent="0.25">
      <c r="AU8474" s="7"/>
      <c r="AV8474" s="7"/>
    </row>
    <row r="8475" spans="47:48" x14ac:dyDescent="0.25">
      <c r="AU8475" s="7"/>
      <c r="AV8475" s="7"/>
    </row>
    <row r="8476" spans="47:48" x14ac:dyDescent="0.25">
      <c r="AU8476" s="7"/>
      <c r="AV8476" s="7"/>
    </row>
    <row r="8477" spans="47:48" x14ac:dyDescent="0.25">
      <c r="AU8477" s="7"/>
      <c r="AV8477" s="7"/>
    </row>
    <row r="8478" spans="47:48" x14ac:dyDescent="0.25">
      <c r="AU8478" s="7"/>
      <c r="AV8478" s="7"/>
    </row>
    <row r="8479" spans="47:48" x14ac:dyDescent="0.25">
      <c r="AU8479" s="7"/>
      <c r="AV8479" s="7"/>
    </row>
    <row r="8480" spans="47:48" x14ac:dyDescent="0.25">
      <c r="AU8480" s="7"/>
      <c r="AV8480" s="7"/>
    </row>
    <row r="8481" spans="47:48" x14ac:dyDescent="0.25">
      <c r="AU8481" s="7"/>
      <c r="AV8481" s="7"/>
    </row>
    <row r="8482" spans="47:48" x14ac:dyDescent="0.25">
      <c r="AU8482" s="7"/>
      <c r="AV8482" s="7"/>
    </row>
    <row r="8483" spans="47:48" x14ac:dyDescent="0.25">
      <c r="AU8483" s="7"/>
      <c r="AV8483" s="7"/>
    </row>
    <row r="8484" spans="47:48" x14ac:dyDescent="0.25">
      <c r="AU8484" s="7"/>
      <c r="AV8484" s="7"/>
    </row>
    <row r="8485" spans="47:48" x14ac:dyDescent="0.25">
      <c r="AU8485" s="7"/>
      <c r="AV8485" s="7"/>
    </row>
    <row r="8486" spans="47:48" x14ac:dyDescent="0.25">
      <c r="AU8486" s="7"/>
      <c r="AV8486" s="7"/>
    </row>
    <row r="8487" spans="47:48" x14ac:dyDescent="0.25">
      <c r="AU8487" s="7"/>
      <c r="AV8487" s="7"/>
    </row>
    <row r="8488" spans="47:48" x14ac:dyDescent="0.25">
      <c r="AU8488" s="7"/>
      <c r="AV8488" s="7"/>
    </row>
    <row r="8489" spans="47:48" x14ac:dyDescent="0.25">
      <c r="AU8489" s="7"/>
      <c r="AV8489" s="7"/>
    </row>
    <row r="8490" spans="47:48" x14ac:dyDescent="0.25">
      <c r="AU8490" s="7"/>
      <c r="AV8490" s="7"/>
    </row>
    <row r="8491" spans="47:48" x14ac:dyDescent="0.25">
      <c r="AU8491" s="7"/>
      <c r="AV8491" s="7"/>
    </row>
    <row r="8492" spans="47:48" x14ac:dyDescent="0.25">
      <c r="AU8492" s="7"/>
      <c r="AV8492" s="7"/>
    </row>
    <row r="8493" spans="47:48" x14ac:dyDescent="0.25">
      <c r="AU8493" s="7"/>
      <c r="AV8493" s="7"/>
    </row>
    <row r="8494" spans="47:48" x14ac:dyDescent="0.25">
      <c r="AU8494" s="7"/>
      <c r="AV8494" s="7"/>
    </row>
    <row r="8495" spans="47:48" x14ac:dyDescent="0.25">
      <c r="AU8495" s="7"/>
      <c r="AV8495" s="7"/>
    </row>
    <row r="8496" spans="47:48" x14ac:dyDescent="0.25">
      <c r="AU8496" s="7"/>
      <c r="AV8496" s="7"/>
    </row>
    <row r="8497" spans="47:48" x14ac:dyDescent="0.25">
      <c r="AU8497" s="7"/>
      <c r="AV8497" s="7"/>
    </row>
    <row r="8498" spans="47:48" x14ac:dyDescent="0.25">
      <c r="AU8498" s="7"/>
      <c r="AV8498" s="7"/>
    </row>
    <row r="8499" spans="47:48" x14ac:dyDescent="0.25">
      <c r="AU8499" s="7"/>
      <c r="AV8499" s="7"/>
    </row>
    <row r="8500" spans="47:48" x14ac:dyDescent="0.25">
      <c r="AU8500" s="7"/>
      <c r="AV8500" s="7"/>
    </row>
    <row r="8501" spans="47:48" x14ac:dyDescent="0.25">
      <c r="AU8501" s="7"/>
      <c r="AV8501" s="7"/>
    </row>
    <row r="8502" spans="47:48" x14ac:dyDescent="0.25">
      <c r="AU8502" s="7"/>
      <c r="AV8502" s="7"/>
    </row>
    <row r="8503" spans="47:48" x14ac:dyDescent="0.25">
      <c r="AU8503" s="7"/>
      <c r="AV8503" s="7"/>
    </row>
    <row r="8504" spans="47:48" x14ac:dyDescent="0.25">
      <c r="AU8504" s="7"/>
      <c r="AV8504" s="7"/>
    </row>
    <row r="8505" spans="47:48" x14ac:dyDescent="0.25">
      <c r="AU8505" s="7"/>
      <c r="AV8505" s="7"/>
    </row>
    <row r="8506" spans="47:48" x14ac:dyDescent="0.25">
      <c r="AU8506" s="7"/>
      <c r="AV8506" s="7"/>
    </row>
    <row r="8507" spans="47:48" x14ac:dyDescent="0.25">
      <c r="AU8507" s="7"/>
      <c r="AV8507" s="7"/>
    </row>
    <row r="8508" spans="47:48" x14ac:dyDescent="0.25">
      <c r="AU8508" s="7"/>
      <c r="AV8508" s="7"/>
    </row>
    <row r="8509" spans="47:48" x14ac:dyDescent="0.25">
      <c r="AU8509" s="7"/>
      <c r="AV8509" s="7"/>
    </row>
    <row r="8510" spans="47:48" x14ac:dyDescent="0.25">
      <c r="AU8510" s="7"/>
      <c r="AV8510" s="7"/>
    </row>
    <row r="8511" spans="47:48" x14ac:dyDescent="0.25">
      <c r="AU8511" s="7"/>
      <c r="AV8511" s="7"/>
    </row>
    <row r="8512" spans="47:48" x14ac:dyDescent="0.25">
      <c r="AU8512" s="7"/>
      <c r="AV8512" s="7"/>
    </row>
    <row r="8513" spans="47:48" x14ac:dyDescent="0.25">
      <c r="AU8513" s="7"/>
      <c r="AV8513" s="7"/>
    </row>
    <row r="8514" spans="47:48" x14ac:dyDescent="0.25">
      <c r="AU8514" s="7"/>
      <c r="AV8514" s="7"/>
    </row>
    <row r="8515" spans="47:48" x14ac:dyDescent="0.25">
      <c r="AU8515" s="7"/>
      <c r="AV8515" s="7"/>
    </row>
    <row r="8516" spans="47:48" x14ac:dyDescent="0.25">
      <c r="AU8516" s="7"/>
      <c r="AV8516" s="7"/>
    </row>
    <row r="8517" spans="47:48" x14ac:dyDescent="0.25">
      <c r="AU8517" s="7"/>
      <c r="AV8517" s="7"/>
    </row>
    <row r="8518" spans="47:48" x14ac:dyDescent="0.25">
      <c r="AU8518" s="7"/>
      <c r="AV8518" s="7"/>
    </row>
    <row r="8519" spans="47:48" x14ac:dyDescent="0.25">
      <c r="AU8519" s="7"/>
      <c r="AV8519" s="7"/>
    </row>
    <row r="8520" spans="47:48" x14ac:dyDescent="0.25">
      <c r="AU8520" s="7"/>
      <c r="AV8520" s="7"/>
    </row>
    <row r="8521" spans="47:48" x14ac:dyDescent="0.25">
      <c r="AU8521" s="7"/>
      <c r="AV8521" s="7"/>
    </row>
    <row r="8522" spans="47:48" x14ac:dyDescent="0.25">
      <c r="AU8522" s="7"/>
      <c r="AV8522" s="7"/>
    </row>
    <row r="8523" spans="47:48" x14ac:dyDescent="0.25">
      <c r="AU8523" s="7"/>
      <c r="AV8523" s="7"/>
    </row>
    <row r="8524" spans="47:48" x14ac:dyDescent="0.25">
      <c r="AU8524" s="7"/>
      <c r="AV8524" s="7"/>
    </row>
    <row r="8525" spans="47:48" x14ac:dyDescent="0.25">
      <c r="AU8525" s="7"/>
      <c r="AV8525" s="7"/>
    </row>
    <row r="8526" spans="47:48" x14ac:dyDescent="0.25">
      <c r="AU8526" s="7"/>
      <c r="AV8526" s="7"/>
    </row>
    <row r="8527" spans="47:48" x14ac:dyDescent="0.25">
      <c r="AU8527" s="7"/>
      <c r="AV8527" s="7"/>
    </row>
    <row r="8528" spans="47:48" x14ac:dyDescent="0.25">
      <c r="AU8528" s="7"/>
      <c r="AV8528" s="7"/>
    </row>
    <row r="8529" spans="47:48" x14ac:dyDescent="0.25">
      <c r="AU8529" s="7"/>
      <c r="AV8529" s="7"/>
    </row>
    <row r="8530" spans="47:48" x14ac:dyDescent="0.25">
      <c r="AU8530" s="7"/>
      <c r="AV8530" s="7"/>
    </row>
    <row r="8531" spans="47:48" x14ac:dyDescent="0.25">
      <c r="AU8531" s="7"/>
      <c r="AV8531" s="7"/>
    </row>
    <row r="8532" spans="47:48" x14ac:dyDescent="0.25">
      <c r="AU8532" s="7"/>
      <c r="AV8532" s="7"/>
    </row>
    <row r="8533" spans="47:48" x14ac:dyDescent="0.25">
      <c r="AU8533" s="7"/>
      <c r="AV8533" s="7"/>
    </row>
    <row r="8534" spans="47:48" x14ac:dyDescent="0.25">
      <c r="AU8534" s="7"/>
      <c r="AV8534" s="7"/>
    </row>
    <row r="8535" spans="47:48" x14ac:dyDescent="0.25">
      <c r="AU8535" s="7"/>
      <c r="AV8535" s="7"/>
    </row>
    <row r="8536" spans="47:48" x14ac:dyDescent="0.25">
      <c r="AU8536" s="7"/>
      <c r="AV8536" s="7"/>
    </row>
    <row r="8537" spans="47:48" x14ac:dyDescent="0.25">
      <c r="AU8537" s="7"/>
      <c r="AV8537" s="7"/>
    </row>
    <row r="8538" spans="47:48" x14ac:dyDescent="0.25">
      <c r="AU8538" s="7"/>
      <c r="AV8538" s="7"/>
    </row>
    <row r="8539" spans="47:48" x14ac:dyDescent="0.25">
      <c r="AU8539" s="7"/>
      <c r="AV8539" s="7"/>
    </row>
    <row r="8540" spans="47:48" x14ac:dyDescent="0.25">
      <c r="AU8540" s="7"/>
      <c r="AV8540" s="7"/>
    </row>
    <row r="8541" spans="47:48" x14ac:dyDescent="0.25">
      <c r="AU8541" s="7"/>
      <c r="AV8541" s="7"/>
    </row>
    <row r="8542" spans="47:48" x14ac:dyDescent="0.25">
      <c r="AU8542" s="7"/>
      <c r="AV8542" s="7"/>
    </row>
    <row r="8543" spans="47:48" x14ac:dyDescent="0.25">
      <c r="AU8543" s="7"/>
      <c r="AV8543" s="7"/>
    </row>
    <row r="8544" spans="47:48" x14ac:dyDescent="0.25">
      <c r="AU8544" s="7"/>
      <c r="AV8544" s="7"/>
    </row>
    <row r="8545" spans="47:48" x14ac:dyDescent="0.25">
      <c r="AU8545" s="7"/>
      <c r="AV8545" s="7"/>
    </row>
    <row r="8546" spans="47:48" x14ac:dyDescent="0.25">
      <c r="AU8546" s="7"/>
      <c r="AV8546" s="7"/>
    </row>
    <row r="8547" spans="47:48" x14ac:dyDescent="0.25">
      <c r="AU8547" s="7"/>
      <c r="AV8547" s="7"/>
    </row>
    <row r="8548" spans="47:48" x14ac:dyDescent="0.25">
      <c r="AU8548" s="7"/>
      <c r="AV8548" s="7"/>
    </row>
    <row r="8549" spans="47:48" x14ac:dyDescent="0.25">
      <c r="AU8549" s="7"/>
      <c r="AV8549" s="7"/>
    </row>
    <row r="8550" spans="47:48" x14ac:dyDescent="0.25">
      <c r="AU8550" s="7"/>
      <c r="AV8550" s="7"/>
    </row>
    <row r="8551" spans="47:48" x14ac:dyDescent="0.25">
      <c r="AU8551" s="7"/>
      <c r="AV8551" s="7"/>
    </row>
    <row r="8552" spans="47:48" x14ac:dyDescent="0.25">
      <c r="AU8552" s="7"/>
      <c r="AV8552" s="7"/>
    </row>
    <row r="8553" spans="47:48" x14ac:dyDescent="0.25">
      <c r="AU8553" s="7"/>
      <c r="AV8553" s="7"/>
    </row>
    <row r="8554" spans="47:48" x14ac:dyDescent="0.25">
      <c r="AU8554" s="7"/>
      <c r="AV8554" s="7"/>
    </row>
    <row r="8555" spans="47:48" x14ac:dyDescent="0.25">
      <c r="AU8555" s="7"/>
      <c r="AV8555" s="7"/>
    </row>
    <row r="8556" spans="47:48" x14ac:dyDescent="0.25">
      <c r="AU8556" s="7"/>
      <c r="AV8556" s="7"/>
    </row>
    <row r="8557" spans="47:48" x14ac:dyDescent="0.25">
      <c r="AU8557" s="7"/>
      <c r="AV8557" s="7"/>
    </row>
    <row r="8558" spans="47:48" x14ac:dyDescent="0.25">
      <c r="AU8558" s="7"/>
      <c r="AV8558" s="7"/>
    </row>
    <row r="8559" spans="47:48" x14ac:dyDescent="0.25">
      <c r="AU8559" s="7"/>
      <c r="AV8559" s="7"/>
    </row>
    <row r="8560" spans="47:48" x14ac:dyDescent="0.25">
      <c r="AU8560" s="7"/>
      <c r="AV8560" s="7"/>
    </row>
    <row r="8561" spans="47:48" x14ac:dyDescent="0.25">
      <c r="AU8561" s="7"/>
      <c r="AV8561" s="7"/>
    </row>
    <row r="8562" spans="47:48" x14ac:dyDescent="0.25">
      <c r="AU8562" s="7"/>
      <c r="AV8562" s="7"/>
    </row>
    <row r="8563" spans="47:48" x14ac:dyDescent="0.25">
      <c r="AU8563" s="7"/>
      <c r="AV8563" s="7"/>
    </row>
    <row r="8564" spans="47:48" x14ac:dyDescent="0.25">
      <c r="AU8564" s="7"/>
      <c r="AV8564" s="7"/>
    </row>
    <row r="8565" spans="47:48" x14ac:dyDescent="0.25">
      <c r="AU8565" s="7"/>
      <c r="AV8565" s="7"/>
    </row>
    <row r="8566" spans="47:48" x14ac:dyDescent="0.25">
      <c r="AU8566" s="7"/>
      <c r="AV8566" s="7"/>
    </row>
    <row r="8567" spans="47:48" x14ac:dyDescent="0.25">
      <c r="AU8567" s="7"/>
      <c r="AV8567" s="7"/>
    </row>
    <row r="8568" spans="47:48" x14ac:dyDescent="0.25">
      <c r="AU8568" s="7"/>
      <c r="AV8568" s="7"/>
    </row>
    <row r="8569" spans="47:48" x14ac:dyDescent="0.25">
      <c r="AU8569" s="7"/>
      <c r="AV8569" s="7"/>
    </row>
    <row r="8570" spans="47:48" x14ac:dyDescent="0.25">
      <c r="AU8570" s="7"/>
      <c r="AV8570" s="7"/>
    </row>
    <row r="8571" spans="47:48" x14ac:dyDescent="0.25">
      <c r="AU8571" s="7"/>
      <c r="AV8571" s="7"/>
    </row>
    <row r="8572" spans="47:48" x14ac:dyDescent="0.25">
      <c r="AU8572" s="7"/>
      <c r="AV8572" s="7"/>
    </row>
    <row r="8573" spans="47:48" x14ac:dyDescent="0.25">
      <c r="AU8573" s="7"/>
      <c r="AV8573" s="7"/>
    </row>
    <row r="8574" spans="47:48" x14ac:dyDescent="0.25">
      <c r="AU8574" s="7"/>
      <c r="AV8574" s="7"/>
    </row>
    <row r="8575" spans="47:48" x14ac:dyDescent="0.25">
      <c r="AU8575" s="7"/>
      <c r="AV8575" s="7"/>
    </row>
    <row r="8576" spans="47:48" x14ac:dyDescent="0.25">
      <c r="AU8576" s="7"/>
      <c r="AV8576" s="7"/>
    </row>
    <row r="8577" spans="47:48" x14ac:dyDescent="0.25">
      <c r="AU8577" s="7"/>
      <c r="AV8577" s="7"/>
    </row>
    <row r="8578" spans="47:48" x14ac:dyDescent="0.25">
      <c r="AU8578" s="7"/>
      <c r="AV8578" s="7"/>
    </row>
    <row r="8579" spans="47:48" x14ac:dyDescent="0.25">
      <c r="AU8579" s="7"/>
      <c r="AV8579" s="7"/>
    </row>
    <row r="8580" spans="47:48" x14ac:dyDescent="0.25">
      <c r="AU8580" s="7"/>
      <c r="AV8580" s="7"/>
    </row>
    <row r="8581" spans="47:48" x14ac:dyDescent="0.25">
      <c r="AU8581" s="7"/>
      <c r="AV8581" s="7"/>
    </row>
    <row r="8582" spans="47:48" x14ac:dyDescent="0.25">
      <c r="AU8582" s="7"/>
      <c r="AV8582" s="7"/>
    </row>
    <row r="8583" spans="47:48" x14ac:dyDescent="0.25">
      <c r="AU8583" s="7"/>
      <c r="AV8583" s="7"/>
    </row>
    <row r="8584" spans="47:48" x14ac:dyDescent="0.25">
      <c r="AU8584" s="7"/>
      <c r="AV8584" s="7"/>
    </row>
    <row r="8585" spans="47:48" x14ac:dyDescent="0.25">
      <c r="AU8585" s="7"/>
      <c r="AV8585" s="7"/>
    </row>
    <row r="8586" spans="47:48" x14ac:dyDescent="0.25">
      <c r="AU8586" s="7"/>
      <c r="AV8586" s="7"/>
    </row>
    <row r="8587" spans="47:48" x14ac:dyDescent="0.25">
      <c r="AU8587" s="7"/>
      <c r="AV8587" s="7"/>
    </row>
    <row r="8588" spans="47:48" x14ac:dyDescent="0.25">
      <c r="AU8588" s="7"/>
      <c r="AV8588" s="7"/>
    </row>
    <row r="8589" spans="47:48" x14ac:dyDescent="0.25">
      <c r="AU8589" s="7"/>
      <c r="AV8589" s="7"/>
    </row>
    <row r="8590" spans="47:48" x14ac:dyDescent="0.25">
      <c r="AU8590" s="7"/>
      <c r="AV8590" s="7"/>
    </row>
    <row r="8591" spans="47:48" x14ac:dyDescent="0.25">
      <c r="AU8591" s="7"/>
      <c r="AV8591" s="7"/>
    </row>
    <row r="8592" spans="47:48" x14ac:dyDescent="0.25">
      <c r="AU8592" s="7"/>
      <c r="AV8592" s="7"/>
    </row>
    <row r="8593" spans="47:48" x14ac:dyDescent="0.25">
      <c r="AU8593" s="7"/>
      <c r="AV8593" s="7"/>
    </row>
    <row r="8594" spans="47:48" x14ac:dyDescent="0.25">
      <c r="AU8594" s="7"/>
      <c r="AV8594" s="7"/>
    </row>
    <row r="8595" spans="47:48" x14ac:dyDescent="0.25">
      <c r="AU8595" s="7"/>
      <c r="AV8595" s="7"/>
    </row>
    <row r="8596" spans="47:48" x14ac:dyDescent="0.25">
      <c r="AU8596" s="7"/>
      <c r="AV8596" s="7"/>
    </row>
    <row r="8597" spans="47:48" x14ac:dyDescent="0.25">
      <c r="AU8597" s="7"/>
      <c r="AV8597" s="7"/>
    </row>
    <row r="8598" spans="47:48" x14ac:dyDescent="0.25">
      <c r="AU8598" s="7"/>
      <c r="AV8598" s="7"/>
    </row>
    <row r="8599" spans="47:48" x14ac:dyDescent="0.25">
      <c r="AU8599" s="7"/>
      <c r="AV8599" s="7"/>
    </row>
    <row r="8600" spans="47:48" x14ac:dyDescent="0.25">
      <c r="AU8600" s="7"/>
      <c r="AV8600" s="7"/>
    </row>
    <row r="8601" spans="47:48" x14ac:dyDescent="0.25">
      <c r="AU8601" s="7"/>
      <c r="AV8601" s="7"/>
    </row>
    <row r="8602" spans="47:48" x14ac:dyDescent="0.25">
      <c r="AU8602" s="7"/>
      <c r="AV8602" s="7"/>
    </row>
    <row r="8603" spans="47:48" x14ac:dyDescent="0.25">
      <c r="AU8603" s="7"/>
      <c r="AV8603" s="7"/>
    </row>
    <row r="8604" spans="47:48" x14ac:dyDescent="0.25">
      <c r="AU8604" s="7"/>
      <c r="AV8604" s="7"/>
    </row>
    <row r="8605" spans="47:48" x14ac:dyDescent="0.25">
      <c r="AU8605" s="7"/>
      <c r="AV8605" s="7"/>
    </row>
    <row r="8606" spans="47:48" x14ac:dyDescent="0.25">
      <c r="AU8606" s="7"/>
      <c r="AV8606" s="7"/>
    </row>
    <row r="8607" spans="47:48" x14ac:dyDescent="0.25">
      <c r="AU8607" s="7"/>
      <c r="AV8607" s="7"/>
    </row>
    <row r="8608" spans="47:48" x14ac:dyDescent="0.25">
      <c r="AU8608" s="7"/>
      <c r="AV8608" s="7"/>
    </row>
    <row r="8609" spans="47:48" x14ac:dyDescent="0.25">
      <c r="AU8609" s="7"/>
      <c r="AV8609" s="7"/>
    </row>
    <row r="8610" spans="47:48" x14ac:dyDescent="0.25">
      <c r="AU8610" s="7"/>
      <c r="AV8610" s="7"/>
    </row>
    <row r="8611" spans="47:48" x14ac:dyDescent="0.25">
      <c r="AU8611" s="7"/>
      <c r="AV8611" s="7"/>
    </row>
    <row r="8612" spans="47:48" x14ac:dyDescent="0.25">
      <c r="AU8612" s="7"/>
      <c r="AV8612" s="7"/>
    </row>
    <row r="8613" spans="47:48" x14ac:dyDescent="0.25">
      <c r="AU8613" s="7"/>
      <c r="AV8613" s="7"/>
    </row>
    <row r="8614" spans="47:48" x14ac:dyDescent="0.25">
      <c r="AU8614" s="7"/>
      <c r="AV8614" s="7"/>
    </row>
    <row r="8615" spans="47:48" x14ac:dyDescent="0.25">
      <c r="AU8615" s="7"/>
      <c r="AV8615" s="7"/>
    </row>
    <row r="8616" spans="47:48" x14ac:dyDescent="0.25">
      <c r="AU8616" s="7"/>
      <c r="AV8616" s="7"/>
    </row>
    <row r="8617" spans="47:48" x14ac:dyDescent="0.25">
      <c r="AU8617" s="7"/>
      <c r="AV8617" s="7"/>
    </row>
    <row r="8618" spans="47:48" x14ac:dyDescent="0.25">
      <c r="AU8618" s="7"/>
      <c r="AV8618" s="7"/>
    </row>
    <row r="8619" spans="47:48" x14ac:dyDescent="0.25">
      <c r="AU8619" s="7"/>
      <c r="AV8619" s="7"/>
    </row>
    <row r="8620" spans="47:48" x14ac:dyDescent="0.25">
      <c r="AU8620" s="7"/>
      <c r="AV8620" s="7"/>
    </row>
    <row r="8621" spans="47:48" x14ac:dyDescent="0.25">
      <c r="AU8621" s="7"/>
      <c r="AV8621" s="7"/>
    </row>
    <row r="8622" spans="47:48" x14ac:dyDescent="0.25">
      <c r="AU8622" s="7"/>
      <c r="AV8622" s="7"/>
    </row>
    <row r="8623" spans="47:48" x14ac:dyDescent="0.25">
      <c r="AU8623" s="7"/>
      <c r="AV8623" s="7"/>
    </row>
    <row r="8624" spans="47:48" x14ac:dyDescent="0.25">
      <c r="AU8624" s="7"/>
      <c r="AV8624" s="7"/>
    </row>
    <row r="8625" spans="47:48" x14ac:dyDescent="0.25">
      <c r="AU8625" s="7"/>
      <c r="AV8625" s="7"/>
    </row>
    <row r="8626" spans="47:48" x14ac:dyDescent="0.25">
      <c r="AU8626" s="7"/>
      <c r="AV8626" s="7"/>
    </row>
    <row r="8627" spans="47:48" x14ac:dyDescent="0.25">
      <c r="AU8627" s="7"/>
      <c r="AV8627" s="7"/>
    </row>
    <row r="8628" spans="47:48" x14ac:dyDescent="0.25">
      <c r="AU8628" s="7"/>
      <c r="AV8628" s="7"/>
    </row>
    <row r="8629" spans="47:48" x14ac:dyDescent="0.25">
      <c r="AU8629" s="7"/>
      <c r="AV8629" s="7"/>
    </row>
    <row r="8630" spans="47:48" x14ac:dyDescent="0.25">
      <c r="AU8630" s="7"/>
      <c r="AV8630" s="7"/>
    </row>
    <row r="8631" spans="47:48" x14ac:dyDescent="0.25">
      <c r="AU8631" s="7"/>
      <c r="AV8631" s="7"/>
    </row>
    <row r="8632" spans="47:48" x14ac:dyDescent="0.25">
      <c r="AU8632" s="7"/>
      <c r="AV8632" s="7"/>
    </row>
    <row r="8633" spans="47:48" x14ac:dyDescent="0.25">
      <c r="AU8633" s="7"/>
      <c r="AV8633" s="7"/>
    </row>
    <row r="8634" spans="47:48" x14ac:dyDescent="0.25">
      <c r="AU8634" s="7"/>
      <c r="AV8634" s="7"/>
    </row>
    <row r="8635" spans="47:48" x14ac:dyDescent="0.25">
      <c r="AU8635" s="7"/>
      <c r="AV8635" s="7"/>
    </row>
    <row r="8636" spans="47:48" x14ac:dyDescent="0.25">
      <c r="AU8636" s="7"/>
      <c r="AV8636" s="7"/>
    </row>
    <row r="8637" spans="47:48" x14ac:dyDescent="0.25">
      <c r="AU8637" s="7"/>
      <c r="AV8637" s="7"/>
    </row>
    <row r="8638" spans="47:48" x14ac:dyDescent="0.25">
      <c r="AU8638" s="7"/>
      <c r="AV8638" s="7"/>
    </row>
    <row r="8639" spans="47:48" x14ac:dyDescent="0.25">
      <c r="AU8639" s="7"/>
      <c r="AV8639" s="7"/>
    </row>
    <row r="8640" spans="47:48" x14ac:dyDescent="0.25">
      <c r="AU8640" s="7"/>
      <c r="AV8640" s="7"/>
    </row>
    <row r="8641" spans="47:48" x14ac:dyDescent="0.25">
      <c r="AU8641" s="7"/>
      <c r="AV8641" s="7"/>
    </row>
    <row r="8642" spans="47:48" x14ac:dyDescent="0.25">
      <c r="AU8642" s="7"/>
      <c r="AV8642" s="7"/>
    </row>
    <row r="8643" spans="47:48" x14ac:dyDescent="0.25">
      <c r="AU8643" s="7"/>
      <c r="AV8643" s="7"/>
    </row>
    <row r="8644" spans="47:48" x14ac:dyDescent="0.25">
      <c r="AU8644" s="7"/>
      <c r="AV8644" s="7"/>
    </row>
    <row r="8645" spans="47:48" x14ac:dyDescent="0.25">
      <c r="AU8645" s="7"/>
      <c r="AV8645" s="7"/>
    </row>
    <row r="8646" spans="47:48" x14ac:dyDescent="0.25">
      <c r="AU8646" s="7"/>
      <c r="AV8646" s="7"/>
    </row>
    <row r="8647" spans="47:48" x14ac:dyDescent="0.25">
      <c r="AU8647" s="7"/>
      <c r="AV8647" s="7"/>
    </row>
    <row r="8648" spans="47:48" x14ac:dyDescent="0.25">
      <c r="AU8648" s="7"/>
      <c r="AV8648" s="7"/>
    </row>
    <row r="8649" spans="47:48" x14ac:dyDescent="0.25">
      <c r="AU8649" s="7"/>
      <c r="AV8649" s="7"/>
    </row>
    <row r="8650" spans="47:48" x14ac:dyDescent="0.25">
      <c r="AU8650" s="7"/>
      <c r="AV8650" s="7"/>
    </row>
    <row r="8651" spans="47:48" x14ac:dyDescent="0.25">
      <c r="AU8651" s="7"/>
      <c r="AV8651" s="7"/>
    </row>
    <row r="8652" spans="47:48" x14ac:dyDescent="0.25">
      <c r="AU8652" s="7"/>
      <c r="AV8652" s="7"/>
    </row>
    <row r="8653" spans="47:48" x14ac:dyDescent="0.25">
      <c r="AU8653" s="7"/>
      <c r="AV8653" s="7"/>
    </row>
    <row r="8654" spans="47:48" x14ac:dyDescent="0.25">
      <c r="AU8654" s="7"/>
      <c r="AV8654" s="7"/>
    </row>
    <row r="8655" spans="47:48" x14ac:dyDescent="0.25">
      <c r="AU8655" s="7"/>
      <c r="AV8655" s="7"/>
    </row>
    <row r="8656" spans="47:48" x14ac:dyDescent="0.25">
      <c r="AU8656" s="7"/>
      <c r="AV8656" s="7"/>
    </row>
    <row r="8657" spans="47:48" x14ac:dyDescent="0.25">
      <c r="AU8657" s="7"/>
      <c r="AV8657" s="7"/>
    </row>
    <row r="8658" spans="47:48" x14ac:dyDescent="0.25">
      <c r="AU8658" s="7"/>
      <c r="AV8658" s="7"/>
    </row>
    <row r="8659" spans="47:48" x14ac:dyDescent="0.25">
      <c r="AU8659" s="7"/>
      <c r="AV8659" s="7"/>
    </row>
    <row r="8660" spans="47:48" x14ac:dyDescent="0.25">
      <c r="AU8660" s="7"/>
      <c r="AV8660" s="7"/>
    </row>
    <row r="8661" spans="47:48" x14ac:dyDescent="0.25">
      <c r="AU8661" s="7"/>
      <c r="AV8661" s="7"/>
    </row>
    <row r="8662" spans="47:48" x14ac:dyDescent="0.25">
      <c r="AU8662" s="7"/>
      <c r="AV8662" s="7"/>
    </row>
    <row r="8663" spans="47:48" x14ac:dyDescent="0.25">
      <c r="AU8663" s="7"/>
      <c r="AV8663" s="7"/>
    </row>
    <row r="8664" spans="47:48" x14ac:dyDescent="0.25">
      <c r="AU8664" s="7"/>
      <c r="AV8664" s="7"/>
    </row>
    <row r="8665" spans="47:48" x14ac:dyDescent="0.25">
      <c r="AU8665" s="7"/>
      <c r="AV8665" s="7"/>
    </row>
    <row r="8666" spans="47:48" x14ac:dyDescent="0.25">
      <c r="AU8666" s="7"/>
      <c r="AV8666" s="7"/>
    </row>
    <row r="8667" spans="47:48" x14ac:dyDescent="0.25">
      <c r="AU8667" s="7"/>
      <c r="AV8667" s="7"/>
    </row>
    <row r="8668" spans="47:48" x14ac:dyDescent="0.25">
      <c r="AU8668" s="7"/>
      <c r="AV8668" s="7"/>
    </row>
    <row r="8669" spans="47:48" x14ac:dyDescent="0.25">
      <c r="AU8669" s="7"/>
      <c r="AV8669" s="7"/>
    </row>
    <row r="8670" spans="47:48" x14ac:dyDescent="0.25">
      <c r="AU8670" s="7"/>
      <c r="AV8670" s="7"/>
    </row>
    <row r="8671" spans="47:48" x14ac:dyDescent="0.25">
      <c r="AU8671" s="7"/>
      <c r="AV8671" s="7"/>
    </row>
    <row r="8672" spans="47:48" x14ac:dyDescent="0.25">
      <c r="AU8672" s="7"/>
      <c r="AV8672" s="7"/>
    </row>
    <row r="8673" spans="47:48" x14ac:dyDescent="0.25">
      <c r="AU8673" s="7"/>
      <c r="AV8673" s="7"/>
    </row>
    <row r="8674" spans="47:48" x14ac:dyDescent="0.25">
      <c r="AU8674" s="7"/>
      <c r="AV8674" s="7"/>
    </row>
    <row r="8675" spans="47:48" x14ac:dyDescent="0.25">
      <c r="AU8675" s="7"/>
      <c r="AV8675" s="7"/>
    </row>
    <row r="8676" spans="47:48" x14ac:dyDescent="0.25">
      <c r="AU8676" s="7"/>
      <c r="AV8676" s="7"/>
    </row>
    <row r="8677" spans="47:48" x14ac:dyDescent="0.25">
      <c r="AU8677" s="7"/>
      <c r="AV8677" s="7"/>
    </row>
    <row r="8678" spans="47:48" x14ac:dyDescent="0.25">
      <c r="AU8678" s="7"/>
      <c r="AV8678" s="7"/>
    </row>
    <row r="8679" spans="47:48" x14ac:dyDescent="0.25">
      <c r="AU8679" s="7"/>
      <c r="AV8679" s="7"/>
    </row>
    <row r="8680" spans="47:48" x14ac:dyDescent="0.25">
      <c r="AU8680" s="7"/>
      <c r="AV8680" s="7"/>
    </row>
    <row r="8681" spans="47:48" x14ac:dyDescent="0.25">
      <c r="AU8681" s="7"/>
      <c r="AV8681" s="7"/>
    </row>
    <row r="8682" spans="47:48" x14ac:dyDescent="0.25">
      <c r="AU8682" s="7"/>
      <c r="AV8682" s="7"/>
    </row>
    <row r="8683" spans="47:48" x14ac:dyDescent="0.25">
      <c r="AU8683" s="7"/>
      <c r="AV8683" s="7"/>
    </row>
    <row r="8684" spans="47:48" x14ac:dyDescent="0.25">
      <c r="AU8684" s="7"/>
      <c r="AV8684" s="7"/>
    </row>
    <row r="8685" spans="47:48" x14ac:dyDescent="0.25">
      <c r="AU8685" s="7"/>
      <c r="AV8685" s="7"/>
    </row>
    <row r="8686" spans="47:48" x14ac:dyDescent="0.25">
      <c r="AU8686" s="7"/>
      <c r="AV8686" s="7"/>
    </row>
    <row r="8687" spans="47:48" x14ac:dyDescent="0.25">
      <c r="AU8687" s="7"/>
      <c r="AV8687" s="7"/>
    </row>
    <row r="8688" spans="47:48" x14ac:dyDescent="0.25">
      <c r="AU8688" s="7"/>
      <c r="AV8688" s="7"/>
    </row>
    <row r="8689" spans="47:48" x14ac:dyDescent="0.25">
      <c r="AU8689" s="7"/>
      <c r="AV8689" s="7"/>
    </row>
    <row r="8690" spans="47:48" x14ac:dyDescent="0.25">
      <c r="AU8690" s="7"/>
      <c r="AV8690" s="7"/>
    </row>
    <row r="8691" spans="47:48" x14ac:dyDescent="0.25">
      <c r="AU8691" s="7"/>
      <c r="AV8691" s="7"/>
    </row>
    <row r="8692" spans="47:48" x14ac:dyDescent="0.25">
      <c r="AU8692" s="7"/>
      <c r="AV8692" s="7"/>
    </row>
    <row r="8693" spans="47:48" x14ac:dyDescent="0.25">
      <c r="AU8693" s="7"/>
      <c r="AV8693" s="7"/>
    </row>
    <row r="8694" spans="47:48" x14ac:dyDescent="0.25">
      <c r="AU8694" s="7"/>
      <c r="AV8694" s="7"/>
    </row>
    <row r="8695" spans="47:48" x14ac:dyDescent="0.25">
      <c r="AU8695" s="7"/>
      <c r="AV8695" s="7"/>
    </row>
    <row r="8696" spans="47:48" x14ac:dyDescent="0.25">
      <c r="AU8696" s="7"/>
      <c r="AV8696" s="7"/>
    </row>
    <row r="8697" spans="47:48" x14ac:dyDescent="0.25">
      <c r="AU8697" s="7"/>
      <c r="AV8697" s="7"/>
    </row>
    <row r="8698" spans="47:48" x14ac:dyDescent="0.25">
      <c r="AU8698" s="7"/>
      <c r="AV8698" s="7"/>
    </row>
    <row r="8699" spans="47:48" x14ac:dyDescent="0.25">
      <c r="AU8699" s="7"/>
      <c r="AV8699" s="7"/>
    </row>
    <row r="8700" spans="47:48" x14ac:dyDescent="0.25">
      <c r="AU8700" s="7"/>
      <c r="AV8700" s="7"/>
    </row>
    <row r="8701" spans="47:48" x14ac:dyDescent="0.25">
      <c r="AU8701" s="7"/>
      <c r="AV8701" s="7"/>
    </row>
    <row r="8702" spans="47:48" x14ac:dyDescent="0.25">
      <c r="AU8702" s="7"/>
      <c r="AV8702" s="7"/>
    </row>
    <row r="8703" spans="47:48" x14ac:dyDescent="0.25">
      <c r="AU8703" s="7"/>
      <c r="AV8703" s="7"/>
    </row>
    <row r="8704" spans="47:48" x14ac:dyDescent="0.25">
      <c r="AU8704" s="7"/>
      <c r="AV8704" s="7"/>
    </row>
    <row r="8705" spans="47:48" x14ac:dyDescent="0.25">
      <c r="AU8705" s="7"/>
      <c r="AV8705" s="7"/>
    </row>
    <row r="8706" spans="47:48" x14ac:dyDescent="0.25">
      <c r="AU8706" s="7"/>
      <c r="AV8706" s="7"/>
    </row>
    <row r="8707" spans="47:48" x14ac:dyDescent="0.25">
      <c r="AU8707" s="7"/>
      <c r="AV8707" s="7"/>
    </row>
    <row r="8708" spans="47:48" x14ac:dyDescent="0.25">
      <c r="AU8708" s="7"/>
      <c r="AV8708" s="7"/>
    </row>
    <row r="8709" spans="47:48" x14ac:dyDescent="0.25">
      <c r="AU8709" s="7"/>
      <c r="AV8709" s="7"/>
    </row>
    <row r="8710" spans="47:48" x14ac:dyDescent="0.25">
      <c r="AU8710" s="7"/>
      <c r="AV8710" s="7"/>
    </row>
    <row r="8711" spans="47:48" x14ac:dyDescent="0.25">
      <c r="AU8711" s="7"/>
      <c r="AV8711" s="7"/>
    </row>
    <row r="8712" spans="47:48" x14ac:dyDescent="0.25">
      <c r="AU8712" s="7"/>
      <c r="AV8712" s="7"/>
    </row>
    <row r="8713" spans="47:48" x14ac:dyDescent="0.25">
      <c r="AU8713" s="7"/>
      <c r="AV8713" s="7"/>
    </row>
    <row r="8714" spans="47:48" x14ac:dyDescent="0.25">
      <c r="AU8714" s="7"/>
      <c r="AV8714" s="7"/>
    </row>
    <row r="8715" spans="47:48" x14ac:dyDescent="0.25">
      <c r="AU8715" s="7"/>
      <c r="AV8715" s="7"/>
    </row>
    <row r="8716" spans="47:48" x14ac:dyDescent="0.25">
      <c r="AU8716" s="7"/>
      <c r="AV8716" s="7"/>
    </row>
    <row r="8717" spans="47:48" x14ac:dyDescent="0.25">
      <c r="AU8717" s="7"/>
      <c r="AV8717" s="7"/>
    </row>
    <row r="8718" spans="47:48" x14ac:dyDescent="0.25">
      <c r="AU8718" s="7"/>
      <c r="AV8718" s="7"/>
    </row>
    <row r="8719" spans="47:48" x14ac:dyDescent="0.25">
      <c r="AU8719" s="7"/>
      <c r="AV8719" s="7"/>
    </row>
    <row r="8720" spans="47:48" x14ac:dyDescent="0.25">
      <c r="AU8720" s="7"/>
      <c r="AV8720" s="7"/>
    </row>
    <row r="8721" spans="47:48" x14ac:dyDescent="0.25">
      <c r="AU8721" s="7"/>
      <c r="AV8721" s="7"/>
    </row>
    <row r="8722" spans="47:48" x14ac:dyDescent="0.25">
      <c r="AU8722" s="7"/>
      <c r="AV8722" s="7"/>
    </row>
    <row r="8723" spans="47:48" x14ac:dyDescent="0.25">
      <c r="AU8723" s="7"/>
      <c r="AV8723" s="7"/>
    </row>
    <row r="8724" spans="47:48" x14ac:dyDescent="0.25">
      <c r="AU8724" s="7"/>
      <c r="AV8724" s="7"/>
    </row>
    <row r="8725" spans="47:48" x14ac:dyDescent="0.25">
      <c r="AU8725" s="7"/>
      <c r="AV8725" s="7"/>
    </row>
    <row r="8726" spans="47:48" x14ac:dyDescent="0.25">
      <c r="AU8726" s="7"/>
      <c r="AV8726" s="7"/>
    </row>
    <row r="8727" spans="47:48" x14ac:dyDescent="0.25">
      <c r="AU8727" s="7"/>
      <c r="AV8727" s="7"/>
    </row>
    <row r="8728" spans="47:48" x14ac:dyDescent="0.25">
      <c r="AU8728" s="7"/>
      <c r="AV8728" s="7"/>
    </row>
    <row r="8729" spans="47:48" x14ac:dyDescent="0.25">
      <c r="AU8729" s="7"/>
      <c r="AV8729" s="7"/>
    </row>
    <row r="8730" spans="47:48" x14ac:dyDescent="0.25">
      <c r="AU8730" s="7"/>
      <c r="AV8730" s="7"/>
    </row>
    <row r="8731" spans="47:48" x14ac:dyDescent="0.25">
      <c r="AU8731" s="7"/>
      <c r="AV8731" s="7"/>
    </row>
    <row r="8732" spans="47:48" x14ac:dyDescent="0.25">
      <c r="AU8732" s="7"/>
      <c r="AV8732" s="7"/>
    </row>
    <row r="8733" spans="47:48" x14ac:dyDescent="0.25">
      <c r="AU8733" s="7"/>
      <c r="AV8733" s="7"/>
    </row>
    <row r="8734" spans="47:48" x14ac:dyDescent="0.25">
      <c r="AU8734" s="7"/>
      <c r="AV8734" s="7"/>
    </row>
    <row r="8735" spans="47:48" x14ac:dyDescent="0.25">
      <c r="AU8735" s="7"/>
      <c r="AV8735" s="7"/>
    </row>
    <row r="8736" spans="47:48" x14ac:dyDescent="0.25">
      <c r="AU8736" s="7"/>
      <c r="AV8736" s="7"/>
    </row>
    <row r="8737" spans="47:48" x14ac:dyDescent="0.25">
      <c r="AU8737" s="7"/>
      <c r="AV8737" s="7"/>
    </row>
    <row r="8738" spans="47:48" x14ac:dyDescent="0.25">
      <c r="AU8738" s="7"/>
      <c r="AV8738" s="7"/>
    </row>
    <row r="8739" spans="47:48" x14ac:dyDescent="0.25">
      <c r="AU8739" s="7"/>
      <c r="AV8739" s="7"/>
    </row>
    <row r="8740" spans="47:48" x14ac:dyDescent="0.25">
      <c r="AU8740" s="7"/>
      <c r="AV8740" s="7"/>
    </row>
    <row r="8741" spans="47:48" x14ac:dyDescent="0.25">
      <c r="AU8741" s="7"/>
      <c r="AV8741" s="7"/>
    </row>
    <row r="8742" spans="47:48" x14ac:dyDescent="0.25">
      <c r="AU8742" s="7"/>
      <c r="AV8742" s="7"/>
    </row>
    <row r="8743" spans="47:48" x14ac:dyDescent="0.25">
      <c r="AU8743" s="7"/>
      <c r="AV8743" s="7"/>
    </row>
    <row r="8744" spans="47:48" x14ac:dyDescent="0.25">
      <c r="AU8744" s="7"/>
      <c r="AV8744" s="7"/>
    </row>
    <row r="8745" spans="47:48" x14ac:dyDescent="0.25">
      <c r="AU8745" s="7"/>
      <c r="AV8745" s="7"/>
    </row>
    <row r="8746" spans="47:48" x14ac:dyDescent="0.25">
      <c r="AU8746" s="7"/>
      <c r="AV8746" s="7"/>
    </row>
    <row r="8747" spans="47:48" x14ac:dyDescent="0.25">
      <c r="AU8747" s="7"/>
      <c r="AV8747" s="7"/>
    </row>
    <row r="8748" spans="47:48" x14ac:dyDescent="0.25">
      <c r="AU8748" s="7"/>
      <c r="AV8748" s="7"/>
    </row>
    <row r="8749" spans="47:48" x14ac:dyDescent="0.25">
      <c r="AU8749" s="7"/>
      <c r="AV8749" s="7"/>
    </row>
    <row r="8750" spans="47:48" x14ac:dyDescent="0.25">
      <c r="AU8750" s="7"/>
      <c r="AV8750" s="7"/>
    </row>
    <row r="8751" spans="47:48" x14ac:dyDescent="0.25">
      <c r="AU8751" s="7"/>
      <c r="AV8751" s="7"/>
    </row>
    <row r="8752" spans="47:48" x14ac:dyDescent="0.25">
      <c r="AU8752" s="7"/>
      <c r="AV8752" s="7"/>
    </row>
    <row r="8753" spans="47:48" x14ac:dyDescent="0.25">
      <c r="AU8753" s="7"/>
      <c r="AV8753" s="7"/>
    </row>
    <row r="8754" spans="47:48" x14ac:dyDescent="0.25">
      <c r="AU8754" s="7"/>
      <c r="AV8754" s="7"/>
    </row>
    <row r="8755" spans="47:48" x14ac:dyDescent="0.25">
      <c r="AU8755" s="7"/>
      <c r="AV8755" s="7"/>
    </row>
    <row r="8756" spans="47:48" x14ac:dyDescent="0.25">
      <c r="AU8756" s="7"/>
      <c r="AV8756" s="7"/>
    </row>
    <row r="8757" spans="47:48" x14ac:dyDescent="0.25">
      <c r="AU8757" s="7"/>
      <c r="AV8757" s="7"/>
    </row>
    <row r="8758" spans="47:48" x14ac:dyDescent="0.25">
      <c r="AU8758" s="7"/>
      <c r="AV8758" s="7"/>
    </row>
    <row r="8759" spans="47:48" x14ac:dyDescent="0.25">
      <c r="AU8759" s="7"/>
      <c r="AV8759" s="7"/>
    </row>
    <row r="8760" spans="47:48" x14ac:dyDescent="0.25">
      <c r="AU8760" s="7"/>
      <c r="AV8760" s="7"/>
    </row>
    <row r="8761" spans="47:48" x14ac:dyDescent="0.25">
      <c r="AU8761" s="7"/>
      <c r="AV8761" s="7"/>
    </row>
    <row r="8762" spans="47:48" x14ac:dyDescent="0.25">
      <c r="AU8762" s="7"/>
      <c r="AV8762" s="7"/>
    </row>
    <row r="8763" spans="47:48" x14ac:dyDescent="0.25">
      <c r="AU8763" s="7"/>
      <c r="AV8763" s="7"/>
    </row>
    <row r="8764" spans="47:48" x14ac:dyDescent="0.25">
      <c r="AU8764" s="7"/>
      <c r="AV8764" s="7"/>
    </row>
    <row r="8765" spans="47:48" x14ac:dyDescent="0.25">
      <c r="AU8765" s="7"/>
      <c r="AV8765" s="7"/>
    </row>
    <row r="8766" spans="47:48" x14ac:dyDescent="0.25">
      <c r="AU8766" s="7"/>
      <c r="AV8766" s="7"/>
    </row>
    <row r="8767" spans="47:48" x14ac:dyDescent="0.25">
      <c r="AU8767" s="7"/>
      <c r="AV8767" s="7"/>
    </row>
    <row r="8768" spans="47:48" x14ac:dyDescent="0.25">
      <c r="AU8768" s="7"/>
      <c r="AV8768" s="7"/>
    </row>
    <row r="8769" spans="47:48" x14ac:dyDescent="0.25">
      <c r="AU8769" s="7"/>
      <c r="AV8769" s="7"/>
    </row>
    <row r="8770" spans="47:48" x14ac:dyDescent="0.25">
      <c r="AU8770" s="7"/>
      <c r="AV8770" s="7"/>
    </row>
    <row r="8771" spans="47:48" x14ac:dyDescent="0.25">
      <c r="AU8771" s="7"/>
      <c r="AV8771" s="7"/>
    </row>
    <row r="8772" spans="47:48" x14ac:dyDescent="0.25">
      <c r="AU8772" s="7"/>
      <c r="AV8772" s="7"/>
    </row>
    <row r="8773" spans="47:48" x14ac:dyDescent="0.25">
      <c r="AU8773" s="7"/>
      <c r="AV8773" s="7"/>
    </row>
    <row r="8774" spans="47:48" x14ac:dyDescent="0.25">
      <c r="AU8774" s="7"/>
      <c r="AV8774" s="7"/>
    </row>
    <row r="8775" spans="47:48" x14ac:dyDescent="0.25">
      <c r="AU8775" s="7"/>
      <c r="AV8775" s="7"/>
    </row>
    <row r="8776" spans="47:48" x14ac:dyDescent="0.25">
      <c r="AU8776" s="7"/>
      <c r="AV8776" s="7"/>
    </row>
    <row r="8777" spans="47:48" x14ac:dyDescent="0.25">
      <c r="AU8777" s="7"/>
      <c r="AV8777" s="7"/>
    </row>
    <row r="8778" spans="47:48" x14ac:dyDescent="0.25">
      <c r="AU8778" s="7"/>
      <c r="AV8778" s="7"/>
    </row>
    <row r="8779" spans="47:48" x14ac:dyDescent="0.25">
      <c r="AU8779" s="7"/>
      <c r="AV8779" s="7"/>
    </row>
    <row r="8780" spans="47:48" x14ac:dyDescent="0.25">
      <c r="AU8780" s="7"/>
      <c r="AV8780" s="7"/>
    </row>
    <row r="8781" spans="47:48" x14ac:dyDescent="0.25">
      <c r="AU8781" s="7"/>
      <c r="AV8781" s="7"/>
    </row>
    <row r="8782" spans="47:48" x14ac:dyDescent="0.25">
      <c r="AU8782" s="7"/>
      <c r="AV8782" s="7"/>
    </row>
    <row r="8783" spans="47:48" x14ac:dyDescent="0.25">
      <c r="AU8783" s="7"/>
      <c r="AV8783" s="7"/>
    </row>
    <row r="8784" spans="47:48" x14ac:dyDescent="0.25">
      <c r="AU8784" s="7"/>
      <c r="AV8784" s="7"/>
    </row>
    <row r="8785" spans="47:48" x14ac:dyDescent="0.25">
      <c r="AU8785" s="7"/>
      <c r="AV8785" s="7"/>
    </row>
    <row r="8786" spans="47:48" x14ac:dyDescent="0.25">
      <c r="AU8786" s="7"/>
      <c r="AV8786" s="7"/>
    </row>
    <row r="8787" spans="47:48" x14ac:dyDescent="0.25">
      <c r="AU8787" s="7"/>
      <c r="AV8787" s="7"/>
    </row>
    <row r="8788" spans="47:48" x14ac:dyDescent="0.25">
      <c r="AU8788" s="7"/>
      <c r="AV8788" s="7"/>
    </row>
    <row r="8789" spans="47:48" x14ac:dyDescent="0.25">
      <c r="AU8789" s="7"/>
      <c r="AV8789" s="7"/>
    </row>
    <row r="8790" spans="47:48" x14ac:dyDescent="0.25">
      <c r="AU8790" s="7"/>
      <c r="AV8790" s="7"/>
    </row>
    <row r="8791" spans="47:48" x14ac:dyDescent="0.25">
      <c r="AU8791" s="7"/>
      <c r="AV8791" s="7"/>
    </row>
    <row r="8792" spans="47:48" x14ac:dyDescent="0.25">
      <c r="AU8792" s="7"/>
      <c r="AV8792" s="7"/>
    </row>
    <row r="8793" spans="47:48" x14ac:dyDescent="0.25">
      <c r="AU8793" s="7"/>
      <c r="AV8793" s="7"/>
    </row>
    <row r="8794" spans="47:48" x14ac:dyDescent="0.25">
      <c r="AU8794" s="7"/>
      <c r="AV8794" s="7"/>
    </row>
    <row r="8795" spans="47:48" x14ac:dyDescent="0.25">
      <c r="AU8795" s="7"/>
      <c r="AV8795" s="7"/>
    </row>
    <row r="8796" spans="47:48" x14ac:dyDescent="0.25">
      <c r="AU8796" s="7"/>
      <c r="AV8796" s="7"/>
    </row>
    <row r="8797" spans="47:48" x14ac:dyDescent="0.25">
      <c r="AU8797" s="7"/>
      <c r="AV8797" s="7"/>
    </row>
    <row r="8798" spans="47:48" x14ac:dyDescent="0.25">
      <c r="AU8798" s="7"/>
      <c r="AV8798" s="7"/>
    </row>
    <row r="8799" spans="47:48" x14ac:dyDescent="0.25">
      <c r="AU8799" s="7"/>
      <c r="AV8799" s="7"/>
    </row>
    <row r="8800" spans="47:48" x14ac:dyDescent="0.25">
      <c r="AU8800" s="7"/>
      <c r="AV8800" s="7"/>
    </row>
    <row r="8801" spans="47:48" x14ac:dyDescent="0.25">
      <c r="AU8801" s="7"/>
      <c r="AV8801" s="7"/>
    </row>
    <row r="8802" spans="47:48" x14ac:dyDescent="0.25">
      <c r="AU8802" s="7"/>
      <c r="AV8802" s="7"/>
    </row>
    <row r="8803" spans="47:48" x14ac:dyDescent="0.25">
      <c r="AU8803" s="7"/>
      <c r="AV8803" s="7"/>
    </row>
    <row r="8804" spans="47:48" x14ac:dyDescent="0.25">
      <c r="AU8804" s="7"/>
      <c r="AV8804" s="7"/>
    </row>
    <row r="8805" spans="47:48" x14ac:dyDescent="0.25">
      <c r="AU8805" s="7"/>
      <c r="AV8805" s="7"/>
    </row>
    <row r="8806" spans="47:48" x14ac:dyDescent="0.25">
      <c r="AU8806" s="7"/>
      <c r="AV8806" s="7"/>
    </row>
    <row r="8807" spans="47:48" x14ac:dyDescent="0.25">
      <c r="AU8807" s="7"/>
      <c r="AV8807" s="7"/>
    </row>
    <row r="8808" spans="47:48" x14ac:dyDescent="0.25">
      <c r="AU8808" s="7"/>
      <c r="AV8808" s="7"/>
    </row>
    <row r="8809" spans="47:48" x14ac:dyDescent="0.25">
      <c r="AU8809" s="7"/>
      <c r="AV8809" s="7"/>
    </row>
    <row r="8810" spans="47:48" x14ac:dyDescent="0.25">
      <c r="AU8810" s="7"/>
      <c r="AV8810" s="7"/>
    </row>
    <row r="8811" spans="47:48" x14ac:dyDescent="0.25">
      <c r="AU8811" s="7"/>
      <c r="AV8811" s="7"/>
    </row>
    <row r="8812" spans="47:48" x14ac:dyDescent="0.25">
      <c r="AU8812" s="7"/>
      <c r="AV8812" s="7"/>
    </row>
    <row r="8813" spans="47:48" x14ac:dyDescent="0.25">
      <c r="AU8813" s="7"/>
      <c r="AV8813" s="7"/>
    </row>
    <row r="8814" spans="47:48" x14ac:dyDescent="0.25">
      <c r="AU8814" s="7"/>
      <c r="AV8814" s="7"/>
    </row>
    <row r="8815" spans="47:48" x14ac:dyDescent="0.25">
      <c r="AU8815" s="7"/>
      <c r="AV8815" s="7"/>
    </row>
    <row r="8816" spans="47:48" x14ac:dyDescent="0.25">
      <c r="AU8816" s="7"/>
      <c r="AV8816" s="7"/>
    </row>
    <row r="8817" spans="47:48" x14ac:dyDescent="0.25">
      <c r="AU8817" s="7"/>
      <c r="AV8817" s="7"/>
    </row>
    <row r="8818" spans="47:48" x14ac:dyDescent="0.25">
      <c r="AU8818" s="7"/>
      <c r="AV8818" s="7"/>
    </row>
    <row r="8819" spans="47:48" x14ac:dyDescent="0.25">
      <c r="AU8819" s="7"/>
      <c r="AV8819" s="7"/>
    </row>
    <row r="8820" spans="47:48" x14ac:dyDescent="0.25">
      <c r="AU8820" s="7"/>
      <c r="AV8820" s="7"/>
    </row>
    <row r="8821" spans="47:48" x14ac:dyDescent="0.25">
      <c r="AU8821" s="7"/>
      <c r="AV8821" s="7"/>
    </row>
    <row r="8822" spans="47:48" x14ac:dyDescent="0.25">
      <c r="AU8822" s="7"/>
      <c r="AV8822" s="7"/>
    </row>
    <row r="8823" spans="47:48" x14ac:dyDescent="0.25">
      <c r="AU8823" s="7"/>
      <c r="AV8823" s="7"/>
    </row>
    <row r="8824" spans="47:48" x14ac:dyDescent="0.25">
      <c r="AU8824" s="7"/>
      <c r="AV8824" s="7"/>
    </row>
    <row r="8825" spans="47:48" x14ac:dyDescent="0.25">
      <c r="AU8825" s="7"/>
      <c r="AV8825" s="7"/>
    </row>
    <row r="8826" spans="47:48" x14ac:dyDescent="0.25">
      <c r="AU8826" s="7"/>
      <c r="AV8826" s="7"/>
    </row>
    <row r="8827" spans="47:48" x14ac:dyDescent="0.25">
      <c r="AU8827" s="7"/>
      <c r="AV8827" s="7"/>
    </row>
    <row r="8828" spans="47:48" x14ac:dyDescent="0.25">
      <c r="AU8828" s="7"/>
      <c r="AV8828" s="7"/>
    </row>
    <row r="8829" spans="47:48" x14ac:dyDescent="0.25">
      <c r="AU8829" s="7"/>
      <c r="AV8829" s="7"/>
    </row>
    <row r="8830" spans="47:48" x14ac:dyDescent="0.25">
      <c r="AU8830" s="7"/>
      <c r="AV8830" s="7"/>
    </row>
    <row r="8831" spans="47:48" x14ac:dyDescent="0.25">
      <c r="AU8831" s="7"/>
      <c r="AV8831" s="7"/>
    </row>
    <row r="8832" spans="47:48" x14ac:dyDescent="0.25">
      <c r="AU8832" s="7"/>
      <c r="AV8832" s="7"/>
    </row>
    <row r="8833" spans="47:48" x14ac:dyDescent="0.25">
      <c r="AU8833" s="7"/>
      <c r="AV8833" s="7"/>
    </row>
    <row r="8834" spans="47:48" x14ac:dyDescent="0.25">
      <c r="AU8834" s="7"/>
      <c r="AV8834" s="7"/>
    </row>
    <row r="8835" spans="47:48" x14ac:dyDescent="0.25">
      <c r="AU8835" s="7"/>
      <c r="AV8835" s="7"/>
    </row>
    <row r="8836" spans="47:48" x14ac:dyDescent="0.25">
      <c r="AU8836" s="7"/>
      <c r="AV8836" s="7"/>
    </row>
    <row r="8837" spans="47:48" x14ac:dyDescent="0.25">
      <c r="AU8837" s="7"/>
      <c r="AV8837" s="7"/>
    </row>
    <row r="8838" spans="47:48" x14ac:dyDescent="0.25">
      <c r="AU8838" s="7"/>
      <c r="AV8838" s="7"/>
    </row>
    <row r="8839" spans="47:48" x14ac:dyDescent="0.25">
      <c r="AU8839" s="7"/>
      <c r="AV8839" s="7"/>
    </row>
    <row r="8840" spans="47:48" x14ac:dyDescent="0.25">
      <c r="AU8840" s="7"/>
      <c r="AV8840" s="7"/>
    </row>
    <row r="8841" spans="47:48" x14ac:dyDescent="0.25">
      <c r="AU8841" s="7"/>
      <c r="AV8841" s="7"/>
    </row>
    <row r="8842" spans="47:48" x14ac:dyDescent="0.25">
      <c r="AU8842" s="7"/>
      <c r="AV8842" s="7"/>
    </row>
    <row r="8843" spans="47:48" x14ac:dyDescent="0.25">
      <c r="AU8843" s="7"/>
      <c r="AV8843" s="7"/>
    </row>
    <row r="8844" spans="47:48" x14ac:dyDescent="0.25">
      <c r="AU8844" s="7"/>
      <c r="AV8844" s="7"/>
    </row>
    <row r="8845" spans="47:48" x14ac:dyDescent="0.25">
      <c r="AU8845" s="7"/>
      <c r="AV8845" s="7"/>
    </row>
    <row r="8846" spans="47:48" x14ac:dyDescent="0.25">
      <c r="AU8846" s="7"/>
      <c r="AV8846" s="7"/>
    </row>
    <row r="8847" spans="47:48" x14ac:dyDescent="0.25">
      <c r="AU8847" s="7"/>
      <c r="AV8847" s="7"/>
    </row>
    <row r="8848" spans="47:48" x14ac:dyDescent="0.25">
      <c r="AU8848" s="7"/>
      <c r="AV8848" s="7"/>
    </row>
    <row r="8849" spans="47:48" x14ac:dyDescent="0.25">
      <c r="AU8849" s="7"/>
      <c r="AV8849" s="7"/>
    </row>
    <row r="8850" spans="47:48" x14ac:dyDescent="0.25">
      <c r="AU8850" s="7"/>
      <c r="AV8850" s="7"/>
    </row>
    <row r="8851" spans="47:48" x14ac:dyDescent="0.25">
      <c r="AU8851" s="7"/>
      <c r="AV8851" s="7"/>
    </row>
    <row r="8852" spans="47:48" x14ac:dyDescent="0.25">
      <c r="AU8852" s="7"/>
      <c r="AV8852" s="7"/>
    </row>
    <row r="8853" spans="47:48" x14ac:dyDescent="0.25">
      <c r="AU8853" s="7"/>
      <c r="AV8853" s="7"/>
    </row>
    <row r="8854" spans="47:48" x14ac:dyDescent="0.25">
      <c r="AU8854" s="7"/>
      <c r="AV8854" s="7"/>
    </row>
    <row r="8855" spans="47:48" x14ac:dyDescent="0.25">
      <c r="AU8855" s="7"/>
      <c r="AV8855" s="7"/>
    </row>
    <row r="8856" spans="47:48" x14ac:dyDescent="0.25">
      <c r="AU8856" s="7"/>
      <c r="AV8856" s="7"/>
    </row>
    <row r="8857" spans="47:48" x14ac:dyDescent="0.25">
      <c r="AU8857" s="7"/>
      <c r="AV8857" s="7"/>
    </row>
    <row r="8858" spans="47:48" x14ac:dyDescent="0.25">
      <c r="AU8858" s="7"/>
      <c r="AV8858" s="7"/>
    </row>
    <row r="8859" spans="47:48" x14ac:dyDescent="0.25">
      <c r="AU8859" s="7"/>
      <c r="AV8859" s="7"/>
    </row>
    <row r="8860" spans="47:48" x14ac:dyDescent="0.25">
      <c r="AU8860" s="7"/>
      <c r="AV8860" s="7"/>
    </row>
    <row r="8861" spans="47:48" x14ac:dyDescent="0.25">
      <c r="AU8861" s="7"/>
      <c r="AV8861" s="7"/>
    </row>
    <row r="8862" spans="47:48" x14ac:dyDescent="0.25">
      <c r="AU8862" s="7"/>
      <c r="AV8862" s="7"/>
    </row>
    <row r="8863" spans="47:48" x14ac:dyDescent="0.25">
      <c r="AU8863" s="7"/>
      <c r="AV8863" s="7"/>
    </row>
    <row r="8864" spans="47:48" x14ac:dyDescent="0.25">
      <c r="AU8864" s="7"/>
      <c r="AV8864" s="7"/>
    </row>
    <row r="8865" spans="47:48" x14ac:dyDescent="0.25">
      <c r="AU8865" s="7"/>
      <c r="AV8865" s="7"/>
    </row>
    <row r="8866" spans="47:48" x14ac:dyDescent="0.25">
      <c r="AU8866" s="7"/>
      <c r="AV8866" s="7"/>
    </row>
    <row r="8867" spans="47:48" x14ac:dyDescent="0.25">
      <c r="AU8867" s="7"/>
      <c r="AV8867" s="7"/>
    </row>
    <row r="8868" spans="47:48" x14ac:dyDescent="0.25">
      <c r="AU8868" s="7"/>
      <c r="AV8868" s="7"/>
    </row>
    <row r="8869" spans="47:48" x14ac:dyDescent="0.25">
      <c r="AU8869" s="7"/>
      <c r="AV8869" s="7"/>
    </row>
    <row r="8870" spans="47:48" x14ac:dyDescent="0.25">
      <c r="AU8870" s="7"/>
      <c r="AV8870" s="7"/>
    </row>
    <row r="8871" spans="47:48" x14ac:dyDescent="0.25">
      <c r="AU8871" s="7"/>
      <c r="AV8871" s="7"/>
    </row>
    <row r="8872" spans="47:48" x14ac:dyDescent="0.25">
      <c r="AU8872" s="7"/>
      <c r="AV8872" s="7"/>
    </row>
    <row r="8873" spans="47:48" x14ac:dyDescent="0.25">
      <c r="AU8873" s="7"/>
      <c r="AV8873" s="7"/>
    </row>
    <row r="8874" spans="47:48" x14ac:dyDescent="0.25">
      <c r="AU8874" s="7"/>
      <c r="AV8874" s="7"/>
    </row>
    <row r="8875" spans="47:48" x14ac:dyDescent="0.25">
      <c r="AU8875" s="7"/>
      <c r="AV8875" s="7"/>
    </row>
    <row r="8876" spans="47:48" x14ac:dyDescent="0.25">
      <c r="AU8876" s="7"/>
      <c r="AV8876" s="7"/>
    </row>
    <row r="8877" spans="47:48" x14ac:dyDescent="0.25">
      <c r="AU8877" s="7"/>
      <c r="AV8877" s="7"/>
    </row>
    <row r="8878" spans="47:48" x14ac:dyDescent="0.25">
      <c r="AU8878" s="7"/>
      <c r="AV8878" s="7"/>
    </row>
    <row r="8879" spans="47:48" x14ac:dyDescent="0.25">
      <c r="AU8879" s="7"/>
      <c r="AV8879" s="7"/>
    </row>
    <row r="8880" spans="47:48" x14ac:dyDescent="0.25">
      <c r="AU8880" s="7"/>
      <c r="AV8880" s="7"/>
    </row>
    <row r="8881" spans="47:48" x14ac:dyDescent="0.25">
      <c r="AU8881" s="7"/>
      <c r="AV8881" s="7"/>
    </row>
    <row r="8882" spans="47:48" x14ac:dyDescent="0.25">
      <c r="AU8882" s="7"/>
      <c r="AV8882" s="7"/>
    </row>
    <row r="8883" spans="47:48" x14ac:dyDescent="0.25">
      <c r="AU8883" s="7"/>
      <c r="AV8883" s="7"/>
    </row>
    <row r="8884" spans="47:48" x14ac:dyDescent="0.25">
      <c r="AU8884" s="7"/>
      <c r="AV8884" s="7"/>
    </row>
    <row r="8885" spans="47:48" x14ac:dyDescent="0.25">
      <c r="AU8885" s="7"/>
      <c r="AV8885" s="7"/>
    </row>
    <row r="8886" spans="47:48" x14ac:dyDescent="0.25">
      <c r="AU8886" s="7"/>
      <c r="AV8886" s="7"/>
    </row>
    <row r="8887" spans="47:48" x14ac:dyDescent="0.25">
      <c r="AU8887" s="7"/>
      <c r="AV8887" s="7"/>
    </row>
    <row r="8888" spans="47:48" x14ac:dyDescent="0.25">
      <c r="AU8888" s="7"/>
      <c r="AV8888" s="7"/>
    </row>
    <row r="8889" spans="47:48" x14ac:dyDescent="0.25">
      <c r="AU8889" s="7"/>
      <c r="AV8889" s="7"/>
    </row>
    <row r="8890" spans="47:48" x14ac:dyDescent="0.25">
      <c r="AU8890" s="7"/>
      <c r="AV8890" s="7"/>
    </row>
    <row r="8891" spans="47:48" x14ac:dyDescent="0.25">
      <c r="AU8891" s="7"/>
      <c r="AV8891" s="7"/>
    </row>
    <row r="8892" spans="47:48" x14ac:dyDescent="0.25">
      <c r="AU8892" s="7"/>
      <c r="AV8892" s="7"/>
    </row>
    <row r="8893" spans="47:48" x14ac:dyDescent="0.25">
      <c r="AU8893" s="7"/>
      <c r="AV8893" s="7"/>
    </row>
    <row r="8894" spans="47:48" x14ac:dyDescent="0.25">
      <c r="AU8894" s="7"/>
      <c r="AV8894" s="7"/>
    </row>
    <row r="8895" spans="47:48" x14ac:dyDescent="0.25">
      <c r="AU8895" s="7"/>
      <c r="AV8895" s="7"/>
    </row>
    <row r="8896" spans="47:48" x14ac:dyDescent="0.25">
      <c r="AU8896" s="7"/>
      <c r="AV8896" s="7"/>
    </row>
    <row r="8897" spans="47:48" x14ac:dyDescent="0.25">
      <c r="AU8897" s="7"/>
      <c r="AV8897" s="7"/>
    </row>
    <row r="8898" spans="47:48" x14ac:dyDescent="0.25">
      <c r="AU8898" s="7"/>
      <c r="AV8898" s="7"/>
    </row>
    <row r="8899" spans="47:48" x14ac:dyDescent="0.25">
      <c r="AU8899" s="7"/>
      <c r="AV8899" s="7"/>
    </row>
    <row r="8900" spans="47:48" x14ac:dyDescent="0.25">
      <c r="AU8900" s="7"/>
      <c r="AV8900" s="7"/>
    </row>
    <row r="8901" spans="47:48" x14ac:dyDescent="0.25">
      <c r="AU8901" s="7"/>
      <c r="AV8901" s="7"/>
    </row>
    <row r="8902" spans="47:48" x14ac:dyDescent="0.25">
      <c r="AU8902" s="7"/>
      <c r="AV8902" s="7"/>
    </row>
    <row r="8903" spans="47:48" x14ac:dyDescent="0.25">
      <c r="AU8903" s="7"/>
      <c r="AV8903" s="7"/>
    </row>
    <row r="8904" spans="47:48" x14ac:dyDescent="0.25">
      <c r="AU8904" s="7"/>
      <c r="AV8904" s="7"/>
    </row>
    <row r="8905" spans="47:48" x14ac:dyDescent="0.25">
      <c r="AU8905" s="7"/>
      <c r="AV8905" s="7"/>
    </row>
    <row r="8906" spans="47:48" x14ac:dyDescent="0.25">
      <c r="AU8906" s="7"/>
      <c r="AV8906" s="7"/>
    </row>
    <row r="8907" spans="47:48" x14ac:dyDescent="0.25">
      <c r="AU8907" s="7"/>
      <c r="AV8907" s="7"/>
    </row>
    <row r="8908" spans="47:48" x14ac:dyDescent="0.25">
      <c r="AU8908" s="7"/>
      <c r="AV8908" s="7"/>
    </row>
    <row r="8909" spans="47:48" x14ac:dyDescent="0.25">
      <c r="AU8909" s="7"/>
      <c r="AV8909" s="7"/>
    </row>
    <row r="8910" spans="47:48" x14ac:dyDescent="0.25">
      <c r="AU8910" s="7"/>
      <c r="AV8910" s="7"/>
    </row>
    <row r="8911" spans="47:48" x14ac:dyDescent="0.25">
      <c r="AU8911" s="7"/>
      <c r="AV8911" s="7"/>
    </row>
    <row r="8912" spans="47:48" x14ac:dyDescent="0.25">
      <c r="AU8912" s="7"/>
      <c r="AV8912" s="7"/>
    </row>
    <row r="8913" spans="47:48" x14ac:dyDescent="0.25">
      <c r="AU8913" s="7"/>
      <c r="AV8913" s="7"/>
    </row>
    <row r="8914" spans="47:48" x14ac:dyDescent="0.25">
      <c r="AU8914" s="7"/>
      <c r="AV8914" s="7"/>
    </row>
    <row r="8915" spans="47:48" x14ac:dyDescent="0.25">
      <c r="AU8915" s="7"/>
      <c r="AV8915" s="7"/>
    </row>
    <row r="8916" spans="47:48" x14ac:dyDescent="0.25">
      <c r="AU8916" s="7"/>
      <c r="AV8916" s="7"/>
    </row>
    <row r="8917" spans="47:48" x14ac:dyDescent="0.25">
      <c r="AU8917" s="7"/>
      <c r="AV8917" s="7"/>
    </row>
    <row r="8918" spans="47:48" x14ac:dyDescent="0.25">
      <c r="AU8918" s="7"/>
      <c r="AV8918" s="7"/>
    </row>
    <row r="8919" spans="47:48" x14ac:dyDescent="0.25">
      <c r="AU8919" s="7"/>
      <c r="AV8919" s="7"/>
    </row>
    <row r="8920" spans="47:48" x14ac:dyDescent="0.25">
      <c r="AU8920" s="7"/>
      <c r="AV8920" s="7"/>
    </row>
    <row r="8921" spans="47:48" x14ac:dyDescent="0.25">
      <c r="AU8921" s="7"/>
      <c r="AV8921" s="7"/>
    </row>
    <row r="8922" spans="47:48" x14ac:dyDescent="0.25">
      <c r="AU8922" s="7"/>
      <c r="AV8922" s="7"/>
    </row>
    <row r="8923" spans="47:48" x14ac:dyDescent="0.25">
      <c r="AU8923" s="7"/>
      <c r="AV8923" s="7"/>
    </row>
    <row r="8924" spans="47:48" x14ac:dyDescent="0.25">
      <c r="AU8924" s="7"/>
      <c r="AV8924" s="7"/>
    </row>
    <row r="8925" spans="47:48" x14ac:dyDescent="0.25">
      <c r="AU8925" s="7"/>
      <c r="AV8925" s="7"/>
    </row>
    <row r="8926" spans="47:48" x14ac:dyDescent="0.25">
      <c r="AU8926" s="7"/>
      <c r="AV8926" s="7"/>
    </row>
    <row r="8927" spans="47:48" x14ac:dyDescent="0.25">
      <c r="AU8927" s="7"/>
      <c r="AV8927" s="7"/>
    </row>
    <row r="8928" spans="47:48" x14ac:dyDescent="0.25">
      <c r="AU8928" s="7"/>
      <c r="AV8928" s="7"/>
    </row>
    <row r="8929" spans="47:48" x14ac:dyDescent="0.25">
      <c r="AU8929" s="7"/>
      <c r="AV8929" s="7"/>
    </row>
    <row r="8930" spans="47:48" x14ac:dyDescent="0.25">
      <c r="AU8930" s="7"/>
      <c r="AV8930" s="7"/>
    </row>
    <row r="8931" spans="47:48" x14ac:dyDescent="0.25">
      <c r="AU8931" s="7"/>
      <c r="AV8931" s="7"/>
    </row>
    <row r="8932" spans="47:48" x14ac:dyDescent="0.25">
      <c r="AU8932" s="7"/>
      <c r="AV8932" s="7"/>
    </row>
    <row r="8933" spans="47:48" x14ac:dyDescent="0.25">
      <c r="AU8933" s="7"/>
      <c r="AV8933" s="7"/>
    </row>
    <row r="8934" spans="47:48" x14ac:dyDescent="0.25">
      <c r="AU8934" s="7"/>
      <c r="AV8934" s="7"/>
    </row>
    <row r="8935" spans="47:48" x14ac:dyDescent="0.25">
      <c r="AU8935" s="7"/>
      <c r="AV8935" s="7"/>
    </row>
    <row r="8936" spans="47:48" x14ac:dyDescent="0.25">
      <c r="AU8936" s="7"/>
      <c r="AV8936" s="7"/>
    </row>
    <row r="8937" spans="47:48" x14ac:dyDescent="0.25">
      <c r="AU8937" s="7"/>
      <c r="AV8937" s="7"/>
    </row>
    <row r="8938" spans="47:48" x14ac:dyDescent="0.25">
      <c r="AU8938" s="7"/>
      <c r="AV8938" s="7"/>
    </row>
    <row r="8939" spans="47:48" x14ac:dyDescent="0.25">
      <c r="AU8939" s="7"/>
      <c r="AV8939" s="7"/>
    </row>
    <row r="8940" spans="47:48" x14ac:dyDescent="0.25">
      <c r="AU8940" s="7"/>
      <c r="AV8940" s="7"/>
    </row>
    <row r="8941" spans="47:48" x14ac:dyDescent="0.25">
      <c r="AU8941" s="7"/>
      <c r="AV8941" s="7"/>
    </row>
    <row r="8942" spans="47:48" x14ac:dyDescent="0.25">
      <c r="AU8942" s="7"/>
      <c r="AV8942" s="7"/>
    </row>
    <row r="8943" spans="47:48" x14ac:dyDescent="0.25">
      <c r="AU8943" s="7"/>
      <c r="AV8943" s="7"/>
    </row>
    <row r="8944" spans="47:48" x14ac:dyDescent="0.25">
      <c r="AU8944" s="7"/>
      <c r="AV8944" s="7"/>
    </row>
    <row r="8945" spans="47:48" x14ac:dyDescent="0.25">
      <c r="AU8945" s="7"/>
      <c r="AV8945" s="7"/>
    </row>
    <row r="8946" spans="47:48" x14ac:dyDescent="0.25">
      <c r="AU8946" s="7"/>
      <c r="AV8946" s="7"/>
    </row>
    <row r="8947" spans="47:48" x14ac:dyDescent="0.25">
      <c r="AU8947" s="7"/>
      <c r="AV8947" s="7"/>
    </row>
    <row r="8948" spans="47:48" x14ac:dyDescent="0.25">
      <c r="AU8948" s="7"/>
      <c r="AV8948" s="7"/>
    </row>
    <row r="8949" spans="47:48" x14ac:dyDescent="0.25">
      <c r="AU8949" s="7"/>
      <c r="AV8949" s="7"/>
    </row>
    <row r="8950" spans="47:48" x14ac:dyDescent="0.25">
      <c r="AU8950" s="7"/>
      <c r="AV8950" s="7"/>
    </row>
    <row r="8951" spans="47:48" x14ac:dyDescent="0.25">
      <c r="AU8951" s="7"/>
      <c r="AV8951" s="7"/>
    </row>
    <row r="8952" spans="47:48" x14ac:dyDescent="0.25">
      <c r="AU8952" s="7"/>
      <c r="AV8952" s="7"/>
    </row>
    <row r="8953" spans="47:48" x14ac:dyDescent="0.25">
      <c r="AU8953" s="7"/>
      <c r="AV8953" s="7"/>
    </row>
    <row r="8954" spans="47:48" x14ac:dyDescent="0.25">
      <c r="AU8954" s="7"/>
      <c r="AV8954" s="7"/>
    </row>
    <row r="8955" spans="47:48" x14ac:dyDescent="0.25">
      <c r="AU8955" s="7"/>
      <c r="AV8955" s="7"/>
    </row>
    <row r="8956" spans="47:48" x14ac:dyDescent="0.25">
      <c r="AU8956" s="7"/>
      <c r="AV8956" s="7"/>
    </row>
    <row r="8957" spans="47:48" x14ac:dyDescent="0.25">
      <c r="AU8957" s="7"/>
      <c r="AV8957" s="7"/>
    </row>
    <row r="8958" spans="47:48" x14ac:dyDescent="0.25">
      <c r="AU8958" s="7"/>
      <c r="AV8958" s="7"/>
    </row>
    <row r="8959" spans="47:48" x14ac:dyDescent="0.25">
      <c r="AU8959" s="7"/>
      <c r="AV8959" s="7"/>
    </row>
    <row r="8960" spans="47:48" x14ac:dyDescent="0.25">
      <c r="AU8960" s="7"/>
      <c r="AV8960" s="7"/>
    </row>
    <row r="8961" spans="47:48" x14ac:dyDescent="0.25">
      <c r="AU8961" s="7"/>
      <c r="AV8961" s="7"/>
    </row>
    <row r="8962" spans="47:48" x14ac:dyDescent="0.25">
      <c r="AU8962" s="7"/>
      <c r="AV8962" s="7"/>
    </row>
    <row r="8963" spans="47:48" x14ac:dyDescent="0.25">
      <c r="AU8963" s="7"/>
      <c r="AV8963" s="7"/>
    </row>
    <row r="8964" spans="47:48" x14ac:dyDescent="0.25">
      <c r="AU8964" s="7"/>
      <c r="AV8964" s="7"/>
    </row>
    <row r="8965" spans="47:48" x14ac:dyDescent="0.25">
      <c r="AU8965" s="7"/>
      <c r="AV8965" s="7"/>
    </row>
    <row r="8966" spans="47:48" x14ac:dyDescent="0.25">
      <c r="AU8966" s="7"/>
      <c r="AV8966" s="7"/>
    </row>
    <row r="8967" spans="47:48" x14ac:dyDescent="0.25">
      <c r="AU8967" s="7"/>
      <c r="AV8967" s="7"/>
    </row>
    <row r="8968" spans="47:48" x14ac:dyDescent="0.25">
      <c r="AU8968" s="7"/>
      <c r="AV8968" s="7"/>
    </row>
    <row r="8969" spans="47:48" x14ac:dyDescent="0.25">
      <c r="AU8969" s="7"/>
      <c r="AV8969" s="7"/>
    </row>
    <row r="8970" spans="47:48" x14ac:dyDescent="0.25">
      <c r="AU8970" s="7"/>
      <c r="AV8970" s="7"/>
    </row>
    <row r="8971" spans="47:48" x14ac:dyDescent="0.25">
      <c r="AU8971" s="7"/>
      <c r="AV8971" s="7"/>
    </row>
    <row r="8972" spans="47:48" x14ac:dyDescent="0.25">
      <c r="AU8972" s="7"/>
      <c r="AV8972" s="7"/>
    </row>
    <row r="8973" spans="47:48" x14ac:dyDescent="0.25">
      <c r="AU8973" s="7"/>
      <c r="AV8973" s="7"/>
    </row>
    <row r="8974" spans="47:48" x14ac:dyDescent="0.25">
      <c r="AU8974" s="7"/>
      <c r="AV8974" s="7"/>
    </row>
    <row r="8975" spans="47:48" x14ac:dyDescent="0.25">
      <c r="AU8975" s="7"/>
      <c r="AV8975" s="7"/>
    </row>
    <row r="8976" spans="47:48" x14ac:dyDescent="0.25">
      <c r="AU8976" s="7"/>
      <c r="AV8976" s="7"/>
    </row>
    <row r="8977" spans="47:48" x14ac:dyDescent="0.25">
      <c r="AU8977" s="7"/>
      <c r="AV8977" s="7"/>
    </row>
    <row r="8978" spans="47:48" x14ac:dyDescent="0.25">
      <c r="AU8978" s="7"/>
      <c r="AV8978" s="7"/>
    </row>
    <row r="8979" spans="47:48" x14ac:dyDescent="0.25">
      <c r="AU8979" s="7"/>
      <c r="AV8979" s="7"/>
    </row>
    <row r="8980" spans="47:48" x14ac:dyDescent="0.25">
      <c r="AU8980" s="7"/>
      <c r="AV8980" s="7"/>
    </row>
    <row r="8981" spans="47:48" x14ac:dyDescent="0.25">
      <c r="AU8981" s="7"/>
      <c r="AV8981" s="7"/>
    </row>
    <row r="8982" spans="47:48" x14ac:dyDescent="0.25">
      <c r="AU8982" s="7"/>
      <c r="AV8982" s="7"/>
    </row>
    <row r="8983" spans="47:48" x14ac:dyDescent="0.25">
      <c r="AU8983" s="7"/>
      <c r="AV8983" s="7"/>
    </row>
    <row r="8984" spans="47:48" x14ac:dyDescent="0.25">
      <c r="AU8984" s="7"/>
      <c r="AV8984" s="7"/>
    </row>
    <row r="8985" spans="47:48" x14ac:dyDescent="0.25">
      <c r="AU8985" s="7"/>
      <c r="AV8985" s="7"/>
    </row>
    <row r="8986" spans="47:48" x14ac:dyDescent="0.25">
      <c r="AU8986" s="7"/>
      <c r="AV8986" s="7"/>
    </row>
    <row r="8987" spans="47:48" x14ac:dyDescent="0.25">
      <c r="AU8987" s="7"/>
      <c r="AV8987" s="7"/>
    </row>
    <row r="8988" spans="47:48" x14ac:dyDescent="0.25">
      <c r="AU8988" s="7"/>
      <c r="AV8988" s="7"/>
    </row>
    <row r="8989" spans="47:48" x14ac:dyDescent="0.25">
      <c r="AU8989" s="7"/>
      <c r="AV8989" s="7"/>
    </row>
    <row r="8990" spans="47:48" x14ac:dyDescent="0.25">
      <c r="AU8990" s="7"/>
      <c r="AV8990" s="7"/>
    </row>
    <row r="8991" spans="47:48" x14ac:dyDescent="0.25">
      <c r="AU8991" s="7"/>
      <c r="AV8991" s="7"/>
    </row>
    <row r="8992" spans="47:48" x14ac:dyDescent="0.25">
      <c r="AU8992" s="7"/>
      <c r="AV8992" s="7"/>
    </row>
    <row r="8993" spans="47:48" x14ac:dyDescent="0.25">
      <c r="AU8993" s="7"/>
      <c r="AV8993" s="7"/>
    </row>
    <row r="8994" spans="47:48" x14ac:dyDescent="0.25">
      <c r="AU8994" s="7"/>
      <c r="AV8994" s="7"/>
    </row>
    <row r="8995" spans="47:48" x14ac:dyDescent="0.25">
      <c r="AU8995" s="7"/>
      <c r="AV8995" s="7"/>
    </row>
    <row r="8996" spans="47:48" x14ac:dyDescent="0.25">
      <c r="AU8996" s="7"/>
      <c r="AV8996" s="7"/>
    </row>
    <row r="8997" spans="47:48" x14ac:dyDescent="0.25">
      <c r="AU8997" s="7"/>
      <c r="AV8997" s="7"/>
    </row>
    <row r="8998" spans="47:48" x14ac:dyDescent="0.25">
      <c r="AU8998" s="7"/>
      <c r="AV8998" s="7"/>
    </row>
    <row r="8999" spans="47:48" x14ac:dyDescent="0.25">
      <c r="AU8999" s="7"/>
      <c r="AV8999" s="7"/>
    </row>
    <row r="9000" spans="47:48" x14ac:dyDescent="0.25">
      <c r="AU9000" s="7"/>
      <c r="AV9000" s="7"/>
    </row>
    <row r="9001" spans="47:48" x14ac:dyDescent="0.25">
      <c r="AU9001" s="7"/>
      <c r="AV9001" s="7"/>
    </row>
    <row r="9002" spans="47:48" x14ac:dyDescent="0.25">
      <c r="AU9002" s="7"/>
      <c r="AV9002" s="7"/>
    </row>
    <row r="9003" spans="47:48" x14ac:dyDescent="0.25">
      <c r="AU9003" s="7"/>
      <c r="AV9003" s="7"/>
    </row>
    <row r="9004" spans="47:48" x14ac:dyDescent="0.25">
      <c r="AU9004" s="7"/>
      <c r="AV9004" s="7"/>
    </row>
    <row r="9005" spans="47:48" x14ac:dyDescent="0.25">
      <c r="AU9005" s="7"/>
      <c r="AV9005" s="7"/>
    </row>
    <row r="9006" spans="47:48" x14ac:dyDescent="0.25">
      <c r="AU9006" s="7"/>
      <c r="AV9006" s="7"/>
    </row>
    <row r="9007" spans="47:48" x14ac:dyDescent="0.25">
      <c r="AU9007" s="7"/>
      <c r="AV9007" s="7"/>
    </row>
    <row r="9008" spans="47:48" x14ac:dyDescent="0.25">
      <c r="AU9008" s="7"/>
      <c r="AV9008" s="7"/>
    </row>
    <row r="9009" spans="47:48" x14ac:dyDescent="0.25">
      <c r="AU9009" s="7"/>
      <c r="AV9009" s="7"/>
    </row>
    <row r="9010" spans="47:48" x14ac:dyDescent="0.25">
      <c r="AU9010" s="7"/>
      <c r="AV9010" s="7"/>
    </row>
    <row r="9011" spans="47:48" x14ac:dyDescent="0.25">
      <c r="AU9011" s="7"/>
      <c r="AV9011" s="7"/>
    </row>
    <row r="9012" spans="47:48" x14ac:dyDescent="0.25">
      <c r="AU9012" s="7"/>
      <c r="AV9012" s="7"/>
    </row>
    <row r="9013" spans="47:48" x14ac:dyDescent="0.25">
      <c r="AU9013" s="7"/>
      <c r="AV9013" s="7"/>
    </row>
    <row r="9014" spans="47:48" x14ac:dyDescent="0.25">
      <c r="AU9014" s="7"/>
      <c r="AV9014" s="7"/>
    </row>
    <row r="9015" spans="47:48" x14ac:dyDescent="0.25">
      <c r="AU9015" s="7"/>
      <c r="AV9015" s="7"/>
    </row>
    <row r="9016" spans="47:48" x14ac:dyDescent="0.25">
      <c r="AU9016" s="7"/>
      <c r="AV9016" s="7"/>
    </row>
    <row r="9017" spans="47:48" x14ac:dyDescent="0.25">
      <c r="AU9017" s="7"/>
      <c r="AV9017" s="7"/>
    </row>
    <row r="9018" spans="47:48" x14ac:dyDescent="0.25">
      <c r="AU9018" s="7"/>
      <c r="AV9018" s="7"/>
    </row>
    <row r="9019" spans="47:48" x14ac:dyDescent="0.25">
      <c r="AU9019" s="7"/>
      <c r="AV9019" s="7"/>
    </row>
    <row r="9020" spans="47:48" x14ac:dyDescent="0.25">
      <c r="AU9020" s="7"/>
      <c r="AV9020" s="7"/>
    </row>
    <row r="9021" spans="47:48" x14ac:dyDescent="0.25">
      <c r="AU9021" s="7"/>
      <c r="AV9021" s="7"/>
    </row>
    <row r="9022" spans="47:48" x14ac:dyDescent="0.25">
      <c r="AU9022" s="7"/>
      <c r="AV9022" s="7"/>
    </row>
    <row r="9023" spans="47:48" x14ac:dyDescent="0.25">
      <c r="AU9023" s="7"/>
      <c r="AV9023" s="7"/>
    </row>
    <row r="9024" spans="47:48" x14ac:dyDescent="0.25">
      <c r="AU9024" s="7"/>
      <c r="AV9024" s="7"/>
    </row>
    <row r="9025" spans="47:48" x14ac:dyDescent="0.25">
      <c r="AU9025" s="7"/>
      <c r="AV9025" s="7"/>
    </row>
    <row r="9026" spans="47:48" x14ac:dyDescent="0.25">
      <c r="AU9026" s="7"/>
      <c r="AV9026" s="7"/>
    </row>
    <row r="9027" spans="47:48" x14ac:dyDescent="0.25">
      <c r="AU9027" s="7"/>
      <c r="AV9027" s="7"/>
    </row>
    <row r="9028" spans="47:48" x14ac:dyDescent="0.25">
      <c r="AU9028" s="7"/>
      <c r="AV9028" s="7"/>
    </row>
    <row r="9029" spans="47:48" x14ac:dyDescent="0.25">
      <c r="AU9029" s="7"/>
      <c r="AV9029" s="7"/>
    </row>
    <row r="9030" spans="47:48" x14ac:dyDescent="0.25">
      <c r="AU9030" s="7"/>
      <c r="AV9030" s="7"/>
    </row>
    <row r="9031" spans="47:48" x14ac:dyDescent="0.25">
      <c r="AU9031" s="7"/>
      <c r="AV9031" s="7"/>
    </row>
    <row r="9032" spans="47:48" x14ac:dyDescent="0.25">
      <c r="AU9032" s="7"/>
      <c r="AV9032" s="7"/>
    </row>
    <row r="9033" spans="47:48" x14ac:dyDescent="0.25">
      <c r="AU9033" s="7"/>
      <c r="AV9033" s="7"/>
    </row>
    <row r="9034" spans="47:48" x14ac:dyDescent="0.25">
      <c r="AU9034" s="7"/>
      <c r="AV9034" s="7"/>
    </row>
    <row r="9035" spans="47:48" x14ac:dyDescent="0.25">
      <c r="AU9035" s="7"/>
      <c r="AV9035" s="7"/>
    </row>
    <row r="9036" spans="47:48" x14ac:dyDescent="0.25">
      <c r="AU9036" s="7"/>
      <c r="AV9036" s="7"/>
    </row>
    <row r="9037" spans="47:48" x14ac:dyDescent="0.25">
      <c r="AU9037" s="7"/>
      <c r="AV9037" s="7"/>
    </row>
    <row r="9038" spans="47:48" x14ac:dyDescent="0.25">
      <c r="AU9038" s="7"/>
      <c r="AV9038" s="7"/>
    </row>
    <row r="9039" spans="47:48" x14ac:dyDescent="0.25">
      <c r="AU9039" s="7"/>
      <c r="AV9039" s="7"/>
    </row>
    <row r="9040" spans="47:48" x14ac:dyDescent="0.25">
      <c r="AU9040" s="7"/>
      <c r="AV9040" s="7"/>
    </row>
    <row r="9041" spans="47:48" x14ac:dyDescent="0.25">
      <c r="AU9041" s="7"/>
      <c r="AV9041" s="7"/>
    </row>
    <row r="9042" spans="47:48" x14ac:dyDescent="0.25">
      <c r="AU9042" s="7"/>
      <c r="AV9042" s="7"/>
    </row>
    <row r="9043" spans="47:48" x14ac:dyDescent="0.25">
      <c r="AU9043" s="7"/>
      <c r="AV9043" s="7"/>
    </row>
    <row r="9044" spans="47:48" x14ac:dyDescent="0.25">
      <c r="AU9044" s="7"/>
      <c r="AV9044" s="7"/>
    </row>
    <row r="9045" spans="47:48" x14ac:dyDescent="0.25">
      <c r="AU9045" s="7"/>
      <c r="AV9045" s="7"/>
    </row>
    <row r="9046" spans="47:48" x14ac:dyDescent="0.25">
      <c r="AU9046" s="7"/>
      <c r="AV9046" s="7"/>
    </row>
    <row r="9047" spans="47:48" x14ac:dyDescent="0.25">
      <c r="AU9047" s="7"/>
      <c r="AV9047" s="7"/>
    </row>
    <row r="9048" spans="47:48" x14ac:dyDescent="0.25">
      <c r="AU9048" s="7"/>
      <c r="AV9048" s="7"/>
    </row>
    <row r="9049" spans="47:48" x14ac:dyDescent="0.25">
      <c r="AU9049" s="7"/>
      <c r="AV9049" s="7"/>
    </row>
    <row r="9050" spans="47:48" x14ac:dyDescent="0.25">
      <c r="AU9050" s="7"/>
      <c r="AV9050" s="7"/>
    </row>
    <row r="9051" spans="47:48" x14ac:dyDescent="0.25">
      <c r="AU9051" s="7"/>
      <c r="AV9051" s="7"/>
    </row>
    <row r="9052" spans="47:48" x14ac:dyDescent="0.25">
      <c r="AU9052" s="7"/>
      <c r="AV9052" s="7"/>
    </row>
    <row r="9053" spans="47:48" x14ac:dyDescent="0.25">
      <c r="AU9053" s="7"/>
      <c r="AV9053" s="7"/>
    </row>
    <row r="9054" spans="47:48" x14ac:dyDescent="0.25">
      <c r="AU9054" s="7"/>
      <c r="AV9054" s="7"/>
    </row>
    <row r="9055" spans="47:48" x14ac:dyDescent="0.25">
      <c r="AU9055" s="7"/>
      <c r="AV9055" s="7"/>
    </row>
    <row r="9056" spans="47:48" x14ac:dyDescent="0.25">
      <c r="AU9056" s="7"/>
      <c r="AV9056" s="7"/>
    </row>
    <row r="9057" spans="47:48" x14ac:dyDescent="0.25">
      <c r="AU9057" s="7"/>
      <c r="AV9057" s="7"/>
    </row>
    <row r="9058" spans="47:48" x14ac:dyDescent="0.25">
      <c r="AU9058" s="7"/>
      <c r="AV9058" s="7"/>
    </row>
    <row r="9059" spans="47:48" x14ac:dyDescent="0.25">
      <c r="AU9059" s="7"/>
      <c r="AV9059" s="7"/>
    </row>
    <row r="9060" spans="47:48" x14ac:dyDescent="0.25">
      <c r="AU9060" s="7"/>
      <c r="AV9060" s="7"/>
    </row>
    <row r="9061" spans="47:48" x14ac:dyDescent="0.25">
      <c r="AU9061" s="7"/>
      <c r="AV9061" s="7"/>
    </row>
    <row r="9062" spans="47:48" x14ac:dyDescent="0.25">
      <c r="AU9062" s="7"/>
      <c r="AV9062" s="7"/>
    </row>
    <row r="9063" spans="47:48" x14ac:dyDescent="0.25">
      <c r="AU9063" s="7"/>
      <c r="AV9063" s="7"/>
    </row>
    <row r="9064" spans="47:48" x14ac:dyDescent="0.25">
      <c r="AU9064" s="7"/>
      <c r="AV9064" s="7"/>
    </row>
    <row r="9065" spans="47:48" x14ac:dyDescent="0.25">
      <c r="AU9065" s="7"/>
      <c r="AV9065" s="7"/>
    </row>
    <row r="9066" spans="47:48" x14ac:dyDescent="0.25">
      <c r="AU9066" s="7"/>
      <c r="AV9066" s="7"/>
    </row>
    <row r="9067" spans="47:48" x14ac:dyDescent="0.25">
      <c r="AU9067" s="7"/>
      <c r="AV9067" s="7"/>
    </row>
    <row r="9068" spans="47:48" x14ac:dyDescent="0.25">
      <c r="AU9068" s="7"/>
      <c r="AV9068" s="7"/>
    </row>
    <row r="9069" spans="47:48" x14ac:dyDescent="0.25">
      <c r="AU9069" s="7"/>
      <c r="AV9069" s="7"/>
    </row>
    <row r="9070" spans="47:48" x14ac:dyDescent="0.25">
      <c r="AU9070" s="7"/>
      <c r="AV9070" s="7"/>
    </row>
    <row r="9071" spans="47:48" x14ac:dyDescent="0.25">
      <c r="AU9071" s="7"/>
      <c r="AV9071" s="7"/>
    </row>
    <row r="9072" spans="47:48" x14ac:dyDescent="0.25">
      <c r="AU9072" s="7"/>
      <c r="AV9072" s="7"/>
    </row>
    <row r="9073" spans="47:48" x14ac:dyDescent="0.25">
      <c r="AU9073" s="7"/>
      <c r="AV9073" s="7"/>
    </row>
    <row r="9074" spans="47:48" x14ac:dyDescent="0.25">
      <c r="AU9074" s="7"/>
      <c r="AV9074" s="7"/>
    </row>
    <row r="9075" spans="47:48" x14ac:dyDescent="0.25">
      <c r="AU9075" s="7"/>
      <c r="AV9075" s="7"/>
    </row>
    <row r="9076" spans="47:48" x14ac:dyDescent="0.25">
      <c r="AU9076" s="7"/>
      <c r="AV9076" s="7"/>
    </row>
    <row r="9077" spans="47:48" x14ac:dyDescent="0.25">
      <c r="AU9077" s="7"/>
      <c r="AV9077" s="7"/>
    </row>
    <row r="9078" spans="47:48" x14ac:dyDescent="0.25">
      <c r="AU9078" s="7"/>
      <c r="AV9078" s="7"/>
    </row>
    <row r="9079" spans="47:48" x14ac:dyDescent="0.25">
      <c r="AU9079" s="7"/>
      <c r="AV9079" s="7"/>
    </row>
    <row r="9080" spans="47:48" x14ac:dyDescent="0.25">
      <c r="AU9080" s="7"/>
      <c r="AV9080" s="7"/>
    </row>
    <row r="9081" spans="47:48" x14ac:dyDescent="0.25">
      <c r="AU9081" s="7"/>
      <c r="AV9081" s="7"/>
    </row>
    <row r="9082" spans="47:48" x14ac:dyDescent="0.25">
      <c r="AU9082" s="7"/>
      <c r="AV9082" s="7"/>
    </row>
    <row r="9083" spans="47:48" x14ac:dyDescent="0.25">
      <c r="AU9083" s="7"/>
      <c r="AV9083" s="7"/>
    </row>
    <row r="9084" spans="47:48" x14ac:dyDescent="0.25">
      <c r="AU9084" s="7"/>
      <c r="AV9084" s="7"/>
    </row>
    <row r="9085" spans="47:48" x14ac:dyDescent="0.25">
      <c r="AU9085" s="7"/>
      <c r="AV9085" s="7"/>
    </row>
    <row r="9086" spans="47:48" x14ac:dyDescent="0.25">
      <c r="AU9086" s="7"/>
      <c r="AV9086" s="7"/>
    </row>
    <row r="9087" spans="47:48" x14ac:dyDescent="0.25">
      <c r="AU9087" s="7"/>
      <c r="AV9087" s="7"/>
    </row>
    <row r="9088" spans="47:48" x14ac:dyDescent="0.25">
      <c r="AU9088" s="7"/>
      <c r="AV9088" s="7"/>
    </row>
    <row r="9089" spans="47:48" x14ac:dyDescent="0.25">
      <c r="AU9089" s="7"/>
      <c r="AV9089" s="7"/>
    </row>
    <row r="9090" spans="47:48" x14ac:dyDescent="0.25">
      <c r="AU9090" s="7"/>
      <c r="AV9090" s="7"/>
    </row>
    <row r="9091" spans="47:48" x14ac:dyDescent="0.25">
      <c r="AU9091" s="7"/>
      <c r="AV9091" s="7"/>
    </row>
    <row r="9092" spans="47:48" x14ac:dyDescent="0.25">
      <c r="AU9092" s="7"/>
      <c r="AV9092" s="7"/>
    </row>
    <row r="9093" spans="47:48" x14ac:dyDescent="0.25">
      <c r="AU9093" s="7"/>
      <c r="AV9093" s="7"/>
    </row>
    <row r="9094" spans="47:48" x14ac:dyDescent="0.25">
      <c r="AU9094" s="7"/>
      <c r="AV9094" s="7"/>
    </row>
    <row r="9095" spans="47:48" x14ac:dyDescent="0.25">
      <c r="AU9095" s="7"/>
      <c r="AV9095" s="7"/>
    </row>
    <row r="9096" spans="47:48" x14ac:dyDescent="0.25">
      <c r="AU9096" s="7"/>
      <c r="AV9096" s="7"/>
    </row>
    <row r="9097" spans="47:48" x14ac:dyDescent="0.25">
      <c r="AU9097" s="7"/>
      <c r="AV9097" s="7"/>
    </row>
    <row r="9098" spans="47:48" x14ac:dyDescent="0.25">
      <c r="AU9098" s="7"/>
      <c r="AV9098" s="7"/>
    </row>
    <row r="9099" spans="47:48" x14ac:dyDescent="0.25">
      <c r="AU9099" s="7"/>
      <c r="AV9099" s="7"/>
    </row>
    <row r="9100" spans="47:48" x14ac:dyDescent="0.25">
      <c r="AU9100" s="7"/>
      <c r="AV9100" s="7"/>
    </row>
    <row r="9101" spans="47:48" x14ac:dyDescent="0.25">
      <c r="AU9101" s="7"/>
      <c r="AV9101" s="7"/>
    </row>
    <row r="9102" spans="47:48" x14ac:dyDescent="0.25">
      <c r="AU9102" s="7"/>
      <c r="AV9102" s="7"/>
    </row>
    <row r="9103" spans="47:48" x14ac:dyDescent="0.25">
      <c r="AU9103" s="7"/>
      <c r="AV9103" s="7"/>
    </row>
    <row r="9104" spans="47:48" x14ac:dyDescent="0.25">
      <c r="AU9104" s="7"/>
      <c r="AV9104" s="7"/>
    </row>
    <row r="9105" spans="47:48" x14ac:dyDescent="0.25">
      <c r="AU9105" s="7"/>
      <c r="AV9105" s="7"/>
    </row>
    <row r="9106" spans="47:48" x14ac:dyDescent="0.25">
      <c r="AU9106" s="7"/>
      <c r="AV9106" s="7"/>
    </row>
    <row r="9107" spans="47:48" x14ac:dyDescent="0.25">
      <c r="AU9107" s="7"/>
      <c r="AV9107" s="7"/>
    </row>
    <row r="9108" spans="47:48" x14ac:dyDescent="0.25">
      <c r="AU9108" s="7"/>
      <c r="AV9108" s="7"/>
    </row>
    <row r="9109" spans="47:48" x14ac:dyDescent="0.25">
      <c r="AU9109" s="7"/>
      <c r="AV9109" s="7"/>
    </row>
    <row r="9110" spans="47:48" x14ac:dyDescent="0.25">
      <c r="AU9110" s="7"/>
      <c r="AV9110" s="7"/>
    </row>
    <row r="9111" spans="47:48" x14ac:dyDescent="0.25">
      <c r="AU9111" s="7"/>
      <c r="AV9111" s="7"/>
    </row>
    <row r="9112" spans="47:48" x14ac:dyDescent="0.25">
      <c r="AU9112" s="7"/>
      <c r="AV9112" s="7"/>
    </row>
    <row r="9113" spans="47:48" x14ac:dyDescent="0.25">
      <c r="AU9113" s="7"/>
      <c r="AV9113" s="7"/>
    </row>
    <row r="9114" spans="47:48" x14ac:dyDescent="0.25">
      <c r="AU9114" s="7"/>
      <c r="AV9114" s="7"/>
    </row>
    <row r="9115" spans="47:48" x14ac:dyDescent="0.25">
      <c r="AU9115" s="7"/>
      <c r="AV9115" s="7"/>
    </row>
    <row r="9116" spans="47:48" x14ac:dyDescent="0.25">
      <c r="AU9116" s="7"/>
      <c r="AV9116" s="7"/>
    </row>
    <row r="9117" spans="47:48" x14ac:dyDescent="0.25">
      <c r="AU9117" s="7"/>
      <c r="AV9117" s="7"/>
    </row>
    <row r="9118" spans="47:48" x14ac:dyDescent="0.25">
      <c r="AU9118" s="7"/>
      <c r="AV9118" s="7"/>
    </row>
    <row r="9119" spans="47:48" x14ac:dyDescent="0.25">
      <c r="AU9119" s="7"/>
      <c r="AV9119" s="7"/>
    </row>
    <row r="9120" spans="47:48" x14ac:dyDescent="0.25">
      <c r="AU9120" s="7"/>
      <c r="AV9120" s="7"/>
    </row>
    <row r="9121" spans="47:48" x14ac:dyDescent="0.25">
      <c r="AU9121" s="7"/>
      <c r="AV9121" s="7"/>
    </row>
    <row r="9122" spans="47:48" x14ac:dyDescent="0.25">
      <c r="AU9122" s="7"/>
      <c r="AV9122" s="7"/>
    </row>
    <row r="9123" spans="47:48" x14ac:dyDescent="0.25">
      <c r="AU9123" s="7"/>
      <c r="AV9123" s="7"/>
    </row>
    <row r="9124" spans="47:48" x14ac:dyDescent="0.25">
      <c r="AU9124" s="7"/>
      <c r="AV9124" s="7"/>
    </row>
    <row r="9125" spans="47:48" x14ac:dyDescent="0.25">
      <c r="AU9125" s="7"/>
      <c r="AV9125" s="7"/>
    </row>
    <row r="9126" spans="47:48" x14ac:dyDescent="0.25">
      <c r="AU9126" s="7"/>
      <c r="AV9126" s="7"/>
    </row>
    <row r="9127" spans="47:48" x14ac:dyDescent="0.25">
      <c r="AU9127" s="7"/>
      <c r="AV9127" s="7"/>
    </row>
    <row r="9128" spans="47:48" x14ac:dyDescent="0.25">
      <c r="AU9128" s="7"/>
      <c r="AV9128" s="7"/>
    </row>
    <row r="9129" spans="47:48" x14ac:dyDescent="0.25">
      <c r="AU9129" s="7"/>
      <c r="AV9129" s="7"/>
    </row>
    <row r="9130" spans="47:48" x14ac:dyDescent="0.25">
      <c r="AU9130" s="7"/>
      <c r="AV9130" s="7"/>
    </row>
    <row r="9131" spans="47:48" x14ac:dyDescent="0.25">
      <c r="AU9131" s="7"/>
      <c r="AV9131" s="7"/>
    </row>
    <row r="9132" spans="47:48" x14ac:dyDescent="0.25">
      <c r="AU9132" s="7"/>
      <c r="AV9132" s="7"/>
    </row>
    <row r="9133" spans="47:48" x14ac:dyDescent="0.25">
      <c r="AU9133" s="7"/>
      <c r="AV9133" s="7"/>
    </row>
    <row r="9134" spans="47:48" x14ac:dyDescent="0.25">
      <c r="AU9134" s="7"/>
      <c r="AV9134" s="7"/>
    </row>
    <row r="9135" spans="47:48" x14ac:dyDescent="0.25">
      <c r="AU9135" s="7"/>
      <c r="AV9135" s="7"/>
    </row>
    <row r="9136" spans="47:48" x14ac:dyDescent="0.25">
      <c r="AU9136" s="7"/>
      <c r="AV9136" s="7"/>
    </row>
    <row r="9137" spans="47:48" x14ac:dyDescent="0.25">
      <c r="AU9137" s="7"/>
      <c r="AV9137" s="7"/>
    </row>
    <row r="9138" spans="47:48" x14ac:dyDescent="0.25">
      <c r="AU9138" s="7"/>
      <c r="AV9138" s="7"/>
    </row>
    <row r="9139" spans="47:48" x14ac:dyDescent="0.25">
      <c r="AU9139" s="7"/>
      <c r="AV9139" s="7"/>
    </row>
    <row r="9140" spans="47:48" x14ac:dyDescent="0.25">
      <c r="AU9140" s="7"/>
      <c r="AV9140" s="7"/>
    </row>
    <row r="9141" spans="47:48" x14ac:dyDescent="0.25">
      <c r="AU9141" s="7"/>
      <c r="AV9141" s="7"/>
    </row>
    <row r="9142" spans="47:48" x14ac:dyDescent="0.25">
      <c r="AU9142" s="7"/>
      <c r="AV9142" s="7"/>
    </row>
    <row r="9143" spans="47:48" x14ac:dyDescent="0.25">
      <c r="AU9143" s="7"/>
      <c r="AV9143" s="7"/>
    </row>
    <row r="9144" spans="47:48" x14ac:dyDescent="0.25">
      <c r="AU9144" s="7"/>
      <c r="AV9144" s="7"/>
    </row>
    <row r="9145" spans="47:48" x14ac:dyDescent="0.25">
      <c r="AU9145" s="7"/>
      <c r="AV9145" s="7"/>
    </row>
    <row r="9146" spans="47:48" x14ac:dyDescent="0.25">
      <c r="AU9146" s="7"/>
      <c r="AV9146" s="7"/>
    </row>
    <row r="9147" spans="47:48" x14ac:dyDescent="0.25">
      <c r="AU9147" s="7"/>
      <c r="AV9147" s="7"/>
    </row>
    <row r="9148" spans="47:48" x14ac:dyDescent="0.25">
      <c r="AU9148" s="7"/>
      <c r="AV9148" s="7"/>
    </row>
    <row r="9149" spans="47:48" x14ac:dyDescent="0.25">
      <c r="AU9149" s="7"/>
      <c r="AV9149" s="7"/>
    </row>
    <row r="9150" spans="47:48" x14ac:dyDescent="0.25">
      <c r="AU9150" s="7"/>
      <c r="AV9150" s="7"/>
    </row>
    <row r="9151" spans="47:48" x14ac:dyDescent="0.25">
      <c r="AU9151" s="7"/>
      <c r="AV9151" s="7"/>
    </row>
    <row r="9152" spans="47:48" x14ac:dyDescent="0.25">
      <c r="AU9152" s="7"/>
      <c r="AV9152" s="7"/>
    </row>
    <row r="9153" spans="47:48" x14ac:dyDescent="0.25">
      <c r="AU9153" s="7"/>
      <c r="AV9153" s="7"/>
    </row>
    <row r="9154" spans="47:48" x14ac:dyDescent="0.25">
      <c r="AU9154" s="7"/>
      <c r="AV9154" s="7"/>
    </row>
    <row r="9155" spans="47:48" x14ac:dyDescent="0.25">
      <c r="AU9155" s="7"/>
      <c r="AV9155" s="7"/>
    </row>
    <row r="9156" spans="47:48" x14ac:dyDescent="0.25">
      <c r="AU9156" s="7"/>
      <c r="AV9156" s="7"/>
    </row>
    <row r="9157" spans="47:48" x14ac:dyDescent="0.25">
      <c r="AU9157" s="7"/>
      <c r="AV9157" s="7"/>
    </row>
    <row r="9158" spans="47:48" x14ac:dyDescent="0.25">
      <c r="AU9158" s="7"/>
      <c r="AV9158" s="7"/>
    </row>
    <row r="9159" spans="47:48" x14ac:dyDescent="0.25">
      <c r="AU9159" s="7"/>
      <c r="AV9159" s="7"/>
    </row>
    <row r="9160" spans="47:48" x14ac:dyDescent="0.25">
      <c r="AU9160" s="7"/>
      <c r="AV9160" s="7"/>
    </row>
    <row r="9161" spans="47:48" x14ac:dyDescent="0.25">
      <c r="AU9161" s="7"/>
      <c r="AV9161" s="7"/>
    </row>
    <row r="9162" spans="47:48" x14ac:dyDescent="0.25">
      <c r="AU9162" s="7"/>
      <c r="AV9162" s="7"/>
    </row>
    <row r="9163" spans="47:48" x14ac:dyDescent="0.25">
      <c r="AU9163" s="7"/>
      <c r="AV9163" s="7"/>
    </row>
    <row r="9164" spans="47:48" x14ac:dyDescent="0.25">
      <c r="AU9164" s="7"/>
      <c r="AV9164" s="7"/>
    </row>
    <row r="9165" spans="47:48" x14ac:dyDescent="0.25">
      <c r="AU9165" s="7"/>
      <c r="AV9165" s="7"/>
    </row>
    <row r="9166" spans="47:48" x14ac:dyDescent="0.25">
      <c r="AU9166" s="7"/>
      <c r="AV9166" s="7"/>
    </row>
    <row r="9167" spans="47:48" x14ac:dyDescent="0.25">
      <c r="AU9167" s="7"/>
      <c r="AV9167" s="7"/>
    </row>
    <row r="9168" spans="47:48" x14ac:dyDescent="0.25">
      <c r="AU9168" s="7"/>
      <c r="AV9168" s="7"/>
    </row>
    <row r="9169" spans="47:48" x14ac:dyDescent="0.25">
      <c r="AU9169" s="7"/>
      <c r="AV9169" s="7"/>
    </row>
    <row r="9170" spans="47:48" x14ac:dyDescent="0.25">
      <c r="AU9170" s="7"/>
      <c r="AV9170" s="7"/>
    </row>
    <row r="9171" spans="47:48" x14ac:dyDescent="0.25">
      <c r="AU9171" s="7"/>
      <c r="AV9171" s="7"/>
    </row>
    <row r="9172" spans="47:48" x14ac:dyDescent="0.25">
      <c r="AU9172" s="7"/>
      <c r="AV9172" s="7"/>
    </row>
    <row r="9173" spans="47:48" x14ac:dyDescent="0.25">
      <c r="AU9173" s="7"/>
      <c r="AV9173" s="7"/>
    </row>
    <row r="9174" spans="47:48" x14ac:dyDescent="0.25">
      <c r="AU9174" s="7"/>
      <c r="AV9174" s="7"/>
    </row>
    <row r="9175" spans="47:48" x14ac:dyDescent="0.25">
      <c r="AU9175" s="7"/>
      <c r="AV9175" s="7"/>
    </row>
    <row r="9176" spans="47:48" x14ac:dyDescent="0.25">
      <c r="AU9176" s="7"/>
      <c r="AV9176" s="7"/>
    </row>
    <row r="9177" spans="47:48" x14ac:dyDescent="0.25">
      <c r="AU9177" s="7"/>
      <c r="AV9177" s="7"/>
    </row>
    <row r="9178" spans="47:48" x14ac:dyDescent="0.25">
      <c r="AU9178" s="7"/>
      <c r="AV9178" s="7"/>
    </row>
    <row r="9179" spans="47:48" x14ac:dyDescent="0.25">
      <c r="AU9179" s="7"/>
      <c r="AV9179" s="7"/>
    </row>
    <row r="9180" spans="47:48" x14ac:dyDescent="0.25">
      <c r="AU9180" s="7"/>
      <c r="AV9180" s="7"/>
    </row>
    <row r="9181" spans="47:48" x14ac:dyDescent="0.25">
      <c r="AU9181" s="7"/>
      <c r="AV9181" s="7"/>
    </row>
    <row r="9182" spans="47:48" x14ac:dyDescent="0.25">
      <c r="AU9182" s="7"/>
      <c r="AV9182" s="7"/>
    </row>
    <row r="9183" spans="47:48" x14ac:dyDescent="0.25">
      <c r="AU9183" s="7"/>
      <c r="AV9183" s="7"/>
    </row>
    <row r="9184" spans="47:48" x14ac:dyDescent="0.25">
      <c r="AU9184" s="7"/>
      <c r="AV9184" s="7"/>
    </row>
    <row r="9185" spans="47:48" x14ac:dyDescent="0.25">
      <c r="AU9185" s="7"/>
      <c r="AV9185" s="7"/>
    </row>
    <row r="9186" spans="47:48" x14ac:dyDescent="0.25">
      <c r="AU9186" s="7"/>
      <c r="AV9186" s="7"/>
    </row>
    <row r="9187" spans="47:48" x14ac:dyDescent="0.25">
      <c r="AU9187" s="7"/>
      <c r="AV9187" s="7"/>
    </row>
    <row r="9188" spans="47:48" x14ac:dyDescent="0.25">
      <c r="AU9188" s="7"/>
      <c r="AV9188" s="7"/>
    </row>
    <row r="9189" spans="47:48" x14ac:dyDescent="0.25">
      <c r="AU9189" s="7"/>
      <c r="AV9189" s="7"/>
    </row>
    <row r="9190" spans="47:48" x14ac:dyDescent="0.25">
      <c r="AU9190" s="7"/>
      <c r="AV9190" s="7"/>
    </row>
    <row r="9191" spans="47:48" x14ac:dyDescent="0.25">
      <c r="AU9191" s="7"/>
      <c r="AV9191" s="7"/>
    </row>
    <row r="9192" spans="47:48" x14ac:dyDescent="0.25">
      <c r="AU9192" s="7"/>
      <c r="AV9192" s="7"/>
    </row>
    <row r="9193" spans="47:48" x14ac:dyDescent="0.25">
      <c r="AU9193" s="7"/>
      <c r="AV9193" s="7"/>
    </row>
    <row r="9194" spans="47:48" x14ac:dyDescent="0.25">
      <c r="AU9194" s="7"/>
      <c r="AV9194" s="7"/>
    </row>
    <row r="9195" spans="47:48" x14ac:dyDescent="0.25">
      <c r="AU9195" s="7"/>
      <c r="AV9195" s="7"/>
    </row>
    <row r="9196" spans="47:48" x14ac:dyDescent="0.25">
      <c r="AU9196" s="7"/>
      <c r="AV9196" s="7"/>
    </row>
    <row r="9197" spans="47:48" x14ac:dyDescent="0.25">
      <c r="AU9197" s="7"/>
      <c r="AV9197" s="7"/>
    </row>
    <row r="9198" spans="47:48" x14ac:dyDescent="0.25">
      <c r="AU9198" s="7"/>
      <c r="AV9198" s="7"/>
    </row>
    <row r="9199" spans="47:48" x14ac:dyDescent="0.25">
      <c r="AU9199" s="7"/>
      <c r="AV9199" s="7"/>
    </row>
    <row r="9200" spans="47:48" x14ac:dyDescent="0.25">
      <c r="AU9200" s="7"/>
      <c r="AV9200" s="7"/>
    </row>
    <row r="9201" spans="47:48" x14ac:dyDescent="0.25">
      <c r="AU9201" s="7"/>
      <c r="AV9201" s="7"/>
    </row>
    <row r="9202" spans="47:48" x14ac:dyDescent="0.25">
      <c r="AU9202" s="7"/>
      <c r="AV9202" s="7"/>
    </row>
    <row r="9203" spans="47:48" x14ac:dyDescent="0.25">
      <c r="AU9203" s="7"/>
      <c r="AV9203" s="7"/>
    </row>
    <row r="9204" spans="47:48" x14ac:dyDescent="0.25">
      <c r="AU9204" s="7"/>
      <c r="AV9204" s="7"/>
    </row>
    <row r="9205" spans="47:48" x14ac:dyDescent="0.25">
      <c r="AU9205" s="7"/>
      <c r="AV9205" s="7"/>
    </row>
    <row r="9206" spans="47:48" x14ac:dyDescent="0.25">
      <c r="AU9206" s="7"/>
      <c r="AV9206" s="7"/>
    </row>
    <row r="9207" spans="47:48" x14ac:dyDescent="0.25">
      <c r="AU9207" s="7"/>
      <c r="AV9207" s="7"/>
    </row>
    <row r="9208" spans="47:48" x14ac:dyDescent="0.25">
      <c r="AU9208" s="7"/>
      <c r="AV9208" s="7"/>
    </row>
    <row r="9209" spans="47:48" x14ac:dyDescent="0.25">
      <c r="AU9209" s="7"/>
      <c r="AV9209" s="7"/>
    </row>
    <row r="9210" spans="47:48" x14ac:dyDescent="0.25">
      <c r="AU9210" s="7"/>
      <c r="AV9210" s="7"/>
    </row>
    <row r="9211" spans="47:48" x14ac:dyDescent="0.25">
      <c r="AU9211" s="7"/>
      <c r="AV9211" s="7"/>
    </row>
    <row r="9212" spans="47:48" x14ac:dyDescent="0.25">
      <c r="AU9212" s="7"/>
      <c r="AV9212" s="7"/>
    </row>
    <row r="9213" spans="47:48" x14ac:dyDescent="0.25">
      <c r="AU9213" s="7"/>
      <c r="AV9213" s="7"/>
    </row>
    <row r="9214" spans="47:48" x14ac:dyDescent="0.25">
      <c r="AU9214" s="7"/>
      <c r="AV9214" s="7"/>
    </row>
    <row r="9215" spans="47:48" x14ac:dyDescent="0.25">
      <c r="AU9215" s="7"/>
      <c r="AV9215" s="7"/>
    </row>
    <row r="9216" spans="47:48" x14ac:dyDescent="0.25">
      <c r="AU9216" s="7"/>
      <c r="AV9216" s="7"/>
    </row>
    <row r="9217" spans="47:48" x14ac:dyDescent="0.25">
      <c r="AU9217" s="7"/>
      <c r="AV9217" s="7"/>
    </row>
    <row r="9218" spans="47:48" x14ac:dyDescent="0.25">
      <c r="AU9218" s="7"/>
      <c r="AV9218" s="7"/>
    </row>
    <row r="9219" spans="47:48" x14ac:dyDescent="0.25">
      <c r="AU9219" s="7"/>
      <c r="AV9219" s="7"/>
    </row>
    <row r="9220" spans="47:48" x14ac:dyDescent="0.25">
      <c r="AU9220" s="7"/>
      <c r="AV9220" s="7"/>
    </row>
    <row r="9221" spans="47:48" x14ac:dyDescent="0.25">
      <c r="AU9221" s="7"/>
      <c r="AV9221" s="7"/>
    </row>
    <row r="9222" spans="47:48" x14ac:dyDescent="0.25">
      <c r="AU9222" s="7"/>
      <c r="AV9222" s="7"/>
    </row>
    <row r="9223" spans="47:48" x14ac:dyDescent="0.25">
      <c r="AU9223" s="7"/>
      <c r="AV9223" s="7"/>
    </row>
    <row r="9224" spans="47:48" x14ac:dyDescent="0.25">
      <c r="AU9224" s="7"/>
      <c r="AV9224" s="7"/>
    </row>
    <row r="9225" spans="47:48" x14ac:dyDescent="0.25">
      <c r="AU9225" s="7"/>
      <c r="AV9225" s="7"/>
    </row>
    <row r="9226" spans="47:48" x14ac:dyDescent="0.25">
      <c r="AU9226" s="7"/>
      <c r="AV9226" s="7"/>
    </row>
    <row r="9227" spans="47:48" x14ac:dyDescent="0.25">
      <c r="AU9227" s="7"/>
      <c r="AV9227" s="7"/>
    </row>
    <row r="9228" spans="47:48" x14ac:dyDescent="0.25">
      <c r="AU9228" s="7"/>
      <c r="AV9228" s="7"/>
    </row>
    <row r="9229" spans="47:48" x14ac:dyDescent="0.25">
      <c r="AU9229" s="7"/>
      <c r="AV9229" s="7"/>
    </row>
    <row r="9230" spans="47:48" x14ac:dyDescent="0.25">
      <c r="AU9230" s="7"/>
      <c r="AV9230" s="7"/>
    </row>
    <row r="9231" spans="47:48" x14ac:dyDescent="0.25">
      <c r="AU9231" s="7"/>
      <c r="AV9231" s="7"/>
    </row>
    <row r="9232" spans="47:48" x14ac:dyDescent="0.25">
      <c r="AU9232" s="7"/>
      <c r="AV9232" s="7"/>
    </row>
    <row r="9233" spans="47:48" x14ac:dyDescent="0.25">
      <c r="AU9233" s="7"/>
      <c r="AV9233" s="7"/>
    </row>
    <row r="9234" spans="47:48" x14ac:dyDescent="0.25">
      <c r="AU9234" s="7"/>
      <c r="AV9234" s="7"/>
    </row>
    <row r="9235" spans="47:48" x14ac:dyDescent="0.25">
      <c r="AU9235" s="7"/>
      <c r="AV9235" s="7"/>
    </row>
    <row r="9236" spans="47:48" x14ac:dyDescent="0.25">
      <c r="AU9236" s="7"/>
      <c r="AV9236" s="7"/>
    </row>
    <row r="9237" spans="47:48" x14ac:dyDescent="0.25">
      <c r="AU9237" s="7"/>
      <c r="AV9237" s="7"/>
    </row>
    <row r="9238" spans="47:48" x14ac:dyDescent="0.25">
      <c r="AU9238" s="7"/>
      <c r="AV9238" s="7"/>
    </row>
    <row r="9239" spans="47:48" x14ac:dyDescent="0.25">
      <c r="AU9239" s="7"/>
      <c r="AV9239" s="7"/>
    </row>
    <row r="9240" spans="47:48" x14ac:dyDescent="0.25">
      <c r="AU9240" s="7"/>
      <c r="AV9240" s="7"/>
    </row>
    <row r="9241" spans="47:48" x14ac:dyDescent="0.25">
      <c r="AU9241" s="7"/>
      <c r="AV9241" s="7"/>
    </row>
    <row r="9242" spans="47:48" x14ac:dyDescent="0.25">
      <c r="AU9242" s="7"/>
      <c r="AV9242" s="7"/>
    </row>
    <row r="9243" spans="47:48" x14ac:dyDescent="0.25">
      <c r="AU9243" s="7"/>
      <c r="AV9243" s="7"/>
    </row>
    <row r="9244" spans="47:48" x14ac:dyDescent="0.25">
      <c r="AU9244" s="7"/>
      <c r="AV9244" s="7"/>
    </row>
    <row r="9245" spans="47:48" x14ac:dyDescent="0.25">
      <c r="AU9245" s="7"/>
      <c r="AV9245" s="7"/>
    </row>
    <row r="9246" spans="47:48" x14ac:dyDescent="0.25">
      <c r="AU9246" s="7"/>
      <c r="AV9246" s="7"/>
    </row>
    <row r="9247" spans="47:48" x14ac:dyDescent="0.25">
      <c r="AU9247" s="7"/>
      <c r="AV9247" s="7"/>
    </row>
    <row r="9248" spans="47:48" x14ac:dyDescent="0.25">
      <c r="AU9248" s="7"/>
      <c r="AV9248" s="7"/>
    </row>
    <row r="9249" spans="47:48" x14ac:dyDescent="0.25">
      <c r="AU9249" s="7"/>
      <c r="AV9249" s="7"/>
    </row>
    <row r="9250" spans="47:48" x14ac:dyDescent="0.25">
      <c r="AU9250" s="7"/>
      <c r="AV9250" s="7"/>
    </row>
    <row r="9251" spans="47:48" x14ac:dyDescent="0.25">
      <c r="AU9251" s="7"/>
      <c r="AV9251" s="7"/>
    </row>
    <row r="9252" spans="47:48" x14ac:dyDescent="0.25">
      <c r="AU9252" s="7"/>
      <c r="AV9252" s="7"/>
    </row>
    <row r="9253" spans="47:48" x14ac:dyDescent="0.25">
      <c r="AU9253" s="7"/>
      <c r="AV9253" s="7"/>
    </row>
    <row r="9254" spans="47:48" x14ac:dyDescent="0.25">
      <c r="AU9254" s="7"/>
      <c r="AV9254" s="7"/>
    </row>
    <row r="9255" spans="47:48" x14ac:dyDescent="0.25">
      <c r="AU9255" s="7"/>
      <c r="AV9255" s="7"/>
    </row>
    <row r="9256" spans="47:48" x14ac:dyDescent="0.25">
      <c r="AU9256" s="7"/>
      <c r="AV9256" s="7"/>
    </row>
    <row r="9257" spans="47:48" x14ac:dyDescent="0.25">
      <c r="AU9257" s="7"/>
      <c r="AV9257" s="7"/>
    </row>
    <row r="9258" spans="47:48" x14ac:dyDescent="0.25">
      <c r="AU9258" s="7"/>
      <c r="AV9258" s="7"/>
    </row>
    <row r="9259" spans="47:48" x14ac:dyDescent="0.25">
      <c r="AU9259" s="7"/>
      <c r="AV9259" s="7"/>
    </row>
    <row r="9260" spans="47:48" x14ac:dyDescent="0.25">
      <c r="AU9260" s="7"/>
      <c r="AV9260" s="7"/>
    </row>
    <row r="9261" spans="47:48" x14ac:dyDescent="0.25">
      <c r="AU9261" s="7"/>
      <c r="AV9261" s="7"/>
    </row>
    <row r="9262" spans="47:48" x14ac:dyDescent="0.25">
      <c r="AU9262" s="7"/>
      <c r="AV9262" s="7"/>
    </row>
    <row r="9263" spans="47:48" x14ac:dyDescent="0.25">
      <c r="AU9263" s="7"/>
      <c r="AV9263" s="7"/>
    </row>
    <row r="9264" spans="47:48" x14ac:dyDescent="0.25">
      <c r="AU9264" s="7"/>
      <c r="AV9264" s="7"/>
    </row>
    <row r="9265" spans="47:48" x14ac:dyDescent="0.25">
      <c r="AU9265" s="7"/>
      <c r="AV9265" s="7"/>
    </row>
    <row r="9266" spans="47:48" x14ac:dyDescent="0.25">
      <c r="AU9266" s="7"/>
      <c r="AV9266" s="7"/>
    </row>
    <row r="9267" spans="47:48" x14ac:dyDescent="0.25">
      <c r="AU9267" s="7"/>
      <c r="AV9267" s="7"/>
    </row>
    <row r="9268" spans="47:48" x14ac:dyDescent="0.25">
      <c r="AU9268" s="7"/>
      <c r="AV9268" s="7"/>
    </row>
    <row r="9269" spans="47:48" x14ac:dyDescent="0.25">
      <c r="AU9269" s="7"/>
      <c r="AV9269" s="7"/>
    </row>
    <row r="9270" spans="47:48" x14ac:dyDescent="0.25">
      <c r="AU9270" s="7"/>
      <c r="AV9270" s="7"/>
    </row>
    <row r="9271" spans="47:48" x14ac:dyDescent="0.25">
      <c r="AU9271" s="7"/>
      <c r="AV9271" s="7"/>
    </row>
    <row r="9272" spans="47:48" x14ac:dyDescent="0.25">
      <c r="AU9272" s="7"/>
      <c r="AV9272" s="7"/>
    </row>
    <row r="9273" spans="47:48" x14ac:dyDescent="0.25">
      <c r="AU9273" s="7"/>
      <c r="AV9273" s="7"/>
    </row>
    <row r="9274" spans="47:48" x14ac:dyDescent="0.25">
      <c r="AU9274" s="7"/>
      <c r="AV9274" s="7"/>
    </row>
    <row r="9275" spans="47:48" x14ac:dyDescent="0.25">
      <c r="AU9275" s="7"/>
      <c r="AV9275" s="7"/>
    </row>
    <row r="9276" spans="47:48" x14ac:dyDescent="0.25">
      <c r="AU9276" s="7"/>
      <c r="AV9276" s="7"/>
    </row>
    <row r="9277" spans="47:48" x14ac:dyDescent="0.25">
      <c r="AU9277" s="7"/>
      <c r="AV9277" s="7"/>
    </row>
    <row r="9278" spans="47:48" x14ac:dyDescent="0.25">
      <c r="AU9278" s="7"/>
      <c r="AV9278" s="7"/>
    </row>
    <row r="9279" spans="47:48" x14ac:dyDescent="0.25">
      <c r="AU9279" s="7"/>
      <c r="AV9279" s="7"/>
    </row>
    <row r="9280" spans="47:48" x14ac:dyDescent="0.25">
      <c r="AU9280" s="7"/>
      <c r="AV9280" s="7"/>
    </row>
    <row r="9281" spans="47:48" x14ac:dyDescent="0.25">
      <c r="AU9281" s="7"/>
      <c r="AV9281" s="7"/>
    </row>
    <row r="9282" spans="47:48" x14ac:dyDescent="0.25">
      <c r="AU9282" s="7"/>
      <c r="AV9282" s="7"/>
    </row>
    <row r="9283" spans="47:48" x14ac:dyDescent="0.25">
      <c r="AU9283" s="7"/>
      <c r="AV9283" s="7"/>
    </row>
    <row r="9284" spans="47:48" x14ac:dyDescent="0.25">
      <c r="AU9284" s="7"/>
      <c r="AV9284" s="7"/>
    </row>
    <row r="9285" spans="47:48" x14ac:dyDescent="0.25">
      <c r="AU9285" s="7"/>
      <c r="AV9285" s="7"/>
    </row>
    <row r="9286" spans="47:48" x14ac:dyDescent="0.25">
      <c r="AU9286" s="7"/>
      <c r="AV9286" s="7"/>
    </row>
    <row r="9287" spans="47:48" x14ac:dyDescent="0.25">
      <c r="AU9287" s="7"/>
      <c r="AV9287" s="7"/>
    </row>
    <row r="9288" spans="47:48" x14ac:dyDescent="0.25">
      <c r="AU9288" s="7"/>
      <c r="AV9288" s="7"/>
    </row>
    <row r="9289" spans="47:48" x14ac:dyDescent="0.25">
      <c r="AU9289" s="7"/>
      <c r="AV9289" s="7"/>
    </row>
    <row r="9290" spans="47:48" x14ac:dyDescent="0.25">
      <c r="AU9290" s="7"/>
      <c r="AV9290" s="7"/>
    </row>
    <row r="9291" spans="47:48" x14ac:dyDescent="0.25">
      <c r="AU9291" s="7"/>
      <c r="AV9291" s="7"/>
    </row>
    <row r="9292" spans="47:48" x14ac:dyDescent="0.25">
      <c r="AU9292" s="7"/>
      <c r="AV9292" s="7"/>
    </row>
    <row r="9293" spans="47:48" x14ac:dyDescent="0.25">
      <c r="AU9293" s="7"/>
      <c r="AV9293" s="7"/>
    </row>
    <row r="9294" spans="47:48" x14ac:dyDescent="0.25">
      <c r="AU9294" s="7"/>
      <c r="AV9294" s="7"/>
    </row>
    <row r="9295" spans="47:48" x14ac:dyDescent="0.25">
      <c r="AU9295" s="7"/>
      <c r="AV9295" s="7"/>
    </row>
    <row r="9296" spans="47:48" x14ac:dyDescent="0.25">
      <c r="AU9296" s="7"/>
      <c r="AV9296" s="7"/>
    </row>
    <row r="9297" spans="47:48" x14ac:dyDescent="0.25">
      <c r="AU9297" s="7"/>
      <c r="AV9297" s="7"/>
    </row>
    <row r="9298" spans="47:48" x14ac:dyDescent="0.25">
      <c r="AU9298" s="7"/>
      <c r="AV9298" s="7"/>
    </row>
    <row r="9299" spans="47:48" x14ac:dyDescent="0.25">
      <c r="AU9299" s="7"/>
      <c r="AV9299" s="7"/>
    </row>
    <row r="9300" spans="47:48" x14ac:dyDescent="0.25">
      <c r="AU9300" s="7"/>
      <c r="AV9300" s="7"/>
    </row>
    <row r="9301" spans="47:48" x14ac:dyDescent="0.25">
      <c r="AU9301" s="7"/>
      <c r="AV9301" s="7"/>
    </row>
    <row r="9302" spans="47:48" x14ac:dyDescent="0.25">
      <c r="AU9302" s="7"/>
      <c r="AV9302" s="7"/>
    </row>
    <row r="9303" spans="47:48" x14ac:dyDescent="0.25">
      <c r="AU9303" s="7"/>
      <c r="AV9303" s="7"/>
    </row>
    <row r="9304" spans="47:48" x14ac:dyDescent="0.25">
      <c r="AU9304" s="7"/>
      <c r="AV9304" s="7"/>
    </row>
    <row r="9305" spans="47:48" x14ac:dyDescent="0.25">
      <c r="AU9305" s="7"/>
      <c r="AV9305" s="7"/>
    </row>
    <row r="9306" spans="47:48" x14ac:dyDescent="0.25">
      <c r="AU9306" s="7"/>
      <c r="AV9306" s="7"/>
    </row>
    <row r="9307" spans="47:48" x14ac:dyDescent="0.25">
      <c r="AU9307" s="7"/>
      <c r="AV9307" s="7"/>
    </row>
    <row r="9308" spans="47:48" x14ac:dyDescent="0.25">
      <c r="AU9308" s="7"/>
      <c r="AV9308" s="7"/>
    </row>
    <row r="9309" spans="47:48" x14ac:dyDescent="0.25">
      <c r="AU9309" s="7"/>
      <c r="AV9309" s="7"/>
    </row>
    <row r="9310" spans="47:48" x14ac:dyDescent="0.25">
      <c r="AU9310" s="7"/>
      <c r="AV9310" s="7"/>
    </row>
    <row r="9311" spans="47:48" x14ac:dyDescent="0.25">
      <c r="AU9311" s="7"/>
      <c r="AV9311" s="7"/>
    </row>
    <row r="9312" spans="47:48" x14ac:dyDescent="0.25">
      <c r="AU9312" s="7"/>
      <c r="AV9312" s="7"/>
    </row>
    <row r="9313" spans="47:48" x14ac:dyDescent="0.25">
      <c r="AU9313" s="7"/>
      <c r="AV9313" s="7"/>
    </row>
    <row r="9314" spans="47:48" x14ac:dyDescent="0.25">
      <c r="AU9314" s="7"/>
      <c r="AV9314" s="7"/>
    </row>
    <row r="9315" spans="47:48" x14ac:dyDescent="0.25">
      <c r="AU9315" s="7"/>
      <c r="AV9315" s="7"/>
    </row>
    <row r="9316" spans="47:48" x14ac:dyDescent="0.25">
      <c r="AU9316" s="7"/>
      <c r="AV9316" s="7"/>
    </row>
    <row r="9317" spans="47:48" x14ac:dyDescent="0.25">
      <c r="AU9317" s="7"/>
      <c r="AV9317" s="7"/>
    </row>
    <row r="9318" spans="47:48" x14ac:dyDescent="0.25">
      <c r="AU9318" s="7"/>
      <c r="AV9318" s="7"/>
    </row>
    <row r="9319" spans="47:48" x14ac:dyDescent="0.25">
      <c r="AU9319" s="7"/>
      <c r="AV9319" s="7"/>
    </row>
    <row r="9320" spans="47:48" x14ac:dyDescent="0.25">
      <c r="AU9320" s="7"/>
      <c r="AV9320" s="7"/>
    </row>
    <row r="9321" spans="47:48" x14ac:dyDescent="0.25">
      <c r="AU9321" s="7"/>
      <c r="AV9321" s="7"/>
    </row>
    <row r="9322" spans="47:48" x14ac:dyDescent="0.25">
      <c r="AU9322" s="7"/>
      <c r="AV9322" s="7"/>
    </row>
    <row r="9323" spans="47:48" x14ac:dyDescent="0.25">
      <c r="AU9323" s="7"/>
      <c r="AV9323" s="7"/>
    </row>
    <row r="9324" spans="47:48" x14ac:dyDescent="0.25">
      <c r="AU9324" s="7"/>
      <c r="AV9324" s="7"/>
    </row>
    <row r="9325" spans="47:48" x14ac:dyDescent="0.25">
      <c r="AU9325" s="7"/>
      <c r="AV9325" s="7"/>
    </row>
    <row r="9326" spans="47:48" x14ac:dyDescent="0.25">
      <c r="AU9326" s="7"/>
      <c r="AV9326" s="7"/>
    </row>
    <row r="9327" spans="47:48" x14ac:dyDescent="0.25">
      <c r="AU9327" s="7"/>
      <c r="AV9327" s="7"/>
    </row>
    <row r="9328" spans="47:48" x14ac:dyDescent="0.25">
      <c r="AU9328" s="7"/>
      <c r="AV9328" s="7"/>
    </row>
    <row r="9329" spans="47:48" x14ac:dyDescent="0.25">
      <c r="AU9329" s="7"/>
      <c r="AV9329" s="7"/>
    </row>
    <row r="9330" spans="47:48" x14ac:dyDescent="0.25">
      <c r="AU9330" s="7"/>
      <c r="AV9330" s="7"/>
    </row>
    <row r="9331" spans="47:48" x14ac:dyDescent="0.25">
      <c r="AU9331" s="7"/>
      <c r="AV9331" s="7"/>
    </row>
    <row r="9332" spans="47:48" x14ac:dyDescent="0.25">
      <c r="AU9332" s="7"/>
      <c r="AV9332" s="7"/>
    </row>
    <row r="9333" spans="47:48" x14ac:dyDescent="0.25">
      <c r="AU9333" s="7"/>
      <c r="AV9333" s="7"/>
    </row>
    <row r="9334" spans="47:48" x14ac:dyDescent="0.25">
      <c r="AU9334" s="7"/>
      <c r="AV9334" s="7"/>
    </row>
    <row r="9335" spans="47:48" x14ac:dyDescent="0.25">
      <c r="AU9335" s="7"/>
      <c r="AV9335" s="7"/>
    </row>
    <row r="9336" spans="47:48" x14ac:dyDescent="0.25">
      <c r="AU9336" s="7"/>
      <c r="AV9336" s="7"/>
    </row>
    <row r="9337" spans="47:48" x14ac:dyDescent="0.25">
      <c r="AU9337" s="7"/>
      <c r="AV9337" s="7"/>
    </row>
    <row r="9338" spans="47:48" x14ac:dyDescent="0.25">
      <c r="AU9338" s="7"/>
      <c r="AV9338" s="7"/>
    </row>
    <row r="9339" spans="47:48" x14ac:dyDescent="0.25">
      <c r="AU9339" s="7"/>
      <c r="AV9339" s="7"/>
    </row>
    <row r="9340" spans="47:48" x14ac:dyDescent="0.25">
      <c r="AU9340" s="7"/>
      <c r="AV9340" s="7"/>
    </row>
    <row r="9341" spans="47:48" x14ac:dyDescent="0.25">
      <c r="AU9341" s="7"/>
      <c r="AV9341" s="7"/>
    </row>
    <row r="9342" spans="47:48" x14ac:dyDescent="0.25">
      <c r="AU9342" s="7"/>
      <c r="AV9342" s="7"/>
    </row>
    <row r="9343" spans="47:48" x14ac:dyDescent="0.25">
      <c r="AU9343" s="7"/>
      <c r="AV9343" s="7"/>
    </row>
    <row r="9344" spans="47:48" x14ac:dyDescent="0.25">
      <c r="AU9344" s="7"/>
      <c r="AV9344" s="7"/>
    </row>
    <row r="9345" spans="47:48" x14ac:dyDescent="0.25">
      <c r="AU9345" s="7"/>
      <c r="AV9345" s="7"/>
    </row>
    <row r="9346" spans="47:48" x14ac:dyDescent="0.25">
      <c r="AU9346" s="7"/>
      <c r="AV9346" s="7"/>
    </row>
    <row r="9347" spans="47:48" x14ac:dyDescent="0.25">
      <c r="AU9347" s="7"/>
      <c r="AV9347" s="7"/>
    </row>
    <row r="9348" spans="47:48" x14ac:dyDescent="0.25">
      <c r="AU9348" s="7"/>
      <c r="AV9348" s="7"/>
    </row>
    <row r="9349" spans="47:48" x14ac:dyDescent="0.25">
      <c r="AU9349" s="7"/>
      <c r="AV9349" s="7"/>
    </row>
    <row r="9350" spans="47:48" x14ac:dyDescent="0.25">
      <c r="AU9350" s="7"/>
      <c r="AV9350" s="7"/>
    </row>
    <row r="9351" spans="47:48" x14ac:dyDescent="0.25">
      <c r="AU9351" s="7"/>
      <c r="AV9351" s="7"/>
    </row>
    <row r="9352" spans="47:48" x14ac:dyDescent="0.25">
      <c r="AU9352" s="7"/>
      <c r="AV9352" s="7"/>
    </row>
    <row r="9353" spans="47:48" x14ac:dyDescent="0.25">
      <c r="AU9353" s="7"/>
      <c r="AV9353" s="7"/>
    </row>
    <row r="9354" spans="47:48" x14ac:dyDescent="0.25">
      <c r="AU9354" s="7"/>
      <c r="AV9354" s="7"/>
    </row>
    <row r="9355" spans="47:48" x14ac:dyDescent="0.25">
      <c r="AU9355" s="7"/>
      <c r="AV9355" s="7"/>
    </row>
    <row r="9356" spans="47:48" x14ac:dyDescent="0.25">
      <c r="AU9356" s="7"/>
      <c r="AV9356" s="7"/>
    </row>
    <row r="9357" spans="47:48" x14ac:dyDescent="0.25">
      <c r="AU9357" s="7"/>
      <c r="AV9357" s="7"/>
    </row>
    <row r="9358" spans="47:48" x14ac:dyDescent="0.25">
      <c r="AU9358" s="7"/>
      <c r="AV9358" s="7"/>
    </row>
    <row r="9359" spans="47:48" x14ac:dyDescent="0.25">
      <c r="AU9359" s="7"/>
      <c r="AV9359" s="7"/>
    </row>
    <row r="9360" spans="47:48" x14ac:dyDescent="0.25">
      <c r="AU9360" s="7"/>
      <c r="AV9360" s="7"/>
    </row>
    <row r="9361" spans="47:48" x14ac:dyDescent="0.25">
      <c r="AU9361" s="7"/>
      <c r="AV9361" s="7"/>
    </row>
    <row r="9362" spans="47:48" x14ac:dyDescent="0.25">
      <c r="AU9362" s="7"/>
      <c r="AV9362" s="7"/>
    </row>
    <row r="9363" spans="47:48" x14ac:dyDescent="0.25">
      <c r="AU9363" s="7"/>
      <c r="AV9363" s="7"/>
    </row>
    <row r="9364" spans="47:48" x14ac:dyDescent="0.25">
      <c r="AU9364" s="7"/>
      <c r="AV9364" s="7"/>
    </row>
    <row r="9365" spans="47:48" x14ac:dyDescent="0.25">
      <c r="AU9365" s="7"/>
      <c r="AV9365" s="7"/>
    </row>
    <row r="9366" spans="47:48" x14ac:dyDescent="0.25">
      <c r="AU9366" s="7"/>
      <c r="AV9366" s="7"/>
    </row>
    <row r="9367" spans="47:48" x14ac:dyDescent="0.25">
      <c r="AU9367" s="7"/>
      <c r="AV9367" s="7"/>
    </row>
    <row r="9368" spans="47:48" x14ac:dyDescent="0.25">
      <c r="AU9368" s="7"/>
      <c r="AV9368" s="7"/>
    </row>
    <row r="9369" spans="47:48" x14ac:dyDescent="0.25">
      <c r="AU9369" s="7"/>
      <c r="AV9369" s="7"/>
    </row>
    <row r="9370" spans="47:48" x14ac:dyDescent="0.25">
      <c r="AU9370" s="7"/>
      <c r="AV9370" s="7"/>
    </row>
    <row r="9371" spans="47:48" x14ac:dyDescent="0.25">
      <c r="AU9371" s="7"/>
      <c r="AV9371" s="7"/>
    </row>
    <row r="9372" spans="47:48" x14ac:dyDescent="0.25">
      <c r="AU9372" s="7"/>
      <c r="AV9372" s="7"/>
    </row>
    <row r="9373" spans="47:48" x14ac:dyDescent="0.25">
      <c r="AU9373" s="7"/>
      <c r="AV9373" s="7"/>
    </row>
    <row r="9374" spans="47:48" x14ac:dyDescent="0.25">
      <c r="AU9374" s="7"/>
      <c r="AV9374" s="7"/>
    </row>
    <row r="9375" spans="47:48" x14ac:dyDescent="0.25">
      <c r="AU9375" s="7"/>
      <c r="AV9375" s="7"/>
    </row>
    <row r="9376" spans="47:48" x14ac:dyDescent="0.25">
      <c r="AU9376" s="7"/>
      <c r="AV9376" s="7"/>
    </row>
    <row r="9377" spans="47:48" x14ac:dyDescent="0.25">
      <c r="AU9377" s="7"/>
      <c r="AV9377" s="7"/>
    </row>
    <row r="9378" spans="47:48" x14ac:dyDescent="0.25">
      <c r="AU9378" s="7"/>
      <c r="AV9378" s="7"/>
    </row>
    <row r="9379" spans="47:48" x14ac:dyDescent="0.25">
      <c r="AU9379" s="7"/>
      <c r="AV9379" s="7"/>
    </row>
    <row r="9380" spans="47:48" x14ac:dyDescent="0.25">
      <c r="AU9380" s="7"/>
      <c r="AV9380" s="7"/>
    </row>
    <row r="9381" spans="47:48" x14ac:dyDescent="0.25">
      <c r="AU9381" s="7"/>
      <c r="AV9381" s="7"/>
    </row>
    <row r="9382" spans="47:48" x14ac:dyDescent="0.25">
      <c r="AU9382" s="7"/>
      <c r="AV9382" s="7"/>
    </row>
    <row r="9383" spans="47:48" x14ac:dyDescent="0.25">
      <c r="AU9383" s="7"/>
      <c r="AV9383" s="7"/>
    </row>
    <row r="9384" spans="47:48" x14ac:dyDescent="0.25">
      <c r="AU9384" s="7"/>
      <c r="AV9384" s="7"/>
    </row>
    <row r="9385" spans="47:48" x14ac:dyDescent="0.25">
      <c r="AU9385" s="7"/>
      <c r="AV9385" s="7"/>
    </row>
    <row r="9386" spans="47:48" x14ac:dyDescent="0.25">
      <c r="AU9386" s="7"/>
      <c r="AV9386" s="7"/>
    </row>
    <row r="9387" spans="47:48" x14ac:dyDescent="0.25">
      <c r="AU9387" s="7"/>
      <c r="AV9387" s="7"/>
    </row>
    <row r="9388" spans="47:48" x14ac:dyDescent="0.25">
      <c r="AU9388" s="7"/>
      <c r="AV9388" s="7"/>
    </row>
    <row r="9389" spans="47:48" x14ac:dyDescent="0.25">
      <c r="AU9389" s="7"/>
      <c r="AV9389" s="7"/>
    </row>
    <row r="9390" spans="47:48" x14ac:dyDescent="0.25">
      <c r="AU9390" s="7"/>
      <c r="AV9390" s="7"/>
    </row>
    <row r="9391" spans="47:48" x14ac:dyDescent="0.25">
      <c r="AU9391" s="7"/>
      <c r="AV9391" s="7"/>
    </row>
    <row r="9392" spans="47:48" x14ac:dyDescent="0.25">
      <c r="AU9392" s="7"/>
      <c r="AV9392" s="7"/>
    </row>
    <row r="9393" spans="47:48" x14ac:dyDescent="0.25">
      <c r="AU9393" s="7"/>
      <c r="AV9393" s="7"/>
    </row>
    <row r="9394" spans="47:48" x14ac:dyDescent="0.25">
      <c r="AU9394" s="7"/>
      <c r="AV9394" s="7"/>
    </row>
    <row r="9395" spans="47:48" x14ac:dyDescent="0.25">
      <c r="AU9395" s="7"/>
      <c r="AV9395" s="7"/>
    </row>
    <row r="9396" spans="47:48" x14ac:dyDescent="0.25">
      <c r="AU9396" s="7"/>
      <c r="AV9396" s="7"/>
    </row>
    <row r="9397" spans="47:48" x14ac:dyDescent="0.25">
      <c r="AU9397" s="7"/>
      <c r="AV9397" s="7"/>
    </row>
    <row r="9398" spans="47:48" x14ac:dyDescent="0.25">
      <c r="AU9398" s="7"/>
      <c r="AV9398" s="7"/>
    </row>
    <row r="9399" spans="47:48" x14ac:dyDescent="0.25">
      <c r="AU9399" s="7"/>
      <c r="AV9399" s="7"/>
    </row>
    <row r="9400" spans="47:48" x14ac:dyDescent="0.25">
      <c r="AU9400" s="7"/>
      <c r="AV9400" s="7"/>
    </row>
    <row r="9401" spans="47:48" x14ac:dyDescent="0.25">
      <c r="AU9401" s="7"/>
      <c r="AV9401" s="7"/>
    </row>
    <row r="9402" spans="47:48" x14ac:dyDescent="0.25">
      <c r="AU9402" s="7"/>
      <c r="AV9402" s="7"/>
    </row>
    <row r="9403" spans="47:48" x14ac:dyDescent="0.25">
      <c r="AU9403" s="7"/>
      <c r="AV9403" s="7"/>
    </row>
    <row r="9404" spans="47:48" x14ac:dyDescent="0.25">
      <c r="AU9404" s="7"/>
      <c r="AV9404" s="7"/>
    </row>
    <row r="9405" spans="47:48" x14ac:dyDescent="0.25">
      <c r="AU9405" s="7"/>
      <c r="AV9405" s="7"/>
    </row>
    <row r="9406" spans="47:48" x14ac:dyDescent="0.25">
      <c r="AU9406" s="7"/>
      <c r="AV9406" s="7"/>
    </row>
    <row r="9407" spans="47:48" x14ac:dyDescent="0.25">
      <c r="AU9407" s="7"/>
      <c r="AV9407" s="7"/>
    </row>
    <row r="9408" spans="47:48" x14ac:dyDescent="0.25">
      <c r="AU9408" s="7"/>
      <c r="AV9408" s="7"/>
    </row>
    <row r="9409" spans="47:48" x14ac:dyDescent="0.25">
      <c r="AU9409" s="7"/>
      <c r="AV9409" s="7"/>
    </row>
    <row r="9410" spans="47:48" x14ac:dyDescent="0.25">
      <c r="AU9410" s="7"/>
      <c r="AV9410" s="7"/>
    </row>
    <row r="9411" spans="47:48" x14ac:dyDescent="0.25">
      <c r="AU9411" s="7"/>
      <c r="AV9411" s="7"/>
    </row>
    <row r="9412" spans="47:48" x14ac:dyDescent="0.25">
      <c r="AU9412" s="7"/>
      <c r="AV9412" s="7"/>
    </row>
    <row r="9413" spans="47:48" x14ac:dyDescent="0.25">
      <c r="AU9413" s="7"/>
      <c r="AV9413" s="7"/>
    </row>
    <row r="9414" spans="47:48" x14ac:dyDescent="0.25">
      <c r="AU9414" s="7"/>
      <c r="AV9414" s="7"/>
    </row>
    <row r="9415" spans="47:48" x14ac:dyDescent="0.25">
      <c r="AU9415" s="7"/>
      <c r="AV9415" s="7"/>
    </row>
    <row r="9416" spans="47:48" x14ac:dyDescent="0.25">
      <c r="AU9416" s="7"/>
      <c r="AV9416" s="7"/>
    </row>
    <row r="9417" spans="47:48" x14ac:dyDescent="0.25">
      <c r="AU9417" s="7"/>
      <c r="AV9417" s="7"/>
    </row>
    <row r="9418" spans="47:48" x14ac:dyDescent="0.25">
      <c r="AU9418" s="7"/>
      <c r="AV9418" s="7"/>
    </row>
    <row r="9419" spans="47:48" x14ac:dyDescent="0.25">
      <c r="AU9419" s="7"/>
      <c r="AV9419" s="7"/>
    </row>
    <row r="9420" spans="47:48" x14ac:dyDescent="0.25">
      <c r="AU9420" s="7"/>
      <c r="AV9420" s="7"/>
    </row>
    <row r="9421" spans="47:48" x14ac:dyDescent="0.25">
      <c r="AU9421" s="7"/>
      <c r="AV9421" s="7"/>
    </row>
    <row r="9422" spans="47:48" x14ac:dyDescent="0.25">
      <c r="AU9422" s="7"/>
      <c r="AV9422" s="7"/>
    </row>
    <row r="9423" spans="47:48" x14ac:dyDescent="0.25">
      <c r="AU9423" s="7"/>
      <c r="AV9423" s="7"/>
    </row>
    <row r="9424" spans="47:48" x14ac:dyDescent="0.25">
      <c r="AU9424" s="7"/>
      <c r="AV9424" s="7"/>
    </row>
    <row r="9425" spans="47:48" x14ac:dyDescent="0.25">
      <c r="AU9425" s="7"/>
      <c r="AV9425" s="7"/>
    </row>
    <row r="9426" spans="47:48" x14ac:dyDescent="0.25">
      <c r="AU9426" s="7"/>
      <c r="AV9426" s="7"/>
    </row>
    <row r="9427" spans="47:48" x14ac:dyDescent="0.25">
      <c r="AU9427" s="7"/>
      <c r="AV9427" s="7"/>
    </row>
    <row r="9428" spans="47:48" x14ac:dyDescent="0.25">
      <c r="AU9428" s="7"/>
      <c r="AV9428" s="7"/>
    </row>
    <row r="9429" spans="47:48" x14ac:dyDescent="0.25">
      <c r="AU9429" s="7"/>
      <c r="AV9429" s="7"/>
    </row>
    <row r="9430" spans="47:48" x14ac:dyDescent="0.25">
      <c r="AU9430" s="7"/>
      <c r="AV9430" s="7"/>
    </row>
    <row r="9431" spans="47:48" x14ac:dyDescent="0.25">
      <c r="AU9431" s="7"/>
      <c r="AV9431" s="7"/>
    </row>
    <row r="9432" spans="47:48" x14ac:dyDescent="0.25">
      <c r="AU9432" s="7"/>
      <c r="AV9432" s="7"/>
    </row>
    <row r="9433" spans="47:48" x14ac:dyDescent="0.25">
      <c r="AU9433" s="7"/>
      <c r="AV9433" s="7"/>
    </row>
    <row r="9434" spans="47:48" x14ac:dyDescent="0.25">
      <c r="AU9434" s="7"/>
      <c r="AV9434" s="7"/>
    </row>
    <row r="9435" spans="47:48" x14ac:dyDescent="0.25">
      <c r="AU9435" s="7"/>
      <c r="AV9435" s="7"/>
    </row>
    <row r="9436" spans="47:48" x14ac:dyDescent="0.25">
      <c r="AU9436" s="7"/>
      <c r="AV9436" s="7"/>
    </row>
    <row r="9437" spans="47:48" x14ac:dyDescent="0.25">
      <c r="AU9437" s="7"/>
      <c r="AV9437" s="7"/>
    </row>
    <row r="9438" spans="47:48" x14ac:dyDescent="0.25">
      <c r="AU9438" s="7"/>
      <c r="AV9438" s="7"/>
    </row>
    <row r="9439" spans="47:48" x14ac:dyDescent="0.25">
      <c r="AU9439" s="7"/>
      <c r="AV9439" s="7"/>
    </row>
    <row r="9440" spans="47:48" x14ac:dyDescent="0.25">
      <c r="AU9440" s="7"/>
      <c r="AV9440" s="7"/>
    </row>
    <row r="9441" spans="47:48" x14ac:dyDescent="0.25">
      <c r="AU9441" s="7"/>
      <c r="AV9441" s="7"/>
    </row>
    <row r="9442" spans="47:48" x14ac:dyDescent="0.25">
      <c r="AU9442" s="7"/>
      <c r="AV9442" s="7"/>
    </row>
    <row r="9443" spans="47:48" x14ac:dyDescent="0.25">
      <c r="AU9443" s="7"/>
      <c r="AV9443" s="7"/>
    </row>
    <row r="9444" spans="47:48" x14ac:dyDescent="0.25">
      <c r="AU9444" s="7"/>
      <c r="AV9444" s="7"/>
    </row>
    <row r="9445" spans="47:48" x14ac:dyDescent="0.25">
      <c r="AU9445" s="7"/>
      <c r="AV9445" s="7"/>
    </row>
    <row r="9446" spans="47:48" x14ac:dyDescent="0.25">
      <c r="AU9446" s="7"/>
      <c r="AV9446" s="7"/>
    </row>
    <row r="9447" spans="47:48" x14ac:dyDescent="0.25">
      <c r="AU9447" s="7"/>
      <c r="AV9447" s="7"/>
    </row>
    <row r="9448" spans="47:48" x14ac:dyDescent="0.25">
      <c r="AU9448" s="7"/>
      <c r="AV9448" s="7"/>
    </row>
    <row r="9449" spans="47:48" x14ac:dyDescent="0.25">
      <c r="AU9449" s="7"/>
      <c r="AV9449" s="7"/>
    </row>
    <row r="9450" spans="47:48" x14ac:dyDescent="0.25">
      <c r="AU9450" s="7"/>
      <c r="AV9450" s="7"/>
    </row>
    <row r="9451" spans="47:48" x14ac:dyDescent="0.25">
      <c r="AU9451" s="7"/>
      <c r="AV9451" s="7"/>
    </row>
    <row r="9452" spans="47:48" x14ac:dyDescent="0.25">
      <c r="AU9452" s="7"/>
      <c r="AV9452" s="7"/>
    </row>
    <row r="9453" spans="47:48" x14ac:dyDescent="0.25">
      <c r="AU9453" s="7"/>
      <c r="AV9453" s="7"/>
    </row>
    <row r="9454" spans="47:48" x14ac:dyDescent="0.25">
      <c r="AU9454" s="7"/>
      <c r="AV9454" s="7"/>
    </row>
    <row r="9455" spans="47:48" x14ac:dyDescent="0.25">
      <c r="AU9455" s="7"/>
      <c r="AV9455" s="7"/>
    </row>
    <row r="9456" spans="47:48" x14ac:dyDescent="0.25">
      <c r="AU9456" s="7"/>
      <c r="AV9456" s="7"/>
    </row>
    <row r="9457" spans="47:48" x14ac:dyDescent="0.25">
      <c r="AU9457" s="7"/>
      <c r="AV9457" s="7"/>
    </row>
    <row r="9458" spans="47:48" x14ac:dyDescent="0.25">
      <c r="AU9458" s="7"/>
      <c r="AV9458" s="7"/>
    </row>
    <row r="9459" spans="47:48" x14ac:dyDescent="0.25">
      <c r="AU9459" s="7"/>
      <c r="AV9459" s="7"/>
    </row>
    <row r="9460" spans="47:48" x14ac:dyDescent="0.25">
      <c r="AU9460" s="7"/>
      <c r="AV9460" s="7"/>
    </row>
    <row r="9461" spans="47:48" x14ac:dyDescent="0.25">
      <c r="AU9461" s="7"/>
      <c r="AV9461" s="7"/>
    </row>
    <row r="9462" spans="47:48" x14ac:dyDescent="0.25">
      <c r="AU9462" s="7"/>
      <c r="AV9462" s="7"/>
    </row>
    <row r="9463" spans="47:48" x14ac:dyDescent="0.25">
      <c r="AU9463" s="7"/>
      <c r="AV9463" s="7"/>
    </row>
    <row r="9464" spans="47:48" x14ac:dyDescent="0.25">
      <c r="AU9464" s="7"/>
      <c r="AV9464" s="7"/>
    </row>
    <row r="9465" spans="47:48" x14ac:dyDescent="0.25">
      <c r="AU9465" s="7"/>
      <c r="AV9465" s="7"/>
    </row>
    <row r="9466" spans="47:48" x14ac:dyDescent="0.25">
      <c r="AU9466" s="7"/>
      <c r="AV9466" s="7"/>
    </row>
    <row r="9467" spans="47:48" x14ac:dyDescent="0.25">
      <c r="AU9467" s="7"/>
      <c r="AV9467" s="7"/>
    </row>
    <row r="9468" spans="47:48" x14ac:dyDescent="0.25">
      <c r="AU9468" s="7"/>
      <c r="AV9468" s="7"/>
    </row>
    <row r="9469" spans="47:48" x14ac:dyDescent="0.25">
      <c r="AU9469" s="7"/>
      <c r="AV9469" s="7"/>
    </row>
    <row r="9470" spans="47:48" x14ac:dyDescent="0.25">
      <c r="AU9470" s="7"/>
      <c r="AV9470" s="7"/>
    </row>
    <row r="9471" spans="47:48" x14ac:dyDescent="0.25">
      <c r="AU9471" s="7"/>
      <c r="AV9471" s="7"/>
    </row>
    <row r="9472" spans="47:48" x14ac:dyDescent="0.25">
      <c r="AU9472" s="7"/>
      <c r="AV9472" s="7"/>
    </row>
    <row r="9473" spans="47:48" x14ac:dyDescent="0.25">
      <c r="AU9473" s="7"/>
      <c r="AV9473" s="7"/>
    </row>
    <row r="9474" spans="47:48" x14ac:dyDescent="0.25">
      <c r="AU9474" s="7"/>
      <c r="AV9474" s="7"/>
    </row>
    <row r="9475" spans="47:48" x14ac:dyDescent="0.25">
      <c r="AU9475" s="7"/>
      <c r="AV9475" s="7"/>
    </row>
    <row r="9476" spans="47:48" x14ac:dyDescent="0.25">
      <c r="AU9476" s="7"/>
      <c r="AV9476" s="7"/>
    </row>
    <row r="9477" spans="47:48" x14ac:dyDescent="0.25">
      <c r="AU9477" s="7"/>
      <c r="AV9477" s="7"/>
    </row>
    <row r="9478" spans="47:48" x14ac:dyDescent="0.25">
      <c r="AU9478" s="7"/>
      <c r="AV9478" s="7"/>
    </row>
    <row r="9479" spans="47:48" x14ac:dyDescent="0.25">
      <c r="AU9479" s="7"/>
      <c r="AV9479" s="7"/>
    </row>
    <row r="9480" spans="47:48" x14ac:dyDescent="0.25">
      <c r="AU9480" s="7"/>
      <c r="AV9480" s="7"/>
    </row>
    <row r="9481" spans="47:48" x14ac:dyDescent="0.25">
      <c r="AU9481" s="7"/>
      <c r="AV9481" s="7"/>
    </row>
    <row r="9482" spans="47:48" x14ac:dyDescent="0.25">
      <c r="AU9482" s="7"/>
      <c r="AV9482" s="7"/>
    </row>
    <row r="9483" spans="47:48" x14ac:dyDescent="0.25">
      <c r="AU9483" s="7"/>
      <c r="AV9483" s="7"/>
    </row>
    <row r="9484" spans="47:48" x14ac:dyDescent="0.25">
      <c r="AU9484" s="7"/>
      <c r="AV9484" s="7"/>
    </row>
    <row r="9485" spans="47:48" x14ac:dyDescent="0.25">
      <c r="AU9485" s="7"/>
      <c r="AV9485" s="7"/>
    </row>
    <row r="9486" spans="47:48" x14ac:dyDescent="0.25">
      <c r="AU9486" s="7"/>
      <c r="AV9486" s="7"/>
    </row>
    <row r="9487" spans="47:48" x14ac:dyDescent="0.25">
      <c r="AU9487" s="7"/>
      <c r="AV9487" s="7"/>
    </row>
    <row r="9488" spans="47:48" x14ac:dyDescent="0.25">
      <c r="AU9488" s="7"/>
      <c r="AV9488" s="7"/>
    </row>
    <row r="9489" spans="47:48" x14ac:dyDescent="0.25">
      <c r="AU9489" s="7"/>
      <c r="AV9489" s="7"/>
    </row>
    <row r="9490" spans="47:48" x14ac:dyDescent="0.25">
      <c r="AU9490" s="7"/>
      <c r="AV9490" s="7"/>
    </row>
    <row r="9491" spans="47:48" x14ac:dyDescent="0.25">
      <c r="AU9491" s="7"/>
      <c r="AV9491" s="7"/>
    </row>
    <row r="9492" spans="47:48" x14ac:dyDescent="0.25">
      <c r="AU9492" s="7"/>
      <c r="AV9492" s="7"/>
    </row>
    <row r="9493" spans="47:48" x14ac:dyDescent="0.25">
      <c r="AU9493" s="7"/>
      <c r="AV9493" s="7"/>
    </row>
    <row r="9494" spans="47:48" x14ac:dyDescent="0.25">
      <c r="AU9494" s="7"/>
      <c r="AV9494" s="7"/>
    </row>
    <row r="9495" spans="47:48" x14ac:dyDescent="0.25">
      <c r="AU9495" s="7"/>
      <c r="AV9495" s="7"/>
    </row>
    <row r="9496" spans="47:48" x14ac:dyDescent="0.25">
      <c r="AU9496" s="7"/>
      <c r="AV9496" s="7"/>
    </row>
    <row r="9497" spans="47:48" x14ac:dyDescent="0.25">
      <c r="AU9497" s="7"/>
      <c r="AV9497" s="7"/>
    </row>
    <row r="9498" spans="47:48" x14ac:dyDescent="0.25">
      <c r="AU9498" s="7"/>
      <c r="AV9498" s="7"/>
    </row>
    <row r="9499" spans="47:48" x14ac:dyDescent="0.25">
      <c r="AU9499" s="7"/>
      <c r="AV9499" s="7"/>
    </row>
    <row r="9500" spans="47:48" x14ac:dyDescent="0.25">
      <c r="AU9500" s="7"/>
      <c r="AV9500" s="7"/>
    </row>
    <row r="9501" spans="47:48" x14ac:dyDescent="0.25">
      <c r="AU9501" s="7"/>
      <c r="AV9501" s="7"/>
    </row>
    <row r="9502" spans="47:48" x14ac:dyDescent="0.25">
      <c r="AU9502" s="7"/>
      <c r="AV9502" s="7"/>
    </row>
    <row r="9503" spans="47:48" x14ac:dyDescent="0.25">
      <c r="AU9503" s="7"/>
      <c r="AV9503" s="7"/>
    </row>
    <row r="9504" spans="47:48" x14ac:dyDescent="0.25">
      <c r="AU9504" s="7"/>
      <c r="AV9504" s="7"/>
    </row>
    <row r="9505" spans="47:48" x14ac:dyDescent="0.25">
      <c r="AU9505" s="7"/>
      <c r="AV9505" s="7"/>
    </row>
    <row r="9506" spans="47:48" x14ac:dyDescent="0.25">
      <c r="AU9506" s="7"/>
      <c r="AV9506" s="7"/>
    </row>
    <row r="9507" spans="47:48" x14ac:dyDescent="0.25">
      <c r="AU9507" s="7"/>
      <c r="AV9507" s="7"/>
    </row>
    <row r="9508" spans="47:48" x14ac:dyDescent="0.25">
      <c r="AU9508" s="7"/>
      <c r="AV9508" s="7"/>
    </row>
    <row r="9509" spans="47:48" x14ac:dyDescent="0.25">
      <c r="AU9509" s="7"/>
      <c r="AV9509" s="7"/>
    </row>
    <row r="9510" spans="47:48" x14ac:dyDescent="0.25">
      <c r="AU9510" s="7"/>
      <c r="AV9510" s="7"/>
    </row>
    <row r="9511" spans="47:48" x14ac:dyDescent="0.25">
      <c r="AU9511" s="7"/>
      <c r="AV9511" s="7"/>
    </row>
    <row r="9512" spans="47:48" x14ac:dyDescent="0.25">
      <c r="AU9512" s="7"/>
      <c r="AV9512" s="7"/>
    </row>
    <row r="9513" spans="47:48" x14ac:dyDescent="0.25">
      <c r="AU9513" s="7"/>
      <c r="AV9513" s="7"/>
    </row>
    <row r="9514" spans="47:48" x14ac:dyDescent="0.25">
      <c r="AU9514" s="7"/>
      <c r="AV9514" s="7"/>
    </row>
    <row r="9515" spans="47:48" x14ac:dyDescent="0.25">
      <c r="AU9515" s="7"/>
      <c r="AV9515" s="7"/>
    </row>
    <row r="9516" spans="47:48" x14ac:dyDescent="0.25">
      <c r="AU9516" s="7"/>
      <c r="AV9516" s="7"/>
    </row>
    <row r="9517" spans="47:48" x14ac:dyDescent="0.25">
      <c r="AU9517" s="7"/>
      <c r="AV9517" s="7"/>
    </row>
    <row r="9518" spans="47:48" x14ac:dyDescent="0.25">
      <c r="AU9518" s="7"/>
      <c r="AV9518" s="7"/>
    </row>
    <row r="9519" spans="47:48" x14ac:dyDescent="0.25">
      <c r="AU9519" s="7"/>
      <c r="AV9519" s="7"/>
    </row>
    <row r="9520" spans="47:48" x14ac:dyDescent="0.25">
      <c r="AU9520" s="7"/>
      <c r="AV9520" s="7"/>
    </row>
    <row r="9521" spans="47:48" x14ac:dyDescent="0.25">
      <c r="AU9521" s="7"/>
      <c r="AV9521" s="7"/>
    </row>
    <row r="9522" spans="47:48" x14ac:dyDescent="0.25">
      <c r="AU9522" s="7"/>
      <c r="AV9522" s="7"/>
    </row>
    <row r="9523" spans="47:48" x14ac:dyDescent="0.25">
      <c r="AU9523" s="7"/>
      <c r="AV9523" s="7"/>
    </row>
    <row r="9524" spans="47:48" x14ac:dyDescent="0.25">
      <c r="AU9524" s="7"/>
      <c r="AV9524" s="7"/>
    </row>
    <row r="9525" spans="47:48" x14ac:dyDescent="0.25">
      <c r="AU9525" s="7"/>
      <c r="AV9525" s="7"/>
    </row>
    <row r="9526" spans="47:48" x14ac:dyDescent="0.25">
      <c r="AU9526" s="7"/>
      <c r="AV9526" s="7"/>
    </row>
    <row r="9527" spans="47:48" x14ac:dyDescent="0.25">
      <c r="AU9527" s="7"/>
      <c r="AV9527" s="7"/>
    </row>
    <row r="9528" spans="47:48" x14ac:dyDescent="0.25">
      <c r="AU9528" s="7"/>
      <c r="AV9528" s="7"/>
    </row>
    <row r="9529" spans="47:48" x14ac:dyDescent="0.25">
      <c r="AU9529" s="7"/>
      <c r="AV9529" s="7"/>
    </row>
    <row r="9530" spans="47:48" x14ac:dyDescent="0.25">
      <c r="AU9530" s="7"/>
      <c r="AV9530" s="7"/>
    </row>
    <row r="9531" spans="47:48" x14ac:dyDescent="0.25">
      <c r="AU9531" s="7"/>
      <c r="AV9531" s="7"/>
    </row>
    <row r="9532" spans="47:48" x14ac:dyDescent="0.25">
      <c r="AU9532" s="7"/>
      <c r="AV9532" s="7"/>
    </row>
    <row r="9533" spans="47:48" x14ac:dyDescent="0.25">
      <c r="AU9533" s="7"/>
      <c r="AV9533" s="7"/>
    </row>
    <row r="9534" spans="47:48" x14ac:dyDescent="0.25">
      <c r="AU9534" s="7"/>
      <c r="AV9534" s="7"/>
    </row>
    <row r="9535" spans="47:48" x14ac:dyDescent="0.25">
      <c r="AU9535" s="7"/>
      <c r="AV9535" s="7"/>
    </row>
    <row r="9536" spans="47:48" x14ac:dyDescent="0.25">
      <c r="AU9536" s="7"/>
      <c r="AV9536" s="7"/>
    </row>
    <row r="9537" spans="47:48" x14ac:dyDescent="0.25">
      <c r="AU9537" s="7"/>
      <c r="AV9537" s="7"/>
    </row>
    <row r="9538" spans="47:48" x14ac:dyDescent="0.25">
      <c r="AU9538" s="7"/>
      <c r="AV9538" s="7"/>
    </row>
    <row r="9539" spans="47:48" x14ac:dyDescent="0.25">
      <c r="AU9539" s="7"/>
      <c r="AV9539" s="7"/>
    </row>
    <row r="9540" spans="47:48" x14ac:dyDescent="0.25">
      <c r="AU9540" s="7"/>
      <c r="AV9540" s="7"/>
    </row>
    <row r="9541" spans="47:48" x14ac:dyDescent="0.25">
      <c r="AU9541" s="7"/>
      <c r="AV9541" s="7"/>
    </row>
    <row r="9542" spans="47:48" x14ac:dyDescent="0.25">
      <c r="AU9542" s="7"/>
      <c r="AV9542" s="7"/>
    </row>
    <row r="9543" spans="47:48" x14ac:dyDescent="0.25">
      <c r="AU9543" s="7"/>
      <c r="AV9543" s="7"/>
    </row>
    <row r="9544" spans="47:48" x14ac:dyDescent="0.25">
      <c r="AU9544" s="7"/>
      <c r="AV9544" s="7"/>
    </row>
    <row r="9545" spans="47:48" x14ac:dyDescent="0.25">
      <c r="AU9545" s="7"/>
      <c r="AV9545" s="7"/>
    </row>
    <row r="9546" spans="47:48" x14ac:dyDescent="0.25">
      <c r="AU9546" s="7"/>
      <c r="AV9546" s="7"/>
    </row>
    <row r="9547" spans="47:48" x14ac:dyDescent="0.25">
      <c r="AU9547" s="7"/>
      <c r="AV9547" s="7"/>
    </row>
    <row r="9548" spans="47:48" x14ac:dyDescent="0.25">
      <c r="AU9548" s="7"/>
      <c r="AV9548" s="7"/>
    </row>
    <row r="9549" spans="47:48" x14ac:dyDescent="0.25">
      <c r="AU9549" s="7"/>
      <c r="AV9549" s="7"/>
    </row>
    <row r="9550" spans="47:48" x14ac:dyDescent="0.25">
      <c r="AU9550" s="7"/>
      <c r="AV9550" s="7"/>
    </row>
    <row r="9551" spans="47:48" x14ac:dyDescent="0.25">
      <c r="AU9551" s="7"/>
      <c r="AV9551" s="7"/>
    </row>
    <row r="9552" spans="47:48" x14ac:dyDescent="0.25">
      <c r="AU9552" s="7"/>
      <c r="AV9552" s="7"/>
    </row>
    <row r="9553" spans="47:48" x14ac:dyDescent="0.25">
      <c r="AU9553" s="7"/>
      <c r="AV9553" s="7"/>
    </row>
    <row r="9554" spans="47:48" x14ac:dyDescent="0.25">
      <c r="AU9554" s="7"/>
      <c r="AV9554" s="7"/>
    </row>
    <row r="9555" spans="47:48" x14ac:dyDescent="0.25">
      <c r="AU9555" s="7"/>
      <c r="AV9555" s="7"/>
    </row>
    <row r="9556" spans="47:48" x14ac:dyDescent="0.25">
      <c r="AU9556" s="7"/>
      <c r="AV9556" s="7"/>
    </row>
    <row r="9557" spans="47:48" x14ac:dyDescent="0.25">
      <c r="AU9557" s="7"/>
      <c r="AV9557" s="7"/>
    </row>
    <row r="9558" spans="47:48" x14ac:dyDescent="0.25">
      <c r="AU9558" s="7"/>
      <c r="AV9558" s="7"/>
    </row>
    <row r="9559" spans="47:48" x14ac:dyDescent="0.25">
      <c r="AU9559" s="7"/>
      <c r="AV9559" s="7"/>
    </row>
    <row r="9560" spans="47:48" x14ac:dyDescent="0.25">
      <c r="AU9560" s="7"/>
      <c r="AV9560" s="7"/>
    </row>
    <row r="9561" spans="47:48" x14ac:dyDescent="0.25">
      <c r="AU9561" s="7"/>
      <c r="AV9561" s="7"/>
    </row>
    <row r="9562" spans="47:48" x14ac:dyDescent="0.25">
      <c r="AU9562" s="7"/>
      <c r="AV9562" s="7"/>
    </row>
    <row r="9563" spans="47:48" x14ac:dyDescent="0.25">
      <c r="AU9563" s="7"/>
      <c r="AV9563" s="7"/>
    </row>
    <row r="9564" spans="47:48" x14ac:dyDescent="0.25">
      <c r="AU9564" s="7"/>
      <c r="AV9564" s="7"/>
    </row>
    <row r="9565" spans="47:48" x14ac:dyDescent="0.25">
      <c r="AU9565" s="7"/>
      <c r="AV9565" s="7"/>
    </row>
    <row r="9566" spans="47:48" x14ac:dyDescent="0.25">
      <c r="AU9566" s="7"/>
      <c r="AV9566" s="7"/>
    </row>
    <row r="9567" spans="47:48" x14ac:dyDescent="0.25">
      <c r="AU9567" s="7"/>
      <c r="AV9567" s="7"/>
    </row>
    <row r="9568" spans="47:48" x14ac:dyDescent="0.25">
      <c r="AU9568" s="7"/>
      <c r="AV9568" s="7"/>
    </row>
    <row r="9569" spans="47:48" x14ac:dyDescent="0.25">
      <c r="AU9569" s="7"/>
      <c r="AV9569" s="7"/>
    </row>
    <row r="9570" spans="47:48" x14ac:dyDescent="0.25">
      <c r="AU9570" s="7"/>
      <c r="AV9570" s="7"/>
    </row>
    <row r="9571" spans="47:48" x14ac:dyDescent="0.25">
      <c r="AU9571" s="7"/>
      <c r="AV9571" s="7"/>
    </row>
    <row r="9572" spans="47:48" x14ac:dyDescent="0.25">
      <c r="AU9572" s="7"/>
      <c r="AV9572" s="7"/>
    </row>
    <row r="9573" spans="47:48" x14ac:dyDescent="0.25">
      <c r="AU9573" s="7"/>
      <c r="AV9573" s="7"/>
    </row>
    <row r="9574" spans="47:48" x14ac:dyDescent="0.25">
      <c r="AU9574" s="7"/>
      <c r="AV9574" s="7"/>
    </row>
    <row r="9575" spans="47:48" x14ac:dyDescent="0.25">
      <c r="AU9575" s="7"/>
      <c r="AV9575" s="7"/>
    </row>
    <row r="9576" spans="47:48" x14ac:dyDescent="0.25">
      <c r="AU9576" s="7"/>
      <c r="AV9576" s="7"/>
    </row>
    <row r="9577" spans="47:48" x14ac:dyDescent="0.25">
      <c r="AU9577" s="7"/>
      <c r="AV9577" s="7"/>
    </row>
    <row r="9578" spans="47:48" x14ac:dyDescent="0.25">
      <c r="AU9578" s="7"/>
      <c r="AV9578" s="7"/>
    </row>
    <row r="9579" spans="47:48" x14ac:dyDescent="0.25">
      <c r="AU9579" s="7"/>
      <c r="AV9579" s="7"/>
    </row>
    <row r="9580" spans="47:48" x14ac:dyDescent="0.25">
      <c r="AU9580" s="7"/>
      <c r="AV9580" s="7"/>
    </row>
    <row r="9581" spans="47:48" x14ac:dyDescent="0.25">
      <c r="AU9581" s="7"/>
      <c r="AV9581" s="7"/>
    </row>
    <row r="9582" spans="47:48" x14ac:dyDescent="0.25">
      <c r="AU9582" s="7"/>
      <c r="AV9582" s="7"/>
    </row>
    <row r="9583" spans="47:48" x14ac:dyDescent="0.25">
      <c r="AU9583" s="7"/>
      <c r="AV9583" s="7"/>
    </row>
    <row r="9584" spans="47:48" x14ac:dyDescent="0.25">
      <c r="AU9584" s="7"/>
      <c r="AV9584" s="7"/>
    </row>
    <row r="9585" spans="47:48" x14ac:dyDescent="0.25">
      <c r="AU9585" s="7"/>
      <c r="AV9585" s="7"/>
    </row>
    <row r="9586" spans="47:48" x14ac:dyDescent="0.25">
      <c r="AU9586" s="7"/>
      <c r="AV9586" s="7"/>
    </row>
    <row r="9587" spans="47:48" x14ac:dyDescent="0.25">
      <c r="AU9587" s="7"/>
      <c r="AV9587" s="7"/>
    </row>
    <row r="9588" spans="47:48" x14ac:dyDescent="0.25">
      <c r="AU9588" s="7"/>
      <c r="AV9588" s="7"/>
    </row>
    <row r="9589" spans="47:48" x14ac:dyDescent="0.25">
      <c r="AU9589" s="7"/>
      <c r="AV9589" s="7"/>
    </row>
    <row r="9590" spans="47:48" x14ac:dyDescent="0.25">
      <c r="AU9590" s="7"/>
      <c r="AV9590" s="7"/>
    </row>
    <row r="9591" spans="47:48" x14ac:dyDescent="0.25">
      <c r="AU9591" s="7"/>
      <c r="AV9591" s="7"/>
    </row>
    <row r="9592" spans="47:48" x14ac:dyDescent="0.25">
      <c r="AU9592" s="7"/>
      <c r="AV9592" s="7"/>
    </row>
    <row r="9593" spans="47:48" x14ac:dyDescent="0.25">
      <c r="AU9593" s="7"/>
      <c r="AV9593" s="7"/>
    </row>
    <row r="9594" spans="47:48" x14ac:dyDescent="0.25">
      <c r="AU9594" s="7"/>
      <c r="AV9594" s="7"/>
    </row>
    <row r="9595" spans="47:48" x14ac:dyDescent="0.25">
      <c r="AU9595" s="7"/>
      <c r="AV9595" s="7"/>
    </row>
    <row r="9596" spans="47:48" x14ac:dyDescent="0.25">
      <c r="AU9596" s="7"/>
      <c r="AV9596" s="7"/>
    </row>
    <row r="9597" spans="47:48" x14ac:dyDescent="0.25">
      <c r="AU9597" s="7"/>
      <c r="AV9597" s="7"/>
    </row>
    <row r="9598" spans="47:48" x14ac:dyDescent="0.25">
      <c r="AU9598" s="7"/>
      <c r="AV9598" s="7"/>
    </row>
    <row r="9599" spans="47:48" x14ac:dyDescent="0.25">
      <c r="AU9599" s="7"/>
      <c r="AV9599" s="7"/>
    </row>
    <row r="9600" spans="47:48" x14ac:dyDescent="0.25">
      <c r="AU9600" s="7"/>
      <c r="AV9600" s="7"/>
    </row>
    <row r="9601" spans="47:48" x14ac:dyDescent="0.25">
      <c r="AU9601" s="7"/>
      <c r="AV9601" s="7"/>
    </row>
    <row r="9602" spans="47:48" x14ac:dyDescent="0.25">
      <c r="AU9602" s="7"/>
      <c r="AV9602" s="7"/>
    </row>
    <row r="9603" spans="47:48" x14ac:dyDescent="0.25">
      <c r="AU9603" s="7"/>
      <c r="AV9603" s="7"/>
    </row>
    <row r="9604" spans="47:48" x14ac:dyDescent="0.25">
      <c r="AU9604" s="7"/>
      <c r="AV9604" s="7"/>
    </row>
    <row r="9605" spans="47:48" x14ac:dyDescent="0.25">
      <c r="AU9605" s="7"/>
      <c r="AV9605" s="7"/>
    </row>
    <row r="9606" spans="47:48" x14ac:dyDescent="0.25">
      <c r="AU9606" s="7"/>
      <c r="AV9606" s="7"/>
    </row>
    <row r="9607" spans="47:48" x14ac:dyDescent="0.25">
      <c r="AU9607" s="7"/>
      <c r="AV9607" s="7"/>
    </row>
    <row r="9608" spans="47:48" x14ac:dyDescent="0.25">
      <c r="AU9608" s="7"/>
      <c r="AV9608" s="7"/>
    </row>
    <row r="9609" spans="47:48" x14ac:dyDescent="0.25">
      <c r="AU9609" s="7"/>
      <c r="AV9609" s="7"/>
    </row>
    <row r="9610" spans="47:48" x14ac:dyDescent="0.25">
      <c r="AU9610" s="7"/>
      <c r="AV9610" s="7"/>
    </row>
    <row r="9611" spans="47:48" x14ac:dyDescent="0.25">
      <c r="AU9611" s="7"/>
      <c r="AV9611" s="7"/>
    </row>
    <row r="9612" spans="47:48" x14ac:dyDescent="0.25">
      <c r="AU9612" s="7"/>
      <c r="AV9612" s="7"/>
    </row>
    <row r="9613" spans="47:48" x14ac:dyDescent="0.25">
      <c r="AU9613" s="7"/>
      <c r="AV9613" s="7"/>
    </row>
    <row r="9614" spans="47:48" x14ac:dyDescent="0.25">
      <c r="AU9614" s="7"/>
      <c r="AV9614" s="7"/>
    </row>
    <row r="9615" spans="47:48" x14ac:dyDescent="0.25">
      <c r="AU9615" s="7"/>
      <c r="AV9615" s="7"/>
    </row>
    <row r="9616" spans="47:48" x14ac:dyDescent="0.25">
      <c r="AU9616" s="7"/>
      <c r="AV9616" s="7"/>
    </row>
    <row r="9617" spans="47:48" x14ac:dyDescent="0.25">
      <c r="AU9617" s="7"/>
      <c r="AV9617" s="7"/>
    </row>
    <row r="9618" spans="47:48" x14ac:dyDescent="0.25">
      <c r="AU9618" s="7"/>
      <c r="AV9618" s="7"/>
    </row>
    <row r="9619" spans="47:48" x14ac:dyDescent="0.25">
      <c r="AU9619" s="7"/>
      <c r="AV9619" s="7"/>
    </row>
    <row r="9620" spans="47:48" x14ac:dyDescent="0.25">
      <c r="AU9620" s="7"/>
      <c r="AV9620" s="7"/>
    </row>
    <row r="9621" spans="47:48" x14ac:dyDescent="0.25">
      <c r="AU9621" s="7"/>
      <c r="AV9621" s="7"/>
    </row>
    <row r="9622" spans="47:48" x14ac:dyDescent="0.25">
      <c r="AU9622" s="7"/>
      <c r="AV9622" s="7"/>
    </row>
    <row r="9623" spans="47:48" x14ac:dyDescent="0.25">
      <c r="AU9623" s="7"/>
      <c r="AV9623" s="7"/>
    </row>
    <row r="9624" spans="47:48" x14ac:dyDescent="0.25">
      <c r="AU9624" s="7"/>
      <c r="AV9624" s="7"/>
    </row>
    <row r="9625" spans="47:48" x14ac:dyDescent="0.25">
      <c r="AU9625" s="7"/>
      <c r="AV9625" s="7"/>
    </row>
    <row r="9626" spans="47:48" x14ac:dyDescent="0.25">
      <c r="AU9626" s="7"/>
      <c r="AV9626" s="7"/>
    </row>
    <row r="9627" spans="47:48" x14ac:dyDescent="0.25">
      <c r="AU9627" s="7"/>
      <c r="AV9627" s="7"/>
    </row>
    <row r="9628" spans="47:48" x14ac:dyDescent="0.25">
      <c r="AU9628" s="7"/>
      <c r="AV9628" s="7"/>
    </row>
    <row r="9629" spans="47:48" x14ac:dyDescent="0.25">
      <c r="AU9629" s="7"/>
      <c r="AV9629" s="7"/>
    </row>
    <row r="9630" spans="47:48" x14ac:dyDescent="0.25">
      <c r="AU9630" s="7"/>
      <c r="AV9630" s="7"/>
    </row>
    <row r="9631" spans="47:48" x14ac:dyDescent="0.25">
      <c r="AU9631" s="7"/>
      <c r="AV9631" s="7"/>
    </row>
    <row r="9632" spans="47:48" x14ac:dyDescent="0.25">
      <c r="AU9632" s="7"/>
      <c r="AV9632" s="7"/>
    </row>
    <row r="9633" spans="47:48" x14ac:dyDescent="0.25">
      <c r="AU9633" s="7"/>
      <c r="AV9633" s="7"/>
    </row>
    <row r="9634" spans="47:48" x14ac:dyDescent="0.25">
      <c r="AU9634" s="7"/>
      <c r="AV9634" s="7"/>
    </row>
    <row r="9635" spans="47:48" x14ac:dyDescent="0.25">
      <c r="AU9635" s="7"/>
      <c r="AV9635" s="7"/>
    </row>
    <row r="9636" spans="47:48" x14ac:dyDescent="0.25">
      <c r="AU9636" s="7"/>
      <c r="AV9636" s="7"/>
    </row>
    <row r="9637" spans="47:48" x14ac:dyDescent="0.25">
      <c r="AU9637" s="7"/>
      <c r="AV9637" s="7"/>
    </row>
    <row r="9638" spans="47:48" x14ac:dyDescent="0.25">
      <c r="AU9638" s="7"/>
      <c r="AV9638" s="7"/>
    </row>
    <row r="9639" spans="47:48" x14ac:dyDescent="0.25">
      <c r="AU9639" s="7"/>
      <c r="AV9639" s="7"/>
    </row>
    <row r="9640" spans="47:48" x14ac:dyDescent="0.25">
      <c r="AU9640" s="7"/>
      <c r="AV9640" s="7"/>
    </row>
    <row r="9641" spans="47:48" x14ac:dyDescent="0.25">
      <c r="AU9641" s="7"/>
      <c r="AV9641" s="7"/>
    </row>
    <row r="9642" spans="47:48" x14ac:dyDescent="0.25">
      <c r="AU9642" s="7"/>
      <c r="AV9642" s="7"/>
    </row>
    <row r="9643" spans="47:48" x14ac:dyDescent="0.25">
      <c r="AU9643" s="7"/>
      <c r="AV9643" s="7"/>
    </row>
    <row r="9644" spans="47:48" x14ac:dyDescent="0.25">
      <c r="AU9644" s="7"/>
      <c r="AV9644" s="7"/>
    </row>
    <row r="9645" spans="47:48" x14ac:dyDescent="0.25">
      <c r="AU9645" s="7"/>
      <c r="AV9645" s="7"/>
    </row>
    <row r="9646" spans="47:48" x14ac:dyDescent="0.25">
      <c r="AU9646" s="7"/>
      <c r="AV9646" s="7"/>
    </row>
    <row r="9647" spans="47:48" x14ac:dyDescent="0.25">
      <c r="AU9647" s="7"/>
      <c r="AV9647" s="7"/>
    </row>
    <row r="9648" spans="47:48" x14ac:dyDescent="0.25">
      <c r="AU9648" s="7"/>
      <c r="AV9648" s="7"/>
    </row>
    <row r="9649" spans="47:48" x14ac:dyDescent="0.25">
      <c r="AU9649" s="7"/>
      <c r="AV9649" s="7"/>
    </row>
    <row r="9650" spans="47:48" x14ac:dyDescent="0.25">
      <c r="AU9650" s="7"/>
      <c r="AV9650" s="7"/>
    </row>
    <row r="9651" spans="47:48" x14ac:dyDescent="0.25">
      <c r="AU9651" s="7"/>
      <c r="AV9651" s="7"/>
    </row>
    <row r="9652" spans="47:48" x14ac:dyDescent="0.25">
      <c r="AU9652" s="7"/>
      <c r="AV9652" s="7"/>
    </row>
    <row r="9653" spans="47:48" x14ac:dyDescent="0.25">
      <c r="AU9653" s="7"/>
      <c r="AV9653" s="7"/>
    </row>
    <row r="9654" spans="47:48" x14ac:dyDescent="0.25">
      <c r="AU9654" s="7"/>
      <c r="AV9654" s="7"/>
    </row>
    <row r="9655" spans="47:48" x14ac:dyDescent="0.25">
      <c r="AU9655" s="7"/>
      <c r="AV9655" s="7"/>
    </row>
    <row r="9656" spans="47:48" x14ac:dyDescent="0.25">
      <c r="AU9656" s="7"/>
      <c r="AV9656" s="7"/>
    </row>
    <row r="9657" spans="47:48" x14ac:dyDescent="0.25">
      <c r="AU9657" s="7"/>
      <c r="AV9657" s="7"/>
    </row>
    <row r="9658" spans="47:48" x14ac:dyDescent="0.25">
      <c r="AU9658" s="7"/>
      <c r="AV9658" s="7"/>
    </row>
    <row r="9659" spans="47:48" x14ac:dyDescent="0.25">
      <c r="AU9659" s="7"/>
      <c r="AV9659" s="7"/>
    </row>
    <row r="9660" spans="47:48" x14ac:dyDescent="0.25">
      <c r="AU9660" s="7"/>
      <c r="AV9660" s="7"/>
    </row>
    <row r="9661" spans="47:48" x14ac:dyDescent="0.25">
      <c r="AU9661" s="7"/>
      <c r="AV9661" s="7"/>
    </row>
    <row r="9662" spans="47:48" x14ac:dyDescent="0.25">
      <c r="AU9662" s="7"/>
      <c r="AV9662" s="7"/>
    </row>
    <row r="9663" spans="47:48" x14ac:dyDescent="0.25">
      <c r="AU9663" s="7"/>
      <c r="AV9663" s="7"/>
    </row>
    <row r="9664" spans="47:48" x14ac:dyDescent="0.25">
      <c r="AU9664" s="7"/>
      <c r="AV9664" s="7"/>
    </row>
    <row r="9665" spans="47:48" x14ac:dyDescent="0.25">
      <c r="AU9665" s="7"/>
      <c r="AV9665" s="7"/>
    </row>
    <row r="9666" spans="47:48" x14ac:dyDescent="0.25">
      <c r="AU9666" s="7"/>
      <c r="AV9666" s="7"/>
    </row>
    <row r="9667" spans="47:48" x14ac:dyDescent="0.25">
      <c r="AU9667" s="7"/>
      <c r="AV9667" s="7"/>
    </row>
    <row r="9668" spans="47:48" x14ac:dyDescent="0.25">
      <c r="AU9668" s="7"/>
      <c r="AV9668" s="7"/>
    </row>
    <row r="9669" spans="47:48" x14ac:dyDescent="0.25">
      <c r="AU9669" s="7"/>
      <c r="AV9669" s="7"/>
    </row>
    <row r="9670" spans="47:48" x14ac:dyDescent="0.25">
      <c r="AU9670" s="7"/>
      <c r="AV9670" s="7"/>
    </row>
    <row r="9671" spans="47:48" x14ac:dyDescent="0.25">
      <c r="AU9671" s="7"/>
      <c r="AV9671" s="7"/>
    </row>
    <row r="9672" spans="47:48" x14ac:dyDescent="0.25">
      <c r="AU9672" s="7"/>
      <c r="AV9672" s="7"/>
    </row>
    <row r="9673" spans="47:48" x14ac:dyDescent="0.25">
      <c r="AU9673" s="7"/>
      <c r="AV9673" s="7"/>
    </row>
    <row r="9674" spans="47:48" x14ac:dyDescent="0.25">
      <c r="AU9674" s="7"/>
      <c r="AV9674" s="7"/>
    </row>
    <row r="9675" spans="47:48" x14ac:dyDescent="0.25">
      <c r="AU9675" s="7"/>
      <c r="AV9675" s="7"/>
    </row>
    <row r="9676" spans="47:48" x14ac:dyDescent="0.25">
      <c r="AU9676" s="7"/>
      <c r="AV9676" s="7"/>
    </row>
    <row r="9677" spans="47:48" x14ac:dyDescent="0.25">
      <c r="AU9677" s="7"/>
      <c r="AV9677" s="7"/>
    </row>
    <row r="9678" spans="47:48" x14ac:dyDescent="0.25">
      <c r="AU9678" s="7"/>
      <c r="AV9678" s="7"/>
    </row>
    <row r="9679" spans="47:48" x14ac:dyDescent="0.25">
      <c r="AU9679" s="7"/>
      <c r="AV9679" s="7"/>
    </row>
    <row r="9680" spans="47:48" x14ac:dyDescent="0.25">
      <c r="AU9680" s="7"/>
      <c r="AV9680" s="7"/>
    </row>
    <row r="9681" spans="47:48" x14ac:dyDescent="0.25">
      <c r="AU9681" s="7"/>
      <c r="AV9681" s="7"/>
    </row>
    <row r="9682" spans="47:48" x14ac:dyDescent="0.25">
      <c r="AU9682" s="7"/>
      <c r="AV9682" s="7"/>
    </row>
    <row r="9683" spans="47:48" x14ac:dyDescent="0.25">
      <c r="AU9683" s="7"/>
      <c r="AV9683" s="7"/>
    </row>
    <row r="9684" spans="47:48" x14ac:dyDescent="0.25">
      <c r="AU9684" s="7"/>
      <c r="AV9684" s="7"/>
    </row>
    <row r="9685" spans="47:48" x14ac:dyDescent="0.25">
      <c r="AU9685" s="7"/>
      <c r="AV9685" s="7"/>
    </row>
    <row r="9686" spans="47:48" x14ac:dyDescent="0.25">
      <c r="AU9686" s="7"/>
      <c r="AV9686" s="7"/>
    </row>
    <row r="9687" spans="47:48" x14ac:dyDescent="0.25">
      <c r="AU9687" s="7"/>
      <c r="AV9687" s="7"/>
    </row>
    <row r="9688" spans="47:48" x14ac:dyDescent="0.25">
      <c r="AU9688" s="7"/>
      <c r="AV9688" s="7"/>
    </row>
    <row r="9689" spans="47:48" x14ac:dyDescent="0.25">
      <c r="AU9689" s="7"/>
      <c r="AV9689" s="7"/>
    </row>
    <row r="9690" spans="47:48" x14ac:dyDescent="0.25">
      <c r="AU9690" s="7"/>
      <c r="AV9690" s="7"/>
    </row>
    <row r="9691" spans="47:48" x14ac:dyDescent="0.25">
      <c r="AU9691" s="7"/>
      <c r="AV9691" s="7"/>
    </row>
    <row r="9692" spans="47:48" x14ac:dyDescent="0.25">
      <c r="AU9692" s="7"/>
      <c r="AV9692" s="7"/>
    </row>
    <row r="9693" spans="47:48" x14ac:dyDescent="0.25">
      <c r="AU9693" s="7"/>
      <c r="AV9693" s="7"/>
    </row>
    <row r="9694" spans="47:48" x14ac:dyDescent="0.25">
      <c r="AU9694" s="7"/>
      <c r="AV9694" s="7"/>
    </row>
    <row r="9695" spans="47:48" x14ac:dyDescent="0.25">
      <c r="AU9695" s="7"/>
      <c r="AV9695" s="7"/>
    </row>
    <row r="9696" spans="47:48" x14ac:dyDescent="0.25">
      <c r="AU9696" s="7"/>
      <c r="AV9696" s="7"/>
    </row>
    <row r="9697" spans="47:48" x14ac:dyDescent="0.25">
      <c r="AU9697" s="7"/>
      <c r="AV9697" s="7"/>
    </row>
    <row r="9698" spans="47:48" x14ac:dyDescent="0.25">
      <c r="AU9698" s="7"/>
      <c r="AV9698" s="7"/>
    </row>
    <row r="9699" spans="47:48" x14ac:dyDescent="0.25">
      <c r="AU9699" s="7"/>
      <c r="AV9699" s="7"/>
    </row>
    <row r="9700" spans="47:48" x14ac:dyDescent="0.25">
      <c r="AU9700" s="7"/>
      <c r="AV9700" s="7"/>
    </row>
    <row r="9701" spans="47:48" x14ac:dyDescent="0.25">
      <c r="AU9701" s="7"/>
      <c r="AV9701" s="7"/>
    </row>
    <row r="9702" spans="47:48" x14ac:dyDescent="0.25">
      <c r="AU9702" s="7"/>
      <c r="AV9702" s="7"/>
    </row>
    <row r="9703" spans="47:48" x14ac:dyDescent="0.25">
      <c r="AU9703" s="7"/>
      <c r="AV9703" s="7"/>
    </row>
    <row r="9704" spans="47:48" x14ac:dyDescent="0.25">
      <c r="AU9704" s="7"/>
      <c r="AV9704" s="7"/>
    </row>
    <row r="9705" spans="47:48" x14ac:dyDescent="0.25">
      <c r="AU9705" s="7"/>
      <c r="AV9705" s="7"/>
    </row>
    <row r="9706" spans="47:48" x14ac:dyDescent="0.25">
      <c r="AU9706" s="7"/>
      <c r="AV9706" s="7"/>
    </row>
    <row r="9707" spans="47:48" x14ac:dyDescent="0.25">
      <c r="AU9707" s="7"/>
      <c r="AV9707" s="7"/>
    </row>
    <row r="9708" spans="47:48" x14ac:dyDescent="0.25">
      <c r="AU9708" s="7"/>
      <c r="AV9708" s="7"/>
    </row>
    <row r="9709" spans="47:48" x14ac:dyDescent="0.25">
      <c r="AU9709" s="7"/>
      <c r="AV9709" s="7"/>
    </row>
    <row r="9710" spans="47:48" x14ac:dyDescent="0.25">
      <c r="AU9710" s="7"/>
      <c r="AV9710" s="7"/>
    </row>
    <row r="9711" spans="47:48" x14ac:dyDescent="0.25">
      <c r="AU9711" s="7"/>
      <c r="AV9711" s="7"/>
    </row>
    <row r="9712" spans="47:48" x14ac:dyDescent="0.25">
      <c r="AU9712" s="7"/>
      <c r="AV9712" s="7"/>
    </row>
    <row r="9713" spans="47:48" x14ac:dyDescent="0.25">
      <c r="AU9713" s="7"/>
      <c r="AV9713" s="7"/>
    </row>
    <row r="9714" spans="47:48" x14ac:dyDescent="0.25">
      <c r="AU9714" s="7"/>
      <c r="AV9714" s="7"/>
    </row>
    <row r="9715" spans="47:48" x14ac:dyDescent="0.25">
      <c r="AU9715" s="7"/>
      <c r="AV9715" s="7"/>
    </row>
    <row r="9716" spans="47:48" x14ac:dyDescent="0.25">
      <c r="AU9716" s="7"/>
      <c r="AV9716" s="7"/>
    </row>
    <row r="9717" spans="47:48" x14ac:dyDescent="0.25">
      <c r="AU9717" s="7"/>
      <c r="AV9717" s="7"/>
    </row>
    <row r="9718" spans="47:48" x14ac:dyDescent="0.25">
      <c r="AU9718" s="7"/>
      <c r="AV9718" s="7"/>
    </row>
    <row r="9719" spans="47:48" x14ac:dyDescent="0.25">
      <c r="AU9719" s="7"/>
      <c r="AV9719" s="7"/>
    </row>
    <row r="9720" spans="47:48" x14ac:dyDescent="0.25">
      <c r="AU9720" s="7"/>
      <c r="AV9720" s="7"/>
    </row>
    <row r="9721" spans="47:48" x14ac:dyDescent="0.25">
      <c r="AU9721" s="7"/>
      <c r="AV9721" s="7"/>
    </row>
    <row r="9722" spans="47:48" x14ac:dyDescent="0.25">
      <c r="AU9722" s="7"/>
      <c r="AV9722" s="7"/>
    </row>
    <row r="9723" spans="47:48" x14ac:dyDescent="0.25">
      <c r="AU9723" s="7"/>
      <c r="AV9723" s="7"/>
    </row>
    <row r="9724" spans="47:48" x14ac:dyDescent="0.25">
      <c r="AU9724" s="7"/>
      <c r="AV9724" s="7"/>
    </row>
    <row r="9725" spans="47:48" x14ac:dyDescent="0.25">
      <c r="AU9725" s="7"/>
      <c r="AV9725" s="7"/>
    </row>
    <row r="9726" spans="47:48" x14ac:dyDescent="0.25">
      <c r="AU9726" s="7"/>
      <c r="AV9726" s="7"/>
    </row>
    <row r="9727" spans="47:48" x14ac:dyDescent="0.25">
      <c r="AU9727" s="7"/>
      <c r="AV9727" s="7"/>
    </row>
    <row r="9728" spans="47:48" x14ac:dyDescent="0.25">
      <c r="AU9728" s="7"/>
      <c r="AV9728" s="7"/>
    </row>
    <row r="9729" spans="47:48" x14ac:dyDescent="0.25">
      <c r="AU9729" s="7"/>
      <c r="AV9729" s="7"/>
    </row>
    <row r="9730" spans="47:48" x14ac:dyDescent="0.25">
      <c r="AU9730" s="7"/>
      <c r="AV9730" s="7"/>
    </row>
    <row r="9731" spans="47:48" x14ac:dyDescent="0.25">
      <c r="AU9731" s="7"/>
      <c r="AV9731" s="7"/>
    </row>
    <row r="9732" spans="47:48" x14ac:dyDescent="0.25">
      <c r="AU9732" s="7"/>
      <c r="AV9732" s="7"/>
    </row>
    <row r="9733" spans="47:48" x14ac:dyDescent="0.25">
      <c r="AU9733" s="7"/>
      <c r="AV9733" s="7"/>
    </row>
    <row r="9734" spans="47:48" x14ac:dyDescent="0.25">
      <c r="AU9734" s="7"/>
      <c r="AV9734" s="7"/>
    </row>
    <row r="9735" spans="47:48" x14ac:dyDescent="0.25">
      <c r="AU9735" s="7"/>
      <c r="AV9735" s="7"/>
    </row>
    <row r="9736" spans="47:48" x14ac:dyDescent="0.25">
      <c r="AU9736" s="7"/>
      <c r="AV9736" s="7"/>
    </row>
    <row r="9737" spans="47:48" x14ac:dyDescent="0.25">
      <c r="AU9737" s="7"/>
      <c r="AV9737" s="7"/>
    </row>
    <row r="9738" spans="47:48" x14ac:dyDescent="0.25">
      <c r="AU9738" s="7"/>
      <c r="AV9738" s="7"/>
    </row>
    <row r="9739" spans="47:48" x14ac:dyDescent="0.25">
      <c r="AU9739" s="7"/>
      <c r="AV9739" s="7"/>
    </row>
    <row r="9740" spans="47:48" x14ac:dyDescent="0.25">
      <c r="AU9740" s="7"/>
      <c r="AV9740" s="7"/>
    </row>
    <row r="9741" spans="47:48" x14ac:dyDescent="0.25">
      <c r="AU9741" s="7"/>
      <c r="AV9741" s="7"/>
    </row>
    <row r="9742" spans="47:48" x14ac:dyDescent="0.25">
      <c r="AU9742" s="7"/>
      <c r="AV9742" s="7"/>
    </row>
    <row r="9743" spans="47:48" x14ac:dyDescent="0.25">
      <c r="AU9743" s="7"/>
      <c r="AV9743" s="7"/>
    </row>
    <row r="9744" spans="47:48" x14ac:dyDescent="0.25">
      <c r="AU9744" s="7"/>
      <c r="AV9744" s="7"/>
    </row>
    <row r="9745" spans="47:48" x14ac:dyDescent="0.25">
      <c r="AU9745" s="7"/>
      <c r="AV9745" s="7"/>
    </row>
    <row r="9746" spans="47:48" x14ac:dyDescent="0.25">
      <c r="AU9746" s="7"/>
      <c r="AV9746" s="7"/>
    </row>
    <row r="9747" spans="47:48" x14ac:dyDescent="0.25">
      <c r="AU9747" s="7"/>
      <c r="AV9747" s="7"/>
    </row>
    <row r="9748" spans="47:48" x14ac:dyDescent="0.25">
      <c r="AU9748" s="7"/>
      <c r="AV9748" s="7"/>
    </row>
    <row r="9749" spans="47:48" x14ac:dyDescent="0.25">
      <c r="AU9749" s="7"/>
      <c r="AV9749" s="7"/>
    </row>
    <row r="9750" spans="47:48" x14ac:dyDescent="0.25">
      <c r="AU9750" s="7"/>
      <c r="AV9750" s="7"/>
    </row>
    <row r="9751" spans="47:48" x14ac:dyDescent="0.25">
      <c r="AU9751" s="7"/>
      <c r="AV9751" s="7"/>
    </row>
    <row r="9752" spans="47:48" x14ac:dyDescent="0.25">
      <c r="AU9752" s="7"/>
      <c r="AV9752" s="7"/>
    </row>
    <row r="9753" spans="47:48" x14ac:dyDescent="0.25">
      <c r="AU9753" s="7"/>
      <c r="AV9753" s="7"/>
    </row>
    <row r="9754" spans="47:48" x14ac:dyDescent="0.25">
      <c r="AU9754" s="7"/>
      <c r="AV9754" s="7"/>
    </row>
    <row r="9755" spans="47:48" x14ac:dyDescent="0.25">
      <c r="AU9755" s="7"/>
      <c r="AV9755" s="7"/>
    </row>
    <row r="9756" spans="47:48" x14ac:dyDescent="0.25">
      <c r="AU9756" s="7"/>
      <c r="AV9756" s="7"/>
    </row>
    <row r="9757" spans="47:48" x14ac:dyDescent="0.25">
      <c r="AU9757" s="7"/>
      <c r="AV9757" s="7"/>
    </row>
    <row r="9758" spans="47:48" x14ac:dyDescent="0.25">
      <c r="AU9758" s="7"/>
      <c r="AV9758" s="7"/>
    </row>
    <row r="9759" spans="47:48" x14ac:dyDescent="0.25">
      <c r="AU9759" s="7"/>
      <c r="AV9759" s="7"/>
    </row>
    <row r="9760" spans="47:48" x14ac:dyDescent="0.25">
      <c r="AU9760" s="7"/>
      <c r="AV9760" s="7"/>
    </row>
    <row r="9761" spans="47:48" x14ac:dyDescent="0.25">
      <c r="AU9761" s="7"/>
      <c r="AV9761" s="7"/>
    </row>
    <row r="9762" spans="47:48" x14ac:dyDescent="0.25">
      <c r="AU9762" s="7"/>
      <c r="AV9762" s="7"/>
    </row>
    <row r="9763" spans="47:48" x14ac:dyDescent="0.25">
      <c r="AU9763" s="7"/>
      <c r="AV9763" s="7"/>
    </row>
    <row r="9764" spans="47:48" x14ac:dyDescent="0.25">
      <c r="AU9764" s="7"/>
      <c r="AV9764" s="7"/>
    </row>
    <row r="9765" spans="47:48" x14ac:dyDescent="0.25">
      <c r="AU9765" s="7"/>
      <c r="AV9765" s="7"/>
    </row>
    <row r="9766" spans="47:48" x14ac:dyDescent="0.25">
      <c r="AU9766" s="7"/>
      <c r="AV9766" s="7"/>
    </row>
    <row r="9767" spans="47:48" x14ac:dyDescent="0.25">
      <c r="AU9767" s="7"/>
      <c r="AV9767" s="7"/>
    </row>
    <row r="9768" spans="47:48" x14ac:dyDescent="0.25">
      <c r="AU9768" s="7"/>
      <c r="AV9768" s="7"/>
    </row>
    <row r="9769" spans="47:48" x14ac:dyDescent="0.25">
      <c r="AU9769" s="7"/>
      <c r="AV9769" s="7"/>
    </row>
    <row r="9770" spans="47:48" x14ac:dyDescent="0.25">
      <c r="AU9770" s="7"/>
      <c r="AV9770" s="7"/>
    </row>
    <row r="9771" spans="47:48" x14ac:dyDescent="0.25">
      <c r="AU9771" s="7"/>
      <c r="AV9771" s="7"/>
    </row>
    <row r="9772" spans="47:48" x14ac:dyDescent="0.25">
      <c r="AU9772" s="7"/>
      <c r="AV9772" s="7"/>
    </row>
    <row r="9773" spans="47:48" x14ac:dyDescent="0.25">
      <c r="AU9773" s="7"/>
      <c r="AV9773" s="7"/>
    </row>
    <row r="9774" spans="47:48" x14ac:dyDescent="0.25">
      <c r="AU9774" s="7"/>
      <c r="AV9774" s="7"/>
    </row>
    <row r="9775" spans="47:48" x14ac:dyDescent="0.25">
      <c r="AU9775" s="7"/>
      <c r="AV9775" s="7"/>
    </row>
    <row r="9776" spans="47:48" x14ac:dyDescent="0.25">
      <c r="AU9776" s="7"/>
      <c r="AV9776" s="7"/>
    </row>
    <row r="9777" spans="47:48" x14ac:dyDescent="0.25">
      <c r="AU9777" s="7"/>
      <c r="AV9777" s="7"/>
    </row>
    <row r="9778" spans="47:48" x14ac:dyDescent="0.25">
      <c r="AU9778" s="7"/>
      <c r="AV9778" s="7"/>
    </row>
    <row r="9779" spans="47:48" x14ac:dyDescent="0.25">
      <c r="AU9779" s="7"/>
      <c r="AV9779" s="7"/>
    </row>
    <row r="9780" spans="47:48" x14ac:dyDescent="0.25">
      <c r="AU9780" s="7"/>
      <c r="AV9780" s="7"/>
    </row>
    <row r="9781" spans="47:48" x14ac:dyDescent="0.25">
      <c r="AU9781" s="7"/>
      <c r="AV9781" s="7"/>
    </row>
    <row r="9782" spans="47:48" x14ac:dyDescent="0.25">
      <c r="AU9782" s="7"/>
      <c r="AV9782" s="7"/>
    </row>
    <row r="9783" spans="47:48" x14ac:dyDescent="0.25">
      <c r="AU9783" s="7"/>
      <c r="AV9783" s="7"/>
    </row>
    <row r="9784" spans="47:48" x14ac:dyDescent="0.25">
      <c r="AU9784" s="7"/>
      <c r="AV9784" s="7"/>
    </row>
    <row r="9785" spans="47:48" x14ac:dyDescent="0.25">
      <c r="AU9785" s="7"/>
      <c r="AV9785" s="7"/>
    </row>
    <row r="9786" spans="47:48" x14ac:dyDescent="0.25">
      <c r="AU9786" s="7"/>
      <c r="AV9786" s="7"/>
    </row>
    <row r="9787" spans="47:48" x14ac:dyDescent="0.25">
      <c r="AU9787" s="7"/>
      <c r="AV9787" s="7"/>
    </row>
    <row r="9788" spans="47:48" x14ac:dyDescent="0.25">
      <c r="AU9788" s="7"/>
      <c r="AV9788" s="7"/>
    </row>
    <row r="9789" spans="47:48" x14ac:dyDescent="0.25">
      <c r="AU9789" s="7"/>
      <c r="AV9789" s="7"/>
    </row>
    <row r="9790" spans="47:48" x14ac:dyDescent="0.25">
      <c r="AU9790" s="7"/>
      <c r="AV9790" s="7"/>
    </row>
    <row r="9791" spans="47:48" x14ac:dyDescent="0.25">
      <c r="AU9791" s="7"/>
      <c r="AV9791" s="7"/>
    </row>
    <row r="9792" spans="47:48" x14ac:dyDescent="0.25">
      <c r="AU9792" s="7"/>
      <c r="AV9792" s="7"/>
    </row>
    <row r="9793" spans="47:48" x14ac:dyDescent="0.25">
      <c r="AU9793" s="7"/>
      <c r="AV9793" s="7"/>
    </row>
    <row r="9794" spans="47:48" x14ac:dyDescent="0.25">
      <c r="AU9794" s="7"/>
      <c r="AV9794" s="7"/>
    </row>
    <row r="9795" spans="47:48" x14ac:dyDescent="0.25">
      <c r="AU9795" s="7"/>
      <c r="AV9795" s="7"/>
    </row>
    <row r="9796" spans="47:48" x14ac:dyDescent="0.25">
      <c r="AU9796" s="7"/>
      <c r="AV9796" s="7"/>
    </row>
    <row r="9797" spans="47:48" x14ac:dyDescent="0.25">
      <c r="AU9797" s="7"/>
      <c r="AV9797" s="7"/>
    </row>
    <row r="9798" spans="47:48" x14ac:dyDescent="0.25">
      <c r="AU9798" s="7"/>
      <c r="AV9798" s="7"/>
    </row>
    <row r="9799" spans="47:48" x14ac:dyDescent="0.25">
      <c r="AU9799" s="7"/>
      <c r="AV9799" s="7"/>
    </row>
    <row r="9800" spans="47:48" x14ac:dyDescent="0.25">
      <c r="AU9800" s="7"/>
      <c r="AV9800" s="7"/>
    </row>
    <row r="9801" spans="47:48" x14ac:dyDescent="0.25">
      <c r="AU9801" s="7"/>
      <c r="AV9801" s="7"/>
    </row>
    <row r="9802" spans="47:48" x14ac:dyDescent="0.25">
      <c r="AU9802" s="7"/>
      <c r="AV9802" s="7"/>
    </row>
    <row r="9803" spans="47:48" x14ac:dyDescent="0.25">
      <c r="AU9803" s="7"/>
      <c r="AV9803" s="7"/>
    </row>
    <row r="9804" spans="47:48" x14ac:dyDescent="0.25">
      <c r="AU9804" s="7"/>
      <c r="AV9804" s="7"/>
    </row>
    <row r="9805" spans="47:48" x14ac:dyDescent="0.25">
      <c r="AU9805" s="7"/>
      <c r="AV9805" s="7"/>
    </row>
    <row r="9806" spans="47:48" x14ac:dyDescent="0.25">
      <c r="AU9806" s="7"/>
      <c r="AV9806" s="7"/>
    </row>
    <row r="9807" spans="47:48" x14ac:dyDescent="0.25">
      <c r="AU9807" s="7"/>
      <c r="AV9807" s="7"/>
    </row>
    <row r="9808" spans="47:48" x14ac:dyDescent="0.25">
      <c r="AU9808" s="7"/>
      <c r="AV9808" s="7"/>
    </row>
    <row r="9809" spans="47:48" x14ac:dyDescent="0.25">
      <c r="AU9809" s="7"/>
      <c r="AV9809" s="7"/>
    </row>
    <row r="9810" spans="47:48" x14ac:dyDescent="0.25">
      <c r="AU9810" s="7"/>
      <c r="AV9810" s="7"/>
    </row>
    <row r="9811" spans="47:48" x14ac:dyDescent="0.25">
      <c r="AU9811" s="7"/>
      <c r="AV9811" s="7"/>
    </row>
    <row r="9812" spans="47:48" x14ac:dyDescent="0.25">
      <c r="AU9812" s="7"/>
      <c r="AV9812" s="7"/>
    </row>
    <row r="9813" spans="47:48" x14ac:dyDescent="0.25">
      <c r="AU9813" s="7"/>
      <c r="AV9813" s="7"/>
    </row>
    <row r="9814" spans="47:48" x14ac:dyDescent="0.25">
      <c r="AU9814" s="7"/>
      <c r="AV9814" s="7"/>
    </row>
    <row r="9815" spans="47:48" x14ac:dyDescent="0.25">
      <c r="AU9815" s="7"/>
      <c r="AV9815" s="7"/>
    </row>
    <row r="9816" spans="47:48" x14ac:dyDescent="0.25">
      <c r="AU9816" s="7"/>
      <c r="AV9816" s="7"/>
    </row>
    <row r="9817" spans="47:48" x14ac:dyDescent="0.25">
      <c r="AU9817" s="7"/>
      <c r="AV9817" s="7"/>
    </row>
    <row r="9818" spans="47:48" x14ac:dyDescent="0.25">
      <c r="AU9818" s="7"/>
      <c r="AV9818" s="7"/>
    </row>
    <row r="9819" spans="47:48" x14ac:dyDescent="0.25">
      <c r="AU9819" s="7"/>
      <c r="AV9819" s="7"/>
    </row>
    <row r="9820" spans="47:48" x14ac:dyDescent="0.25">
      <c r="AU9820" s="7"/>
      <c r="AV9820" s="7"/>
    </row>
    <row r="9821" spans="47:48" x14ac:dyDescent="0.25">
      <c r="AU9821" s="7"/>
      <c r="AV9821" s="7"/>
    </row>
    <row r="9822" spans="47:48" x14ac:dyDescent="0.25">
      <c r="AU9822" s="7"/>
      <c r="AV9822" s="7"/>
    </row>
    <row r="9823" spans="47:48" x14ac:dyDescent="0.25">
      <c r="AU9823" s="7"/>
      <c r="AV9823" s="7"/>
    </row>
    <row r="9824" spans="47:48" x14ac:dyDescent="0.25">
      <c r="AU9824" s="7"/>
      <c r="AV9824" s="7"/>
    </row>
    <row r="9825" spans="47:48" x14ac:dyDescent="0.25">
      <c r="AU9825" s="7"/>
      <c r="AV9825" s="7"/>
    </row>
    <row r="9826" spans="47:48" x14ac:dyDescent="0.25">
      <c r="AU9826" s="7"/>
      <c r="AV9826" s="7"/>
    </row>
    <row r="9827" spans="47:48" x14ac:dyDescent="0.25">
      <c r="AU9827" s="7"/>
      <c r="AV9827" s="7"/>
    </row>
    <row r="9828" spans="47:48" x14ac:dyDescent="0.25">
      <c r="AU9828" s="7"/>
      <c r="AV9828" s="7"/>
    </row>
    <row r="9829" spans="47:48" x14ac:dyDescent="0.25">
      <c r="AU9829" s="7"/>
      <c r="AV9829" s="7"/>
    </row>
    <row r="9830" spans="47:48" x14ac:dyDescent="0.25">
      <c r="AU9830" s="7"/>
      <c r="AV9830" s="7"/>
    </row>
    <row r="9831" spans="47:48" x14ac:dyDescent="0.25">
      <c r="AU9831" s="7"/>
      <c r="AV9831" s="7"/>
    </row>
    <row r="9832" spans="47:48" x14ac:dyDescent="0.25">
      <c r="AU9832" s="7"/>
      <c r="AV9832" s="7"/>
    </row>
    <row r="9833" spans="47:48" x14ac:dyDescent="0.25">
      <c r="AU9833" s="7"/>
      <c r="AV9833" s="7"/>
    </row>
    <row r="9834" spans="47:48" x14ac:dyDescent="0.25">
      <c r="AU9834" s="7"/>
      <c r="AV9834" s="7"/>
    </row>
    <row r="9835" spans="47:48" x14ac:dyDescent="0.25">
      <c r="AU9835" s="7"/>
      <c r="AV9835" s="7"/>
    </row>
    <row r="9836" spans="47:48" x14ac:dyDescent="0.25">
      <c r="AU9836" s="7"/>
      <c r="AV9836" s="7"/>
    </row>
    <row r="9837" spans="47:48" x14ac:dyDescent="0.25">
      <c r="AU9837" s="7"/>
      <c r="AV9837" s="7"/>
    </row>
    <row r="9838" spans="47:48" x14ac:dyDescent="0.25">
      <c r="AU9838" s="7"/>
      <c r="AV9838" s="7"/>
    </row>
    <row r="9839" spans="47:48" x14ac:dyDescent="0.25">
      <c r="AU9839" s="7"/>
      <c r="AV9839" s="7"/>
    </row>
    <row r="9840" spans="47:48" x14ac:dyDescent="0.25">
      <c r="AU9840" s="7"/>
      <c r="AV9840" s="7"/>
    </row>
    <row r="9841" spans="47:48" x14ac:dyDescent="0.25">
      <c r="AU9841" s="7"/>
      <c r="AV9841" s="7"/>
    </row>
    <row r="9842" spans="47:48" x14ac:dyDescent="0.25">
      <c r="AU9842" s="7"/>
      <c r="AV9842" s="7"/>
    </row>
    <row r="9843" spans="47:48" x14ac:dyDescent="0.25">
      <c r="AU9843" s="7"/>
      <c r="AV9843" s="7"/>
    </row>
    <row r="9844" spans="47:48" x14ac:dyDescent="0.25">
      <c r="AU9844" s="7"/>
      <c r="AV9844" s="7"/>
    </row>
    <row r="9845" spans="47:48" x14ac:dyDescent="0.25">
      <c r="AU9845" s="7"/>
      <c r="AV9845" s="7"/>
    </row>
    <row r="9846" spans="47:48" x14ac:dyDescent="0.25">
      <c r="AU9846" s="7"/>
      <c r="AV9846" s="7"/>
    </row>
    <row r="9847" spans="47:48" x14ac:dyDescent="0.25">
      <c r="AU9847" s="7"/>
      <c r="AV9847" s="7"/>
    </row>
    <row r="9848" spans="47:48" x14ac:dyDescent="0.25">
      <c r="AU9848" s="7"/>
      <c r="AV9848" s="7"/>
    </row>
    <row r="9849" spans="47:48" x14ac:dyDescent="0.25">
      <c r="AU9849" s="7"/>
      <c r="AV9849" s="7"/>
    </row>
    <row r="9850" spans="47:48" x14ac:dyDescent="0.25">
      <c r="AU9850" s="7"/>
      <c r="AV9850" s="7"/>
    </row>
    <row r="9851" spans="47:48" x14ac:dyDescent="0.25">
      <c r="AU9851" s="7"/>
      <c r="AV9851" s="7"/>
    </row>
    <row r="9852" spans="47:48" x14ac:dyDescent="0.25">
      <c r="AU9852" s="7"/>
      <c r="AV9852" s="7"/>
    </row>
    <row r="9853" spans="47:48" x14ac:dyDescent="0.25">
      <c r="AU9853" s="7"/>
      <c r="AV9853" s="7"/>
    </row>
    <row r="9854" spans="47:48" x14ac:dyDescent="0.25">
      <c r="AU9854" s="7"/>
      <c r="AV9854" s="7"/>
    </row>
    <row r="9855" spans="47:48" x14ac:dyDescent="0.25">
      <c r="AU9855" s="7"/>
      <c r="AV9855" s="7"/>
    </row>
    <row r="9856" spans="47:48" x14ac:dyDescent="0.25">
      <c r="AU9856" s="7"/>
      <c r="AV9856" s="7"/>
    </row>
    <row r="9857" spans="47:48" x14ac:dyDescent="0.25">
      <c r="AU9857" s="7"/>
      <c r="AV9857" s="7"/>
    </row>
    <row r="9858" spans="47:48" x14ac:dyDescent="0.25">
      <c r="AU9858" s="7"/>
      <c r="AV9858" s="7"/>
    </row>
    <row r="9859" spans="47:48" x14ac:dyDescent="0.25">
      <c r="AU9859" s="7"/>
      <c r="AV9859" s="7"/>
    </row>
    <row r="9860" spans="47:48" x14ac:dyDescent="0.25">
      <c r="AU9860" s="7"/>
      <c r="AV9860" s="7"/>
    </row>
    <row r="9861" spans="47:48" x14ac:dyDescent="0.25">
      <c r="AU9861" s="7"/>
      <c r="AV9861" s="7"/>
    </row>
    <row r="9862" spans="47:48" x14ac:dyDescent="0.25">
      <c r="AU9862" s="7"/>
      <c r="AV9862" s="7"/>
    </row>
    <row r="9863" spans="47:48" x14ac:dyDescent="0.25">
      <c r="AU9863" s="7"/>
      <c r="AV9863" s="7"/>
    </row>
    <row r="9864" spans="47:48" x14ac:dyDescent="0.25">
      <c r="AU9864" s="7"/>
      <c r="AV9864" s="7"/>
    </row>
    <row r="9865" spans="47:48" x14ac:dyDescent="0.25">
      <c r="AU9865" s="7"/>
      <c r="AV9865" s="7"/>
    </row>
    <row r="9866" spans="47:48" x14ac:dyDescent="0.25">
      <c r="AU9866" s="7"/>
      <c r="AV9866" s="7"/>
    </row>
    <row r="9867" spans="47:48" x14ac:dyDescent="0.25">
      <c r="AU9867" s="7"/>
      <c r="AV9867" s="7"/>
    </row>
    <row r="9868" spans="47:48" x14ac:dyDescent="0.25">
      <c r="AU9868" s="7"/>
      <c r="AV9868" s="7"/>
    </row>
    <row r="9869" spans="47:48" x14ac:dyDescent="0.25">
      <c r="AU9869" s="7"/>
      <c r="AV9869" s="7"/>
    </row>
    <row r="9870" spans="47:48" x14ac:dyDescent="0.25">
      <c r="AU9870" s="7"/>
      <c r="AV9870" s="7"/>
    </row>
    <row r="9871" spans="47:48" x14ac:dyDescent="0.25">
      <c r="AU9871" s="7"/>
      <c r="AV9871" s="7"/>
    </row>
    <row r="9872" spans="47:48" x14ac:dyDescent="0.25">
      <c r="AU9872" s="7"/>
      <c r="AV9872" s="7"/>
    </row>
    <row r="9873" spans="47:48" x14ac:dyDescent="0.25">
      <c r="AU9873" s="7"/>
      <c r="AV9873" s="7"/>
    </row>
    <row r="9874" spans="47:48" x14ac:dyDescent="0.25">
      <c r="AU9874" s="7"/>
      <c r="AV9874" s="7"/>
    </row>
    <row r="9875" spans="47:48" x14ac:dyDescent="0.25">
      <c r="AU9875" s="7"/>
      <c r="AV9875" s="7"/>
    </row>
    <row r="9876" spans="47:48" x14ac:dyDescent="0.25">
      <c r="AU9876" s="7"/>
      <c r="AV9876" s="7"/>
    </row>
    <row r="9877" spans="47:48" x14ac:dyDescent="0.25">
      <c r="AU9877" s="7"/>
      <c r="AV9877" s="7"/>
    </row>
    <row r="9878" spans="47:48" x14ac:dyDescent="0.25">
      <c r="AU9878" s="7"/>
      <c r="AV9878" s="7"/>
    </row>
    <row r="9879" spans="47:48" x14ac:dyDescent="0.25">
      <c r="AU9879" s="7"/>
      <c r="AV9879" s="7"/>
    </row>
    <row r="9880" spans="47:48" x14ac:dyDescent="0.25">
      <c r="AU9880" s="7"/>
      <c r="AV9880" s="7"/>
    </row>
    <row r="9881" spans="47:48" x14ac:dyDescent="0.25">
      <c r="AU9881" s="7"/>
      <c r="AV9881" s="7"/>
    </row>
    <row r="9882" spans="47:48" x14ac:dyDescent="0.25">
      <c r="AU9882" s="7"/>
      <c r="AV9882" s="7"/>
    </row>
    <row r="9883" spans="47:48" x14ac:dyDescent="0.25">
      <c r="AU9883" s="7"/>
      <c r="AV9883" s="7"/>
    </row>
    <row r="9884" spans="47:48" x14ac:dyDescent="0.25">
      <c r="AU9884" s="7"/>
      <c r="AV9884" s="7"/>
    </row>
    <row r="9885" spans="47:48" x14ac:dyDescent="0.25">
      <c r="AU9885" s="7"/>
      <c r="AV9885" s="7"/>
    </row>
    <row r="9886" spans="47:48" x14ac:dyDescent="0.25">
      <c r="AU9886" s="7"/>
      <c r="AV9886" s="7"/>
    </row>
    <row r="9887" spans="47:48" x14ac:dyDescent="0.25">
      <c r="AU9887" s="7"/>
      <c r="AV9887" s="7"/>
    </row>
    <row r="9888" spans="47:48" x14ac:dyDescent="0.25">
      <c r="AU9888" s="7"/>
      <c r="AV9888" s="7"/>
    </row>
    <row r="9889" spans="47:48" x14ac:dyDescent="0.25">
      <c r="AU9889" s="7"/>
      <c r="AV9889" s="7"/>
    </row>
    <row r="9890" spans="47:48" x14ac:dyDescent="0.25">
      <c r="AU9890" s="7"/>
      <c r="AV9890" s="7"/>
    </row>
    <row r="9891" spans="47:48" x14ac:dyDescent="0.25">
      <c r="AU9891" s="7"/>
      <c r="AV9891" s="7"/>
    </row>
    <row r="9892" spans="47:48" x14ac:dyDescent="0.25">
      <c r="AU9892" s="7"/>
      <c r="AV9892" s="7"/>
    </row>
    <row r="9893" spans="47:48" x14ac:dyDescent="0.25">
      <c r="AU9893" s="7"/>
      <c r="AV9893" s="7"/>
    </row>
    <row r="9894" spans="47:48" x14ac:dyDescent="0.25">
      <c r="AU9894" s="7"/>
      <c r="AV9894" s="7"/>
    </row>
    <row r="9895" spans="47:48" x14ac:dyDescent="0.25">
      <c r="AU9895" s="7"/>
      <c r="AV9895" s="7"/>
    </row>
    <row r="9896" spans="47:48" x14ac:dyDescent="0.25">
      <c r="AU9896" s="7"/>
      <c r="AV9896" s="7"/>
    </row>
    <row r="9897" spans="47:48" x14ac:dyDescent="0.25">
      <c r="AU9897" s="7"/>
      <c r="AV9897" s="7"/>
    </row>
    <row r="9898" spans="47:48" x14ac:dyDescent="0.25">
      <c r="AU9898" s="7"/>
      <c r="AV9898" s="7"/>
    </row>
    <row r="9899" spans="47:48" x14ac:dyDescent="0.25">
      <c r="AU9899" s="7"/>
      <c r="AV9899" s="7"/>
    </row>
    <row r="9900" spans="47:48" x14ac:dyDescent="0.25">
      <c r="AU9900" s="7"/>
      <c r="AV9900" s="7"/>
    </row>
    <row r="9901" spans="47:48" x14ac:dyDescent="0.25">
      <c r="AU9901" s="7"/>
      <c r="AV9901" s="7"/>
    </row>
    <row r="9902" spans="47:48" x14ac:dyDescent="0.25">
      <c r="AU9902" s="7"/>
      <c r="AV9902" s="7"/>
    </row>
    <row r="9903" spans="47:48" x14ac:dyDescent="0.25">
      <c r="AU9903" s="7"/>
      <c r="AV9903" s="7"/>
    </row>
    <row r="9904" spans="47:48" x14ac:dyDescent="0.25">
      <c r="AU9904" s="7"/>
      <c r="AV9904" s="7"/>
    </row>
    <row r="9905" spans="47:48" x14ac:dyDescent="0.25">
      <c r="AU9905" s="7"/>
      <c r="AV9905" s="7"/>
    </row>
    <row r="9906" spans="47:48" x14ac:dyDescent="0.25">
      <c r="AU9906" s="7"/>
      <c r="AV9906" s="7"/>
    </row>
    <row r="9907" spans="47:48" x14ac:dyDescent="0.25">
      <c r="AU9907" s="7"/>
      <c r="AV9907" s="7"/>
    </row>
    <row r="9908" spans="47:48" x14ac:dyDescent="0.25">
      <c r="AU9908" s="7"/>
      <c r="AV9908" s="7"/>
    </row>
    <row r="9909" spans="47:48" x14ac:dyDescent="0.25">
      <c r="AU9909" s="7"/>
      <c r="AV9909" s="7"/>
    </row>
    <row r="9910" spans="47:48" x14ac:dyDescent="0.25">
      <c r="AU9910" s="7"/>
      <c r="AV9910" s="7"/>
    </row>
    <row r="9911" spans="47:48" x14ac:dyDescent="0.25">
      <c r="AU9911" s="7"/>
      <c r="AV9911" s="7"/>
    </row>
    <row r="9912" spans="47:48" x14ac:dyDescent="0.25">
      <c r="AU9912" s="7"/>
      <c r="AV9912" s="7"/>
    </row>
    <row r="9913" spans="47:48" x14ac:dyDescent="0.25">
      <c r="AU9913" s="7"/>
      <c r="AV9913" s="7"/>
    </row>
    <row r="9914" spans="47:48" x14ac:dyDescent="0.25">
      <c r="AU9914" s="7"/>
      <c r="AV9914" s="7"/>
    </row>
    <row r="9915" spans="47:48" x14ac:dyDescent="0.25">
      <c r="AU9915" s="7"/>
      <c r="AV9915" s="7"/>
    </row>
    <row r="9916" spans="47:48" x14ac:dyDescent="0.25">
      <c r="AU9916" s="7"/>
      <c r="AV9916" s="7"/>
    </row>
    <row r="9917" spans="47:48" x14ac:dyDescent="0.25">
      <c r="AU9917" s="7"/>
      <c r="AV9917" s="7"/>
    </row>
    <row r="9918" spans="47:48" x14ac:dyDescent="0.25">
      <c r="AU9918" s="7"/>
      <c r="AV9918" s="7"/>
    </row>
    <row r="9919" spans="47:48" x14ac:dyDescent="0.25">
      <c r="AU9919" s="7"/>
      <c r="AV9919" s="7"/>
    </row>
    <row r="9920" spans="47:48" x14ac:dyDescent="0.25">
      <c r="AU9920" s="7"/>
      <c r="AV9920" s="7"/>
    </row>
    <row r="9921" spans="47:48" x14ac:dyDescent="0.25">
      <c r="AU9921" s="7"/>
      <c r="AV9921" s="7"/>
    </row>
    <row r="9922" spans="47:48" x14ac:dyDescent="0.25">
      <c r="AU9922" s="7"/>
      <c r="AV9922" s="7"/>
    </row>
    <row r="9923" spans="47:48" x14ac:dyDescent="0.25">
      <c r="AU9923" s="7"/>
      <c r="AV9923" s="7"/>
    </row>
    <row r="9924" spans="47:48" x14ac:dyDescent="0.25">
      <c r="AU9924" s="7"/>
      <c r="AV9924" s="7"/>
    </row>
    <row r="9925" spans="47:48" x14ac:dyDescent="0.25">
      <c r="AU9925" s="7"/>
      <c r="AV9925" s="7"/>
    </row>
    <row r="9926" spans="47:48" x14ac:dyDescent="0.25">
      <c r="AU9926" s="7"/>
      <c r="AV9926" s="7"/>
    </row>
    <row r="9927" spans="47:48" x14ac:dyDescent="0.25">
      <c r="AU9927" s="7"/>
      <c r="AV9927" s="7"/>
    </row>
    <row r="9928" spans="47:48" x14ac:dyDescent="0.25">
      <c r="AU9928" s="7"/>
      <c r="AV9928" s="7"/>
    </row>
    <row r="9929" spans="47:48" x14ac:dyDescent="0.25">
      <c r="AU9929" s="7"/>
      <c r="AV9929" s="7"/>
    </row>
    <row r="9930" spans="47:48" x14ac:dyDescent="0.25">
      <c r="AU9930" s="7"/>
      <c r="AV9930" s="7"/>
    </row>
    <row r="9931" spans="47:48" x14ac:dyDescent="0.25">
      <c r="AU9931" s="7"/>
      <c r="AV9931" s="7"/>
    </row>
    <row r="9932" spans="47:48" x14ac:dyDescent="0.25">
      <c r="AU9932" s="7"/>
      <c r="AV9932" s="7"/>
    </row>
    <row r="9933" spans="47:48" x14ac:dyDescent="0.25">
      <c r="AU9933" s="7"/>
      <c r="AV9933" s="7"/>
    </row>
    <row r="9934" spans="47:48" x14ac:dyDescent="0.25">
      <c r="AU9934" s="7"/>
      <c r="AV9934" s="7"/>
    </row>
    <row r="9935" spans="47:48" x14ac:dyDescent="0.25">
      <c r="AU9935" s="7"/>
      <c r="AV9935" s="7"/>
    </row>
    <row r="9936" spans="47:48" x14ac:dyDescent="0.25">
      <c r="AU9936" s="7"/>
      <c r="AV9936" s="7"/>
    </row>
    <row r="9937" spans="47:48" x14ac:dyDescent="0.25">
      <c r="AU9937" s="7"/>
      <c r="AV9937" s="7"/>
    </row>
    <row r="9938" spans="47:48" x14ac:dyDescent="0.25">
      <c r="AU9938" s="7"/>
      <c r="AV9938" s="7"/>
    </row>
    <row r="9939" spans="47:48" x14ac:dyDescent="0.25">
      <c r="AU9939" s="7"/>
      <c r="AV9939" s="7"/>
    </row>
    <row r="9940" spans="47:48" x14ac:dyDescent="0.25">
      <c r="AU9940" s="7"/>
      <c r="AV9940" s="7"/>
    </row>
    <row r="9941" spans="47:48" x14ac:dyDescent="0.25">
      <c r="AU9941" s="7"/>
      <c r="AV9941" s="7"/>
    </row>
    <row r="9942" spans="47:48" x14ac:dyDescent="0.25">
      <c r="AU9942" s="7"/>
      <c r="AV9942" s="7"/>
    </row>
    <row r="9943" spans="47:48" x14ac:dyDescent="0.25">
      <c r="AU9943" s="7"/>
      <c r="AV9943" s="7"/>
    </row>
    <row r="9944" spans="47:48" x14ac:dyDescent="0.25">
      <c r="AU9944" s="7"/>
      <c r="AV9944" s="7"/>
    </row>
    <row r="9945" spans="47:48" x14ac:dyDescent="0.25">
      <c r="AU9945" s="7"/>
      <c r="AV9945" s="7"/>
    </row>
    <row r="9946" spans="47:48" x14ac:dyDescent="0.25">
      <c r="AU9946" s="7"/>
      <c r="AV9946" s="7"/>
    </row>
    <row r="9947" spans="47:48" x14ac:dyDescent="0.25">
      <c r="AU9947" s="7"/>
      <c r="AV9947" s="7"/>
    </row>
    <row r="9948" spans="47:48" x14ac:dyDescent="0.25">
      <c r="AU9948" s="7"/>
      <c r="AV9948" s="7"/>
    </row>
    <row r="9949" spans="47:48" x14ac:dyDescent="0.25">
      <c r="AU9949" s="7"/>
      <c r="AV9949" s="7"/>
    </row>
    <row r="9950" spans="47:48" x14ac:dyDescent="0.25">
      <c r="AU9950" s="7"/>
      <c r="AV9950" s="7"/>
    </row>
    <row r="9951" spans="47:48" x14ac:dyDescent="0.25">
      <c r="AU9951" s="7"/>
      <c r="AV9951" s="7"/>
    </row>
    <row r="9952" spans="47:48" x14ac:dyDescent="0.25">
      <c r="AU9952" s="7"/>
      <c r="AV9952" s="7"/>
    </row>
    <row r="9953" spans="47:48" x14ac:dyDescent="0.25">
      <c r="AU9953" s="7"/>
      <c r="AV9953" s="7"/>
    </row>
    <row r="9954" spans="47:48" x14ac:dyDescent="0.25">
      <c r="AU9954" s="7"/>
      <c r="AV9954" s="7"/>
    </row>
    <row r="9955" spans="47:48" x14ac:dyDescent="0.25">
      <c r="AU9955" s="7"/>
      <c r="AV9955" s="7"/>
    </row>
    <row r="9956" spans="47:48" x14ac:dyDescent="0.25">
      <c r="AU9956" s="7"/>
      <c r="AV9956" s="7"/>
    </row>
    <row r="9957" spans="47:48" x14ac:dyDescent="0.25">
      <c r="AU9957" s="7"/>
      <c r="AV9957" s="7"/>
    </row>
    <row r="9958" spans="47:48" x14ac:dyDescent="0.25">
      <c r="AU9958" s="7"/>
      <c r="AV9958" s="7"/>
    </row>
    <row r="9959" spans="47:48" x14ac:dyDescent="0.25">
      <c r="AU9959" s="7"/>
      <c r="AV9959" s="7"/>
    </row>
    <row r="9960" spans="47:48" x14ac:dyDescent="0.25">
      <c r="AU9960" s="7"/>
      <c r="AV9960" s="7"/>
    </row>
    <row r="9961" spans="47:48" x14ac:dyDescent="0.25">
      <c r="AU9961" s="7"/>
      <c r="AV9961" s="7"/>
    </row>
    <row r="9962" spans="47:48" x14ac:dyDescent="0.25">
      <c r="AU9962" s="7"/>
      <c r="AV9962" s="7"/>
    </row>
    <row r="9963" spans="47:48" x14ac:dyDescent="0.25">
      <c r="AU9963" s="7"/>
      <c r="AV9963" s="7"/>
    </row>
    <row r="9964" spans="47:48" x14ac:dyDescent="0.25">
      <c r="AU9964" s="7"/>
      <c r="AV9964" s="7"/>
    </row>
    <row r="9965" spans="47:48" x14ac:dyDescent="0.25">
      <c r="AU9965" s="7"/>
      <c r="AV9965" s="7"/>
    </row>
    <row r="9966" spans="47:48" x14ac:dyDescent="0.25">
      <c r="AU9966" s="7"/>
      <c r="AV9966" s="7"/>
    </row>
    <row r="9967" spans="47:48" x14ac:dyDescent="0.25">
      <c r="AU9967" s="7"/>
      <c r="AV9967" s="7"/>
    </row>
    <row r="9968" spans="47:48" x14ac:dyDescent="0.25">
      <c r="AU9968" s="7"/>
      <c r="AV9968" s="7"/>
    </row>
    <row r="9969" spans="47:48" x14ac:dyDescent="0.25">
      <c r="AU9969" s="7"/>
      <c r="AV9969" s="7"/>
    </row>
    <row r="9970" spans="47:48" x14ac:dyDescent="0.25">
      <c r="AU9970" s="7"/>
      <c r="AV9970" s="7"/>
    </row>
    <row r="9971" spans="47:48" x14ac:dyDescent="0.25">
      <c r="AU9971" s="7"/>
      <c r="AV9971" s="7"/>
    </row>
    <row r="9972" spans="47:48" x14ac:dyDescent="0.25">
      <c r="AU9972" s="7"/>
      <c r="AV9972" s="7"/>
    </row>
    <row r="9973" spans="47:48" x14ac:dyDescent="0.25">
      <c r="AU9973" s="7"/>
      <c r="AV9973" s="7"/>
    </row>
    <row r="9974" spans="47:48" x14ac:dyDescent="0.25">
      <c r="AU9974" s="7"/>
      <c r="AV9974" s="7"/>
    </row>
    <row r="9975" spans="47:48" x14ac:dyDescent="0.25">
      <c r="AU9975" s="7"/>
      <c r="AV9975" s="7"/>
    </row>
    <row r="9976" spans="47:48" x14ac:dyDescent="0.25">
      <c r="AU9976" s="7"/>
      <c r="AV9976" s="7"/>
    </row>
    <row r="9977" spans="47:48" x14ac:dyDescent="0.25">
      <c r="AU9977" s="7"/>
      <c r="AV9977" s="7"/>
    </row>
    <row r="9978" spans="47:48" x14ac:dyDescent="0.25">
      <c r="AU9978" s="7"/>
      <c r="AV9978" s="7"/>
    </row>
    <row r="9979" spans="47:48" x14ac:dyDescent="0.25">
      <c r="AU9979" s="7"/>
      <c r="AV9979" s="7"/>
    </row>
    <row r="9980" spans="47:48" x14ac:dyDescent="0.25">
      <c r="AU9980" s="7"/>
      <c r="AV9980" s="7"/>
    </row>
    <row r="9981" spans="47:48" x14ac:dyDescent="0.25">
      <c r="AU9981" s="7"/>
      <c r="AV9981" s="7"/>
    </row>
    <row r="9982" spans="47:48" x14ac:dyDescent="0.25">
      <c r="AU9982" s="7"/>
      <c r="AV9982" s="7"/>
    </row>
    <row r="9983" spans="47:48" x14ac:dyDescent="0.25">
      <c r="AU9983" s="7"/>
      <c r="AV9983" s="7"/>
    </row>
    <row r="9984" spans="47:48" x14ac:dyDescent="0.25">
      <c r="AU9984" s="7"/>
      <c r="AV9984" s="7"/>
    </row>
    <row r="9985" spans="47:48" x14ac:dyDescent="0.25">
      <c r="AU9985" s="7"/>
      <c r="AV9985" s="7"/>
    </row>
    <row r="9986" spans="47:48" x14ac:dyDescent="0.25">
      <c r="AU9986" s="7"/>
      <c r="AV9986" s="7"/>
    </row>
    <row r="9987" spans="47:48" x14ac:dyDescent="0.25">
      <c r="AU9987" s="7"/>
      <c r="AV9987" s="7"/>
    </row>
    <row r="9988" spans="47:48" x14ac:dyDescent="0.25">
      <c r="AU9988" s="7"/>
      <c r="AV9988" s="7"/>
    </row>
    <row r="9989" spans="47:48" x14ac:dyDescent="0.25">
      <c r="AU9989" s="7"/>
      <c r="AV9989" s="7"/>
    </row>
    <row r="9990" spans="47:48" x14ac:dyDescent="0.25">
      <c r="AU9990" s="7"/>
      <c r="AV9990" s="7"/>
    </row>
    <row r="9991" spans="47:48" x14ac:dyDescent="0.25">
      <c r="AU9991" s="7"/>
      <c r="AV9991" s="7"/>
    </row>
    <row r="9992" spans="47:48" x14ac:dyDescent="0.25">
      <c r="AU9992" s="7"/>
      <c r="AV9992" s="7"/>
    </row>
    <row r="9993" spans="47:48" x14ac:dyDescent="0.25">
      <c r="AU9993" s="7"/>
      <c r="AV9993" s="7"/>
    </row>
    <row r="9994" spans="47:48" x14ac:dyDescent="0.25">
      <c r="AU9994" s="7"/>
      <c r="AV9994" s="7"/>
    </row>
    <row r="9995" spans="47:48" x14ac:dyDescent="0.25">
      <c r="AU9995" s="7"/>
      <c r="AV9995" s="7"/>
    </row>
    <row r="9996" spans="47:48" x14ac:dyDescent="0.25">
      <c r="AU9996" s="7"/>
      <c r="AV9996" s="7"/>
    </row>
    <row r="9997" spans="47:48" x14ac:dyDescent="0.25">
      <c r="AU9997" s="7"/>
      <c r="AV9997" s="7"/>
    </row>
    <row r="9998" spans="47:48" x14ac:dyDescent="0.25">
      <c r="AU9998" s="7"/>
      <c r="AV9998" s="7"/>
    </row>
    <row r="9999" spans="47:48" x14ac:dyDescent="0.25">
      <c r="AU9999" s="7"/>
      <c r="AV9999" s="7"/>
    </row>
    <row r="10000" spans="47:48" x14ac:dyDescent="0.25">
      <c r="AU10000" s="7"/>
      <c r="AV10000" s="7"/>
    </row>
    <row r="10001" spans="47:48" x14ac:dyDescent="0.25">
      <c r="AU10001" s="7"/>
      <c r="AV10001" s="7"/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E2" zoomScaleNormal="100" workbookViewId="0">
      <selection activeCell="E22" sqref="E22"/>
    </sheetView>
  </sheetViews>
  <sheetFormatPr defaultColWidth="8.5703125" defaultRowHeight="15" x14ac:dyDescent="0.25"/>
  <cols>
    <col min="1" max="1" width="2.7109375" customWidth="1"/>
    <col min="2" max="2" width="15.7109375" customWidth="1"/>
    <col min="3" max="3" width="5.7109375" customWidth="1"/>
    <col min="4" max="4" width="15.7109375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>
        <v>0</v>
      </c>
      <c r="B2" t="s">
        <v>49</v>
      </c>
      <c r="C2" t="s">
        <v>50</v>
      </c>
      <c r="D2" t="s">
        <v>0</v>
      </c>
    </row>
    <row r="3" spans="1:4" x14ac:dyDescent="0.25">
      <c r="A3">
        <v>1</v>
      </c>
      <c r="B3" t="s">
        <v>51</v>
      </c>
      <c r="C3" t="s">
        <v>50</v>
      </c>
      <c r="D3" t="s">
        <v>1</v>
      </c>
    </row>
    <row r="4" spans="1:4" x14ac:dyDescent="0.25">
      <c r="A4">
        <v>2</v>
      </c>
      <c r="B4" t="s">
        <v>52</v>
      </c>
      <c r="C4" t="s">
        <v>50</v>
      </c>
      <c r="D4" t="s">
        <v>2</v>
      </c>
    </row>
    <row r="5" spans="1:4" x14ac:dyDescent="0.25">
      <c r="A5">
        <v>3</v>
      </c>
      <c r="B5" t="s">
        <v>3</v>
      </c>
      <c r="C5" t="s">
        <v>50</v>
      </c>
      <c r="D5" t="s">
        <v>3</v>
      </c>
    </row>
    <row r="6" spans="1:4" x14ac:dyDescent="0.25">
      <c r="A6">
        <v>4</v>
      </c>
      <c r="B6" t="s">
        <v>4</v>
      </c>
      <c r="C6" t="s">
        <v>50</v>
      </c>
      <c r="D6" t="s">
        <v>4</v>
      </c>
    </row>
    <row r="7" spans="1:4" x14ac:dyDescent="0.25">
      <c r="A7">
        <v>5</v>
      </c>
      <c r="B7" t="s">
        <v>5</v>
      </c>
      <c r="C7" t="s">
        <v>50</v>
      </c>
      <c r="D7" t="s">
        <v>5</v>
      </c>
    </row>
    <row r="8" spans="1:4" x14ac:dyDescent="0.25">
      <c r="A8">
        <v>6</v>
      </c>
      <c r="B8" t="s">
        <v>6</v>
      </c>
      <c r="C8" t="s">
        <v>50</v>
      </c>
      <c r="D8" t="s">
        <v>6</v>
      </c>
    </row>
    <row r="9" spans="1:4" x14ac:dyDescent="0.25">
      <c r="A9">
        <v>7</v>
      </c>
      <c r="B9" t="s">
        <v>7</v>
      </c>
      <c r="C9" t="s">
        <v>50</v>
      </c>
      <c r="D9" t="s">
        <v>7</v>
      </c>
    </row>
    <row r="10" spans="1:4" x14ac:dyDescent="0.25">
      <c r="A10">
        <v>8</v>
      </c>
      <c r="B10" t="s">
        <v>8</v>
      </c>
      <c r="C10" t="s">
        <v>50</v>
      </c>
      <c r="D10" t="s">
        <v>8</v>
      </c>
    </row>
    <row r="11" spans="1:4" x14ac:dyDescent="0.25">
      <c r="A11">
        <v>9</v>
      </c>
      <c r="B11" t="s">
        <v>53</v>
      </c>
      <c r="C11" t="s">
        <v>50</v>
      </c>
      <c r="D11" t="s">
        <v>9</v>
      </c>
    </row>
    <row r="12" spans="1:4" x14ac:dyDescent="0.25">
      <c r="A12">
        <v>10</v>
      </c>
      <c r="B12" t="s">
        <v>54</v>
      </c>
      <c r="C12" t="s">
        <v>50</v>
      </c>
      <c r="D12" t="s">
        <v>10</v>
      </c>
    </row>
    <row r="13" spans="1:4" x14ac:dyDescent="0.25">
      <c r="A13">
        <v>11</v>
      </c>
      <c r="B13" t="s">
        <v>11</v>
      </c>
      <c r="C13" t="s">
        <v>50</v>
      </c>
      <c r="D13" t="s">
        <v>11</v>
      </c>
    </row>
    <row r="14" spans="1:4" x14ac:dyDescent="0.25">
      <c r="A14">
        <v>12</v>
      </c>
      <c r="B14" t="s">
        <v>12</v>
      </c>
      <c r="C14" t="s">
        <v>50</v>
      </c>
      <c r="D14" t="s">
        <v>12</v>
      </c>
    </row>
    <row r="15" spans="1:4" x14ac:dyDescent="0.25">
      <c r="A15">
        <v>13</v>
      </c>
      <c r="B15" t="s">
        <v>13</v>
      </c>
      <c r="C15" t="s">
        <v>50</v>
      </c>
      <c r="D15" t="s">
        <v>13</v>
      </c>
    </row>
    <row r="16" spans="1:4" x14ac:dyDescent="0.25">
      <c r="A16">
        <v>14</v>
      </c>
      <c r="B16" t="s">
        <v>14</v>
      </c>
      <c r="C16" t="s">
        <v>50</v>
      </c>
      <c r="D16" t="s">
        <v>14</v>
      </c>
    </row>
    <row r="17" spans="1:5" x14ac:dyDescent="0.25">
      <c r="A17">
        <v>15</v>
      </c>
      <c r="B17" t="s">
        <v>15</v>
      </c>
      <c r="C17" t="s">
        <v>50</v>
      </c>
      <c r="D17" t="s">
        <v>15</v>
      </c>
    </row>
    <row r="18" spans="1:5" x14ac:dyDescent="0.25">
      <c r="A18">
        <v>16</v>
      </c>
      <c r="B18" t="s">
        <v>16</v>
      </c>
      <c r="C18" t="s">
        <v>50</v>
      </c>
      <c r="D18" t="s">
        <v>16</v>
      </c>
    </row>
    <row r="19" spans="1:5" x14ac:dyDescent="0.25">
      <c r="A19">
        <v>17</v>
      </c>
      <c r="B19" t="s">
        <v>17</v>
      </c>
      <c r="C19" t="s">
        <v>50</v>
      </c>
      <c r="D19" t="s">
        <v>17</v>
      </c>
    </row>
    <row r="20" spans="1:5" x14ac:dyDescent="0.25">
      <c r="A20">
        <v>18</v>
      </c>
      <c r="B20" t="s">
        <v>18</v>
      </c>
      <c r="C20" t="s">
        <v>50</v>
      </c>
      <c r="D20" t="s">
        <v>18</v>
      </c>
    </row>
    <row r="21" spans="1:5" x14ac:dyDescent="0.25">
      <c r="A21">
        <v>19</v>
      </c>
      <c r="B21" t="s">
        <v>19</v>
      </c>
      <c r="C21" t="s">
        <v>50</v>
      </c>
      <c r="D21" t="s">
        <v>19</v>
      </c>
    </row>
    <row r="22" spans="1:5" x14ac:dyDescent="0.25">
      <c r="A22">
        <v>20</v>
      </c>
      <c r="B22" t="s">
        <v>20</v>
      </c>
      <c r="C22" t="s">
        <v>55</v>
      </c>
      <c r="D22" t="s">
        <v>20</v>
      </c>
      <c r="E22">
        <v>0</v>
      </c>
    </row>
    <row r="23" spans="1:5" x14ac:dyDescent="0.25">
      <c r="A23">
        <v>21</v>
      </c>
      <c r="B23" t="s">
        <v>21</v>
      </c>
      <c r="C23" t="s">
        <v>55</v>
      </c>
      <c r="D23" t="s">
        <v>21</v>
      </c>
      <c r="E23">
        <v>1</v>
      </c>
    </row>
    <row r="24" spans="1:5" x14ac:dyDescent="0.25">
      <c r="A24">
        <v>22</v>
      </c>
      <c r="B24" t="s">
        <v>56</v>
      </c>
      <c r="C24" t="s">
        <v>55</v>
      </c>
      <c r="D24" t="s">
        <v>22</v>
      </c>
      <c r="E24">
        <v>2</v>
      </c>
    </row>
    <row r="25" spans="1:5" x14ac:dyDescent="0.25">
      <c r="A25">
        <v>23</v>
      </c>
      <c r="B25" t="s">
        <v>23</v>
      </c>
      <c r="C25" t="s">
        <v>55</v>
      </c>
      <c r="D25" t="s">
        <v>23</v>
      </c>
      <c r="E25">
        <v>3</v>
      </c>
    </row>
    <row r="26" spans="1:5" x14ac:dyDescent="0.25">
      <c r="A26">
        <v>24</v>
      </c>
      <c r="B26" t="s">
        <v>24</v>
      </c>
      <c r="C26" t="s">
        <v>55</v>
      </c>
      <c r="D26" t="s">
        <v>24</v>
      </c>
      <c r="E26">
        <v>4</v>
      </c>
    </row>
    <row r="27" spans="1:5" x14ac:dyDescent="0.25">
      <c r="A27">
        <v>25</v>
      </c>
      <c r="D27" t="s">
        <v>25</v>
      </c>
    </row>
    <row r="28" spans="1:5" x14ac:dyDescent="0.25">
      <c r="A28">
        <v>26</v>
      </c>
      <c r="D28" t="s">
        <v>26</v>
      </c>
    </row>
    <row r="29" spans="1:5" x14ac:dyDescent="0.25">
      <c r="A29">
        <v>27</v>
      </c>
      <c r="D29" t="s">
        <v>27</v>
      </c>
    </row>
    <row r="30" spans="1:5" x14ac:dyDescent="0.25">
      <c r="A30">
        <v>28</v>
      </c>
      <c r="D30" t="s">
        <v>28</v>
      </c>
    </row>
    <row r="31" spans="1:5" x14ac:dyDescent="0.25">
      <c r="A31">
        <v>29</v>
      </c>
      <c r="D31" t="s">
        <v>29</v>
      </c>
    </row>
    <row r="32" spans="1:5" x14ac:dyDescent="0.25">
      <c r="A32">
        <v>30</v>
      </c>
      <c r="D32" t="s">
        <v>30</v>
      </c>
    </row>
    <row r="33" spans="1:5" x14ac:dyDescent="0.25">
      <c r="A33">
        <v>31</v>
      </c>
      <c r="D33" t="s">
        <v>31</v>
      </c>
    </row>
    <row r="34" spans="1:5" x14ac:dyDescent="0.25">
      <c r="A34">
        <v>32</v>
      </c>
      <c r="B34" t="s">
        <v>57</v>
      </c>
      <c r="C34" t="s">
        <v>55</v>
      </c>
      <c r="D34" t="s">
        <v>32</v>
      </c>
      <c r="E34">
        <v>5</v>
      </c>
    </row>
    <row r="35" spans="1:5" x14ac:dyDescent="0.25">
      <c r="A35">
        <v>33</v>
      </c>
      <c r="B35" t="s">
        <v>33</v>
      </c>
      <c r="C35" t="s">
        <v>55</v>
      </c>
      <c r="D35" t="s">
        <v>33</v>
      </c>
      <c r="E35">
        <v>6</v>
      </c>
    </row>
    <row r="36" spans="1:5" x14ac:dyDescent="0.25">
      <c r="A36">
        <v>34</v>
      </c>
      <c r="B36" t="s">
        <v>34</v>
      </c>
      <c r="C36" t="s">
        <v>55</v>
      </c>
      <c r="D36" t="s">
        <v>34</v>
      </c>
      <c r="E36">
        <v>7</v>
      </c>
    </row>
    <row r="37" spans="1:5" x14ac:dyDescent="0.25">
      <c r="A37">
        <v>35</v>
      </c>
      <c r="B37" t="s">
        <v>35</v>
      </c>
      <c r="C37" t="s">
        <v>55</v>
      </c>
      <c r="D37" t="s">
        <v>35</v>
      </c>
      <c r="E37">
        <v>8</v>
      </c>
    </row>
    <row r="38" spans="1:5" x14ac:dyDescent="0.25">
      <c r="A38">
        <v>36</v>
      </c>
      <c r="D38" t="s">
        <v>36</v>
      </c>
    </row>
    <row r="39" spans="1:5" x14ac:dyDescent="0.25">
      <c r="A39">
        <v>37</v>
      </c>
      <c r="D39" t="s">
        <v>37</v>
      </c>
    </row>
    <row r="40" spans="1:5" x14ac:dyDescent="0.25">
      <c r="A40">
        <v>38</v>
      </c>
      <c r="D40" t="s">
        <v>38</v>
      </c>
    </row>
    <row r="41" spans="1:5" x14ac:dyDescent="0.25">
      <c r="A41">
        <v>39</v>
      </c>
      <c r="D41" t="s">
        <v>39</v>
      </c>
    </row>
    <row r="42" spans="1:5" x14ac:dyDescent="0.25">
      <c r="A42">
        <v>40</v>
      </c>
      <c r="B42" t="s">
        <v>58</v>
      </c>
      <c r="C42" t="s">
        <v>55</v>
      </c>
      <c r="D42" t="s">
        <v>40</v>
      </c>
      <c r="E42">
        <v>9</v>
      </c>
    </row>
    <row r="43" spans="1:5" x14ac:dyDescent="0.25">
      <c r="A43">
        <v>41</v>
      </c>
      <c r="B43" t="s">
        <v>41</v>
      </c>
      <c r="C43" t="s">
        <v>55</v>
      </c>
      <c r="D43" t="s">
        <v>41</v>
      </c>
      <c r="E43">
        <v>10</v>
      </c>
    </row>
    <row r="44" spans="1:5" x14ac:dyDescent="0.25">
      <c r="A44">
        <v>42</v>
      </c>
      <c r="B44" t="s">
        <v>42</v>
      </c>
      <c r="C44" t="s">
        <v>55</v>
      </c>
      <c r="D44" t="s">
        <v>42</v>
      </c>
      <c r="E44">
        <v>11</v>
      </c>
    </row>
    <row r="45" spans="1:5" x14ac:dyDescent="0.25">
      <c r="A45">
        <v>43</v>
      </c>
      <c r="B45" t="s">
        <v>43</v>
      </c>
      <c r="C45" t="s">
        <v>55</v>
      </c>
      <c r="D45" t="s">
        <v>43</v>
      </c>
      <c r="E45">
        <v>12</v>
      </c>
    </row>
    <row r="46" spans="1:5" x14ac:dyDescent="0.25">
      <c r="A46">
        <v>44</v>
      </c>
      <c r="B46" t="s">
        <v>44</v>
      </c>
      <c r="C46" t="s">
        <v>55</v>
      </c>
      <c r="D46" t="s">
        <v>44</v>
      </c>
      <c r="E46">
        <v>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Kolommen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Sander Kapinga</dc:creator>
  <dc:description/>
  <cp:lastModifiedBy>Kapinga, Sander</cp:lastModifiedBy>
  <cp:revision>1</cp:revision>
  <dcterms:created xsi:type="dcterms:W3CDTF">2025-01-06T07:37:14Z</dcterms:created>
  <dcterms:modified xsi:type="dcterms:W3CDTF">2025-12-01T07:00:03Z</dcterms:modified>
  <dc:language>nl-NL</dc:language>
</cp:coreProperties>
</file>