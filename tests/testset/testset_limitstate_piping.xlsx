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wsrlnl-my.sharepoint.com/personal/s_kapinga_wsrl_nl/Documents/Documenten/Github/GeoProb-Pipe/tests/testset/"/>
    </mc:Choice>
  </mc:AlternateContent>
  <xr:revisionPtr revIDLastSave="125" documentId="11_D709BDC6D67AC1AB68F334F2FD2633F9D67FD393" xr6:coauthVersionLast="47" xr6:coauthVersionMax="47" xr10:uidLastSave="{64F82574-32A5-48E5-B26E-BEF9F3C83D00}"/>
  <bookViews>
    <workbookView xWindow="28680" yWindow="-120" windowWidth="29040" windowHeight="15720" tabRatio="500" xr2:uid="{00000000-000D-0000-FFFF-FFFF00000000}"/>
  </bookViews>
  <sheets>
    <sheet name="Blad1" sheetId="1" r:id="rId1"/>
    <sheet name="Kolomm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2" i="1"/>
  <c r="N2" i="1"/>
  <c r="N3" i="1"/>
  <c r="N4" i="1"/>
  <c r="N5" i="1"/>
  <c r="N6" i="1"/>
  <c r="N7" i="1"/>
  <c r="N8" i="1"/>
  <c r="N9" i="1"/>
  <c r="N10" i="1"/>
  <c r="N11" i="1"/>
  <c r="N12" i="1"/>
  <c r="N13" i="1"/>
  <c r="AX2" i="1"/>
  <c r="AX3" i="1"/>
  <c r="AX4" i="1"/>
  <c r="AX5" i="1"/>
  <c r="AX6" i="1"/>
  <c r="AX7" i="1"/>
  <c r="AX8" i="1"/>
  <c r="AX9" i="1"/>
  <c r="AX10" i="1"/>
  <c r="AX11" i="1"/>
  <c r="AX12" i="1"/>
  <c r="AX13" i="1"/>
  <c r="AW3" i="1"/>
  <c r="AI13" i="1"/>
  <c r="AK13" i="1" s="1"/>
  <c r="AH13" i="1"/>
  <c r="AG13" i="1"/>
  <c r="AF13" i="1"/>
  <c r="AE13" i="1"/>
  <c r="AW13" i="1" s="1"/>
  <c r="AB13" i="1"/>
  <c r="AA13" i="1"/>
  <c r="AC13" i="1" s="1"/>
  <c r="AI12" i="1"/>
  <c r="AK12" i="1" s="1"/>
  <c r="AH12" i="1"/>
  <c r="AG12" i="1"/>
  <c r="AF12" i="1"/>
  <c r="AE12" i="1"/>
  <c r="AW12" i="1" s="1"/>
  <c r="AB12" i="1"/>
  <c r="AA12" i="1"/>
  <c r="AC12" i="1" s="1"/>
  <c r="AI11" i="1"/>
  <c r="AK11" i="1" s="1"/>
  <c r="AH11" i="1"/>
  <c r="AG11" i="1"/>
  <c r="AF11" i="1"/>
  <c r="AE11" i="1"/>
  <c r="AW11" i="1" s="1"/>
  <c r="AB11" i="1"/>
  <c r="AA11" i="1"/>
  <c r="AC11" i="1" s="1"/>
  <c r="AI10" i="1"/>
  <c r="AK10" i="1" s="1"/>
  <c r="AH10" i="1"/>
  <c r="AG10" i="1"/>
  <c r="AF10" i="1"/>
  <c r="AE10" i="1"/>
  <c r="AW10" i="1" s="1"/>
  <c r="AB10" i="1"/>
  <c r="AA10" i="1"/>
  <c r="AI9" i="1"/>
  <c r="AK9" i="1" s="1"/>
  <c r="AH9" i="1"/>
  <c r="AG9" i="1"/>
  <c r="AF9" i="1"/>
  <c r="AE9" i="1"/>
  <c r="AW9" i="1" s="1"/>
  <c r="AB9" i="1"/>
  <c r="AA9" i="1"/>
  <c r="AC9" i="1" s="1"/>
  <c r="AI8" i="1"/>
  <c r="AK8" i="1" s="1"/>
  <c r="AH8" i="1"/>
  <c r="AG8" i="1"/>
  <c r="AF8" i="1"/>
  <c r="AE8" i="1"/>
  <c r="AW8" i="1" s="1"/>
  <c r="AB8" i="1"/>
  <c r="AA8" i="1"/>
  <c r="AC8" i="1" s="1"/>
  <c r="AI7" i="1"/>
  <c r="AK7" i="1" s="1"/>
  <c r="AH7" i="1"/>
  <c r="AG7" i="1"/>
  <c r="AF7" i="1"/>
  <c r="AE7" i="1"/>
  <c r="AW7" i="1" s="1"/>
  <c r="AB7" i="1"/>
  <c r="AA7" i="1"/>
  <c r="AC7" i="1" s="1"/>
  <c r="AI6" i="1"/>
  <c r="AK6" i="1" s="1"/>
  <c r="AH6" i="1"/>
  <c r="AG6" i="1"/>
  <c r="AF6" i="1"/>
  <c r="AE6" i="1"/>
  <c r="AW6" i="1" s="1"/>
  <c r="AB6" i="1"/>
  <c r="AA6" i="1"/>
  <c r="AC6" i="1" s="1"/>
  <c r="AI5" i="1"/>
  <c r="AK5" i="1" s="1"/>
  <c r="AH5" i="1"/>
  <c r="AG5" i="1"/>
  <c r="AF5" i="1"/>
  <c r="AE5" i="1"/>
  <c r="AW5" i="1" s="1"/>
  <c r="AB5" i="1"/>
  <c r="AA5" i="1"/>
  <c r="AC5" i="1" s="1"/>
  <c r="AI4" i="1"/>
  <c r="AK4" i="1" s="1"/>
  <c r="AH4" i="1"/>
  <c r="AG4" i="1"/>
  <c r="AF4" i="1"/>
  <c r="AE4" i="1"/>
  <c r="AW4" i="1" s="1"/>
  <c r="AB4" i="1"/>
  <c r="AA4" i="1"/>
  <c r="AC4" i="1" s="1"/>
  <c r="AI3" i="1"/>
  <c r="AK3" i="1" s="1"/>
  <c r="AH3" i="1"/>
  <c r="AG3" i="1"/>
  <c r="AF3" i="1"/>
  <c r="AE3" i="1"/>
  <c r="AB3" i="1"/>
  <c r="AA3" i="1"/>
  <c r="AC3" i="1" s="1"/>
  <c r="AI2" i="1"/>
  <c r="AK2" i="1" s="1"/>
  <c r="AH2" i="1"/>
  <c r="AG2" i="1"/>
  <c r="AF2" i="1"/>
  <c r="AE2" i="1"/>
  <c r="AW2" i="1" s="1"/>
  <c r="AB2" i="1"/>
  <c r="AA2" i="1"/>
  <c r="AC2" i="1" s="1"/>
  <c r="AY5" i="1" l="1"/>
  <c r="AY12" i="1"/>
  <c r="AY11" i="1"/>
  <c r="AY9" i="1"/>
  <c r="AY8" i="1"/>
  <c r="AY4" i="1"/>
  <c r="AJ13" i="1"/>
  <c r="AO13" i="1" s="1"/>
  <c r="AY13" i="1" s="1"/>
  <c r="AD7" i="1"/>
  <c r="AJ8" i="1"/>
  <c r="AO8" i="1" s="1"/>
  <c r="AZ8" i="1" s="1"/>
  <c r="AJ11" i="1"/>
  <c r="AO11" i="1" s="1"/>
  <c r="AZ11" i="1" s="1"/>
  <c r="AD6" i="1"/>
  <c r="AJ7" i="1"/>
  <c r="AO7" i="1" s="1"/>
  <c r="AZ7" i="1" s="1"/>
  <c r="AD5" i="1"/>
  <c r="AJ6" i="1"/>
  <c r="AO6" i="1" s="1"/>
  <c r="AZ6" i="1" s="1"/>
  <c r="AD11" i="1"/>
  <c r="AL6" i="1"/>
  <c r="AM6" i="1" s="1"/>
  <c r="AN6" i="1" s="1"/>
  <c r="AP6" i="1" s="1"/>
  <c r="BC6" i="1" s="1"/>
  <c r="AL8" i="1"/>
  <c r="AM8" i="1" s="1"/>
  <c r="AN8" i="1" s="1"/>
  <c r="AP8" i="1" s="1"/>
  <c r="BC8" i="1" s="1"/>
  <c r="AJ2" i="1"/>
  <c r="AO2" i="1" s="1"/>
  <c r="AY2" i="1" s="1"/>
  <c r="AD4" i="1"/>
  <c r="AJ5" i="1"/>
  <c r="AO5" i="1" s="1"/>
  <c r="AD9" i="1"/>
  <c r="AD3" i="1"/>
  <c r="AJ4" i="1"/>
  <c r="AO4" i="1" s="1"/>
  <c r="AZ4" i="1" s="1"/>
  <c r="AD8" i="1"/>
  <c r="AJ9" i="1"/>
  <c r="AO9" i="1" s="1"/>
  <c r="AJ3" i="1"/>
  <c r="AO3" i="1" s="1"/>
  <c r="AZ3" i="1" s="1"/>
  <c r="AD10" i="1"/>
  <c r="AD13" i="1"/>
  <c r="AJ10" i="1"/>
  <c r="AO10" i="1" s="1"/>
  <c r="AY10" i="1" s="1"/>
  <c r="AD12" i="1"/>
  <c r="AJ12" i="1"/>
  <c r="AO12" i="1" s="1"/>
  <c r="AZ12" i="1" s="1"/>
  <c r="AD2" i="1"/>
  <c r="AZ13" i="1"/>
  <c r="AL13" i="1"/>
  <c r="AM13" i="1" s="1"/>
  <c r="AN13" i="1" s="1"/>
  <c r="AP13" i="1" s="1"/>
  <c r="BC13" i="1" s="1"/>
  <c r="AC10" i="1"/>
  <c r="AY3" i="1" l="1"/>
  <c r="AY7" i="1"/>
  <c r="BA7" i="1" s="1"/>
  <c r="BD7" i="1" s="1"/>
  <c r="AY6" i="1"/>
  <c r="BA6" i="1" s="1"/>
  <c r="BD6" i="1" s="1"/>
  <c r="AL5" i="1"/>
  <c r="AM5" i="1" s="1"/>
  <c r="AN5" i="1" s="1"/>
  <c r="AP5" i="1" s="1"/>
  <c r="BC5" i="1" s="1"/>
  <c r="AL7" i="1"/>
  <c r="AM7" i="1" s="1"/>
  <c r="AN7" i="1" s="1"/>
  <c r="AP7" i="1" s="1"/>
  <c r="BC7" i="1" s="1"/>
  <c r="AL11" i="1"/>
  <c r="AM11" i="1" s="1"/>
  <c r="AN11" i="1" s="1"/>
  <c r="AP11" i="1" s="1"/>
  <c r="BC11" i="1" s="1"/>
  <c r="AL3" i="1"/>
  <c r="AM3" i="1" s="1"/>
  <c r="AN3" i="1" s="1"/>
  <c r="AP3" i="1" s="1"/>
  <c r="BC3" i="1" s="1"/>
  <c r="AZ10" i="1"/>
  <c r="BA10" i="1" s="1"/>
  <c r="BD10" i="1" s="1"/>
  <c r="AZ9" i="1"/>
  <c r="BA9" i="1" s="1"/>
  <c r="BD9" i="1" s="1"/>
  <c r="AL9" i="1"/>
  <c r="AM9" i="1" s="1"/>
  <c r="AN9" i="1" s="1"/>
  <c r="AP9" i="1" s="1"/>
  <c r="BC9" i="1" s="1"/>
  <c r="AL10" i="1"/>
  <c r="AM10" i="1" s="1"/>
  <c r="AN10" i="1" s="1"/>
  <c r="AP10" i="1" s="1"/>
  <c r="BC10" i="1" s="1"/>
  <c r="BA8" i="1"/>
  <c r="BD8" i="1" s="1"/>
  <c r="BB8" i="1"/>
  <c r="BA3" i="1"/>
  <c r="BD3" i="1" s="1"/>
  <c r="BB6" i="1"/>
  <c r="BA13" i="1"/>
  <c r="BD13" i="1" s="1"/>
  <c r="BA12" i="1"/>
  <c r="BD12" i="1" s="1"/>
  <c r="AL4" i="1"/>
  <c r="AM4" i="1" s="1"/>
  <c r="AN4" i="1" s="1"/>
  <c r="BA4" i="1"/>
  <c r="BD4" i="1" s="1"/>
  <c r="AL12" i="1"/>
  <c r="AM12" i="1" s="1"/>
  <c r="AN12" i="1" s="1"/>
  <c r="AL2" i="1"/>
  <c r="AM2" i="1" s="1"/>
  <c r="AN2" i="1" s="1"/>
  <c r="AZ5" i="1"/>
  <c r="BA5" i="1" s="1"/>
  <c r="BD5" i="1" s="1"/>
  <c r="BA11" i="1"/>
  <c r="BD11" i="1" s="1"/>
  <c r="AZ2" i="1"/>
  <c r="BA2" i="1" s="1"/>
  <c r="BD2" i="1" s="1"/>
  <c r="BB13" i="1"/>
  <c r="BB11" i="1" l="1"/>
  <c r="BE11" i="1" s="1"/>
  <c r="BE8" i="1"/>
  <c r="BB7" i="1"/>
  <c r="BE7" i="1" s="1"/>
  <c r="BB5" i="1"/>
  <c r="BE5" i="1" s="1"/>
  <c r="BB3" i="1"/>
  <c r="BE3" i="1" s="1"/>
  <c r="BB9" i="1"/>
  <c r="BE9" i="1" s="1"/>
  <c r="BE6" i="1"/>
  <c r="BE13" i="1"/>
  <c r="BB10" i="1"/>
  <c r="BE10" i="1" s="1"/>
  <c r="AP12" i="1"/>
  <c r="BC12" i="1" s="1"/>
  <c r="BB12" i="1"/>
  <c r="BE12" i="1" s="1"/>
  <c r="AP2" i="1"/>
  <c r="BC2" i="1" s="1"/>
  <c r="BB2" i="1"/>
  <c r="AP4" i="1"/>
  <c r="BC4" i="1" s="1"/>
  <c r="BB4" i="1"/>
  <c r="BE4" i="1" s="1"/>
  <c r="BE2" i="1" l="1"/>
</calcChain>
</file>

<file path=xl/sharedStrings.xml><?xml version="1.0" encoding="utf-8"?>
<sst xmlns="http://schemas.openxmlformats.org/spreadsheetml/2006/main" count="174" uniqueCount="105">
  <si>
    <t>DIST_L_GEOM</t>
  </si>
  <si>
    <t>DIST_BUT</t>
  </si>
  <si>
    <t>DIST_BIT</t>
  </si>
  <si>
    <t>L3_geom</t>
  </si>
  <si>
    <t>mv</t>
  </si>
  <si>
    <t>pp</t>
  </si>
  <si>
    <t>top_zand</t>
  </si>
  <si>
    <t>gamma_sat_cover</t>
  </si>
  <si>
    <t>gamma_w</t>
  </si>
  <si>
    <t>kD_WVP</t>
  </si>
  <si>
    <t>D_zand</t>
  </si>
  <si>
    <t>D70</t>
  </si>
  <si>
    <t>c_1</t>
  </si>
  <si>
    <t>c_3</t>
  </si>
  <si>
    <t>mu</t>
  </si>
  <si>
    <t>mh</t>
  </si>
  <si>
    <t>mp</t>
  </si>
  <si>
    <t>i_c_h</t>
  </si>
  <si>
    <t>rc</t>
  </si>
  <si>
    <t>h</t>
  </si>
  <si>
    <t>Dcover</t>
  </si>
  <si>
    <t>h_exit</t>
  </si>
  <si>
    <t>d_pot_cu</t>
  </si>
  <si>
    <t>dhred</t>
  </si>
  <si>
    <t>k</t>
  </si>
  <si>
    <t>L1</t>
  </si>
  <si>
    <t>L2</t>
  </si>
  <si>
    <t>Lambda_1</t>
  </si>
  <si>
    <t>Lambda_3</t>
  </si>
  <si>
    <t>W_1</t>
  </si>
  <si>
    <t>W_3</t>
  </si>
  <si>
    <t>r_bit</t>
  </si>
  <si>
    <t>r</t>
  </si>
  <si>
    <t>pot_exit</t>
  </si>
  <si>
    <t>L_kwelweg</t>
  </si>
  <si>
    <t>i_optredend</t>
  </si>
  <si>
    <t>k_intr</t>
  </si>
  <si>
    <t>F_resis</t>
  </si>
  <si>
    <t>F_scale</t>
  </si>
  <si>
    <t>F_geom</t>
  </si>
  <si>
    <t>dHc_piping</t>
  </si>
  <si>
    <t>Z_u</t>
  </si>
  <si>
    <t>Z_h</t>
  </si>
  <si>
    <t>Z_p</t>
  </si>
  <si>
    <t>Z_combin</t>
  </si>
  <si>
    <t>##</t>
  </si>
  <si>
    <t>param_func</t>
  </si>
  <si>
    <t>type</t>
  </si>
  <si>
    <t>df_column_name</t>
  </si>
  <si>
    <t>dist_L_geom</t>
  </si>
  <si>
    <t>input</t>
  </si>
  <si>
    <t>dist_BUT</t>
  </si>
  <si>
    <t>dist_BIT</t>
  </si>
  <si>
    <t>kD</t>
  </si>
  <si>
    <t>D</t>
  </si>
  <si>
    <t>output</t>
  </si>
  <si>
    <t>d_pot_c_u</t>
  </si>
  <si>
    <t>r_exit</t>
  </si>
  <si>
    <t>dhc</t>
  </si>
  <si>
    <t>L_intrede</t>
  </si>
  <si>
    <t>L_but</t>
  </si>
  <si>
    <t>L_bit</t>
  </si>
  <si>
    <t>L_achterland</t>
  </si>
  <si>
    <t>mv_exit</t>
  </si>
  <si>
    <t>polderpeil</t>
  </si>
  <si>
    <t>gamma_sat_deklaag</t>
  </si>
  <si>
    <t>gamma_water</t>
  </si>
  <si>
    <t>kD_wvp</t>
  </si>
  <si>
    <t>D_wvp</t>
  </si>
  <si>
    <t>d70</t>
  </si>
  <si>
    <t>c_voorland</t>
  </si>
  <si>
    <t>c_achterland</t>
  </si>
  <si>
    <t>modelfactor_u</t>
  </si>
  <si>
    <t>modelfactor_h</t>
  </si>
  <si>
    <t>modelfactor_p</t>
  </si>
  <si>
    <t>modelfactor_ff</t>
  </si>
  <si>
    <t>modelfactor_3d</t>
  </si>
  <si>
    <t>modelfactor_aniso</t>
  </si>
  <si>
    <t>modelfactor_ml</t>
  </si>
  <si>
    <t>r_c_deklaag</t>
  </si>
  <si>
    <t>buitenwaterstand</t>
  </si>
  <si>
    <t>d_deklaag</t>
  </si>
  <si>
    <t>dphi_c_u</t>
  </si>
  <si>
    <t>dh_red</t>
  </si>
  <si>
    <t>k_wvp</t>
  </si>
  <si>
    <t>L_voorland</t>
  </si>
  <si>
    <t>lambda_voorland</t>
  </si>
  <si>
    <t>lambda_achterland</t>
  </si>
  <si>
    <t>W_voorland</t>
  </si>
  <si>
    <t>W_achterland</t>
  </si>
  <si>
    <t>phi_exit</t>
  </si>
  <si>
    <t>i_exit</t>
  </si>
  <si>
    <t>z_u</t>
  </si>
  <si>
    <t>z_h</t>
  </si>
  <si>
    <t>z_p</t>
  </si>
  <si>
    <t>z_combin</t>
  </si>
  <si>
    <t>dh_c</t>
  </si>
  <si>
    <t>d70_m</t>
  </si>
  <si>
    <t>gamma_korrel</t>
  </si>
  <si>
    <t>v</t>
  </si>
  <si>
    <t>theta</t>
  </si>
  <si>
    <t>eta</t>
  </si>
  <si>
    <t>g</t>
  </si>
  <si>
    <t>buitenwaterstand_gemiddeld</t>
  </si>
  <si>
    <t>phi_exit_gemiddeld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</si>
</sst>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0"/>
    <numFmt numFmtId="165" formatCode="0.000000"/>
    <numFmt numFmtId="166" formatCode="0.000"/>
    <numFmt numFmtId="167" formatCode="0.000E+00"/>
    <numFmt numFmtId="168" formatCode="0.0000E+00"/>
    <numFmt numFmtId="169" formatCode="0.00000"/>
  </numFmts>
  <fonts count="2" x14ac:knownFonts="1">
    <font>
      <sz val="11"/>
      <color theme="1"/>
      <name val="Aptos Narrow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2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168" fontId="1" fillId="0" borderId="0" xfId="0" applyNumberFormat="1" applyFont="1"/>
    <xf numFmtId="169" fontId="1" fillId="0" borderId="0" xfId="0" applyNumberFormat="1" applyFont="1"/>
    <xf numFmtId="11" fontId="1" fillId="0" borderId="0" xfId="0" applyNumberFormat="1" applyFont="1"/>
  </cellXfs>
  <cellStyles count="1">
    <cellStyle name="Standaard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numFmt numFmtId="168" formatCode="0.0000E+00"/>
    </dxf>
    <dxf>
      <numFmt numFmtId="168" formatCode="0.0000E+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" displayName="Tabel1" ref="A1:BE10001" totalsRowShown="0">
  <autoFilter ref="A1:BE10001" xr:uid="{00000000-0009-0000-0100-000001000000}"/>
  <tableColumns count="57">
    <tableColumn id="1" xr3:uid="{00000000-0010-0000-0000-000001000000}" name="L_intrede"/>
    <tableColumn id="2" xr3:uid="{00000000-0010-0000-0000-000002000000}" name="L_but"/>
    <tableColumn id="3" xr3:uid="{00000000-0010-0000-0000-000003000000}" name="L_bit"/>
    <tableColumn id="4" xr3:uid="{00000000-0010-0000-0000-000004000000}" name="L_achterland"/>
    <tableColumn id="5" xr3:uid="{00000000-0010-0000-0000-000005000000}" name="mv_exit"/>
    <tableColumn id="6" xr3:uid="{00000000-0010-0000-0000-000006000000}" name="polderpeil"/>
    <tableColumn id="7" xr3:uid="{00000000-0010-0000-0000-000007000000}" name="top_zand"/>
    <tableColumn id="8" xr3:uid="{00000000-0010-0000-0000-000008000000}" name="gamma_sat_deklaag"/>
    <tableColumn id="9" xr3:uid="{00000000-0010-0000-0000-000009000000}" name="gamma_water"/>
    <tableColumn id="10" xr3:uid="{00000000-0010-0000-0000-00000A000000}" name="kD_wvp"/>
    <tableColumn id="11" xr3:uid="{00000000-0010-0000-0000-00000B000000}" name="D_wvp"/>
    <tableColumn id="12" xr3:uid="{00000000-0010-0000-0000-00000C000000}" name="d70"/>
    <tableColumn id="13" xr3:uid="{00000000-0010-0000-0000-00000D000000}" name="c_voorland"/>
    <tableColumn id="56" xr3:uid="{61036107-6221-4CA2-BA14-6F7F04684E39}" name="buitenwaterstand_gemiddeld" dataDxfId="0">
      <calculatedColumnFormula>Tabel1[[#This Row],[polderpeil]]</calculatedColumnFormula>
    </tableColumn>
    <tableColumn id="57" xr3:uid="{68B3C0CC-B812-4393-9178-CCA37834FC9F}" name="phi_exit_gemiddeld" dataDxfId="1"/>
    <tableColumn id="14" xr3:uid="{00000000-0010-0000-0000-00000E000000}" name="c_achterland"/>
    <tableColumn id="15" xr3:uid="{00000000-0010-0000-0000-00000F000000}" name="modelfactor_u"/>
    <tableColumn id="16" xr3:uid="{00000000-0010-0000-0000-000010000000}" name="modelfactor_h"/>
    <tableColumn id="17" xr3:uid="{00000000-0010-0000-0000-000011000000}" name="modelfactor_p"/>
    <tableColumn id="49" xr3:uid="{713897C9-91D7-4E03-9973-C22EEF9668D9}" name="modelfactor_ff" dataDxfId="13"/>
    <tableColumn id="48" xr3:uid="{2C9A1EA5-2407-418B-8C4B-BF453F60B00B}" name="modelfactor_3d" dataDxfId="12"/>
    <tableColumn id="47" xr3:uid="{16E10118-007A-4B15-97B0-C137C1D9BEA7}" name="modelfactor_aniso" dataDxfId="11"/>
    <tableColumn id="46" xr3:uid="{41A54231-2F30-42BB-8CD0-F14BC4484ED3}" name="modelfactor_ml" dataDxfId="10"/>
    <tableColumn id="18" xr3:uid="{00000000-0010-0000-0000-000012000000}" name="i_c_h"/>
    <tableColumn id="19" xr3:uid="{00000000-0010-0000-0000-000013000000}" name="r_c_deklaag"/>
    <tableColumn id="20" xr3:uid="{00000000-0010-0000-0000-000014000000}" name="buitenwaterstand"/>
    <tableColumn id="21" xr3:uid="{00000000-0010-0000-0000-000015000000}" name="d_deklaag"/>
    <tableColumn id="22" xr3:uid="{00000000-0010-0000-0000-000016000000}" name="h_exit"/>
    <tableColumn id="23" xr3:uid="{00000000-0010-0000-0000-000017000000}" name="dphi_c_u"/>
    <tableColumn id="24" xr3:uid="{00000000-0010-0000-0000-000018000000}" name="dh_red"/>
    <tableColumn id="25" xr3:uid="{00000000-0010-0000-0000-000019000000}" name="k_wvp"/>
    <tableColumn id="26" xr3:uid="{00000000-0010-0000-0000-00001A000000}" name="L_voorland"/>
    <tableColumn id="27" xr3:uid="{00000000-0010-0000-0000-00001B000000}" name="L2"/>
    <tableColumn id="28" xr3:uid="{00000000-0010-0000-0000-00001C000000}" name="lambda_voorland"/>
    <tableColumn id="29" xr3:uid="{00000000-0010-0000-0000-00001D000000}" name="lambda_achterland"/>
    <tableColumn id="30" xr3:uid="{00000000-0010-0000-0000-00001E000000}" name="W_voorland"/>
    <tableColumn id="31" xr3:uid="{00000000-0010-0000-0000-00001F000000}" name="W_achterland"/>
    <tableColumn id="32" xr3:uid="{00000000-0010-0000-0000-000020000000}" name="r_bit"/>
    <tableColumn id="33" xr3:uid="{00000000-0010-0000-0000-000021000000}" name="r_exit"/>
    <tableColumn id="34" xr3:uid="{00000000-0010-0000-0000-000022000000}" name="phi_exit"/>
    <tableColumn id="35" xr3:uid="{00000000-0010-0000-0000-000023000000}" name="L_kwelweg"/>
    <tableColumn id="36" xr3:uid="{00000000-0010-0000-0000-000024000000}" name="i_exit"/>
    <tableColumn id="55" xr3:uid="{FB27B0D5-E12C-45E7-9D50-547E55221754}" name="d70_m" dataDxfId="9"/>
    <tableColumn id="54" xr3:uid="{850B6557-2E83-49C8-A2A8-5959CD941DC7}" name="gamma_korrel" dataDxfId="8"/>
    <tableColumn id="53" xr3:uid="{F49594E6-B1EF-484C-837D-A18F0FAD0E16}" name="v" dataDxfId="7"/>
    <tableColumn id="52" xr3:uid="{27C17B27-85EC-4E13-B5ED-A9B3F50E7644}" name="theta" dataDxfId="6"/>
    <tableColumn id="51" xr3:uid="{5368AD84-ADE8-43B7-B60D-F38B96433E75}" name="eta" dataDxfId="5"/>
    <tableColumn id="50" xr3:uid="{34B71CBE-149A-419E-931B-04E1EC224232}" name="g" dataDxfId="4"/>
    <tableColumn id="37" xr3:uid="{00000000-0010-0000-0000-000025000000}" name="k_intr" dataDxfId="3">
      <calculatedColumnFormula>Tabel1[[#This Row],[v]]/Tabel1[[#This Row],[g]]*(Tabel1[[#This Row],[k_wvp]]/(24*3600))</calculatedColumnFormula>
    </tableColumn>
    <tableColumn id="38" xr3:uid="{00000000-0010-0000-0000-000026000000}" name="F_resis" dataDxfId="2">
      <calculatedColumnFormula>Tabel1[[#This Row],[eta]]*((Tabel1[[#This Row],[gamma_korrel]]-Tabel1[[#This Row],[gamma_water]])/Tabel1[[#This Row],[gamma_water]])*TAN(Tabel1[[#This Row],[theta]]*PI()/180)</calculatedColumnFormula>
    </tableColumn>
    <tableColumn id="39" xr3:uid="{00000000-0010-0000-0000-000027000000}" name="F_scale"/>
    <tableColumn id="40" xr3:uid="{00000000-0010-0000-0000-000028000000}" name="F_geom"/>
    <tableColumn id="41" xr3:uid="{00000000-0010-0000-0000-000029000000}" name="dh_c"/>
    <tableColumn id="42" xr3:uid="{00000000-0010-0000-0000-00002A000000}" name="z_u"/>
    <tableColumn id="43" xr3:uid="{00000000-0010-0000-0000-00002B000000}" name="z_h"/>
    <tableColumn id="44" xr3:uid="{00000000-0010-0000-0000-00002C000000}" name="z_p"/>
    <tableColumn id="45" xr3:uid="{00000000-0010-0000-0000-00002D000000}" name="z_combi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0001"/>
  <sheetViews>
    <sheetView tabSelected="1" topLeftCell="E1" zoomScaleNormal="100" workbookViewId="0">
      <selection activeCell="O2" sqref="O2:O13"/>
    </sheetView>
  </sheetViews>
  <sheetFormatPr defaultColWidth="14.7109375" defaultRowHeight="15" x14ac:dyDescent="0.25"/>
  <cols>
    <col min="1" max="1" width="16" style="1" customWidth="1"/>
    <col min="2" max="7" width="14.7109375" style="1"/>
    <col min="8" max="8" width="21.42578125" style="1" bestFit="1" customWidth="1"/>
    <col min="9" max="9" width="16" style="1" bestFit="1" customWidth="1"/>
    <col min="10" max="16" width="14.7109375" style="1"/>
    <col min="17" max="19" width="16.42578125" style="1" bestFit="1" customWidth="1"/>
    <col min="20" max="20" width="16.7109375" style="1" bestFit="1" customWidth="1"/>
    <col min="21" max="21" width="17.42578125" style="1" bestFit="1" customWidth="1"/>
    <col min="22" max="22" width="20.140625" style="1" bestFit="1" customWidth="1"/>
    <col min="23" max="23" width="17.5703125" style="1" bestFit="1" customWidth="1"/>
    <col min="24" max="25" width="14.7109375" style="1"/>
    <col min="26" max="26" width="19.28515625" style="1" bestFit="1" customWidth="1"/>
    <col min="27" max="16384" width="14.7109375" style="1"/>
  </cols>
  <sheetData>
    <row r="1" spans="1:57" x14ac:dyDescent="0.25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</v>
      </c>
      <c r="H1" s="1" t="s">
        <v>65</v>
      </c>
      <c r="I1" s="1" t="s">
        <v>66</v>
      </c>
      <c r="J1" s="1" t="s">
        <v>67</v>
      </c>
      <c r="K1" s="1" t="s">
        <v>68</v>
      </c>
      <c r="L1" s="1" t="s">
        <v>69</v>
      </c>
      <c r="M1" s="1" t="s">
        <v>70</v>
      </c>
      <c r="N1" s="1" t="s">
        <v>103</v>
      </c>
      <c r="O1" s="1" t="s">
        <v>104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  <c r="X1" s="1" t="s">
        <v>17</v>
      </c>
      <c r="Y1" s="1" t="s">
        <v>79</v>
      </c>
      <c r="Z1" s="1" t="s">
        <v>80</v>
      </c>
      <c r="AA1" s="1" t="s">
        <v>81</v>
      </c>
      <c r="AB1" s="1" t="s">
        <v>21</v>
      </c>
      <c r="AC1" s="1" t="s">
        <v>82</v>
      </c>
      <c r="AD1" s="1" t="s">
        <v>83</v>
      </c>
      <c r="AE1" s="1" t="s">
        <v>84</v>
      </c>
      <c r="AF1" s="1" t="s">
        <v>85</v>
      </c>
      <c r="AG1" s="1" t="s">
        <v>26</v>
      </c>
      <c r="AH1" s="1" t="s">
        <v>86</v>
      </c>
      <c r="AI1" s="1" t="s">
        <v>87</v>
      </c>
      <c r="AJ1" s="1" t="s">
        <v>88</v>
      </c>
      <c r="AK1" s="1" t="s">
        <v>89</v>
      </c>
      <c r="AL1" s="1" t="s">
        <v>31</v>
      </c>
      <c r="AM1" s="1" t="s">
        <v>57</v>
      </c>
      <c r="AN1" s="1" t="s">
        <v>90</v>
      </c>
      <c r="AO1" s="1" t="s">
        <v>34</v>
      </c>
      <c r="AP1" s="1" t="s">
        <v>91</v>
      </c>
      <c r="AQ1" s="1" t="s">
        <v>97</v>
      </c>
      <c r="AR1" s="1" t="s">
        <v>98</v>
      </c>
      <c r="AS1" s="1" t="s">
        <v>99</v>
      </c>
      <c r="AT1" s="1" t="s">
        <v>100</v>
      </c>
      <c r="AU1" s="1" t="s">
        <v>101</v>
      </c>
      <c r="AV1" s="1" t="s">
        <v>102</v>
      </c>
      <c r="AW1" s="1" t="s">
        <v>36</v>
      </c>
      <c r="AX1" s="1" t="s">
        <v>37</v>
      </c>
      <c r="AY1" s="1" t="s">
        <v>38</v>
      </c>
      <c r="AZ1" s="1" t="s">
        <v>39</v>
      </c>
      <c r="BA1" s="1" t="s">
        <v>96</v>
      </c>
      <c r="BB1" s="1" t="s">
        <v>92</v>
      </c>
      <c r="BC1" s="1" t="s">
        <v>93</v>
      </c>
      <c r="BD1" s="1" t="s">
        <v>94</v>
      </c>
      <c r="BE1" s="1" t="s">
        <v>95</v>
      </c>
    </row>
    <row r="2" spans="1:57" x14ac:dyDescent="0.25">
      <c r="A2" s="2">
        <v>258.23925355040097</v>
      </c>
      <c r="B2" s="1">
        <v>141.815303159428</v>
      </c>
      <c r="C2" s="1">
        <v>72.206973453775305</v>
      </c>
      <c r="D2" s="3">
        <v>2500</v>
      </c>
      <c r="E2" s="4">
        <v>-1</v>
      </c>
      <c r="F2" s="5">
        <v>-0.5</v>
      </c>
      <c r="G2" s="5">
        <v>-9</v>
      </c>
      <c r="H2" s="1">
        <v>15</v>
      </c>
      <c r="I2" s="1">
        <v>9.81</v>
      </c>
      <c r="J2" s="3">
        <v>2070</v>
      </c>
      <c r="K2" s="3">
        <v>50</v>
      </c>
      <c r="L2" s="6">
        <v>3.5E-4</v>
      </c>
      <c r="M2" s="3">
        <v>10</v>
      </c>
      <c r="N2" s="3">
        <f>Tabel1[[#This Row],[polderpeil]]</f>
        <v>-0.5</v>
      </c>
      <c r="O2" s="3">
        <f>Tabel1[[#This Row],[polderpeil]]</f>
        <v>-0.5</v>
      </c>
      <c r="P2" s="3">
        <v>895</v>
      </c>
      <c r="Q2" s="3">
        <v>1</v>
      </c>
      <c r="R2" s="3">
        <v>1</v>
      </c>
      <c r="S2" s="3">
        <v>1</v>
      </c>
      <c r="T2" s="3">
        <v>1</v>
      </c>
      <c r="U2" s="3">
        <v>1</v>
      </c>
      <c r="V2" s="3">
        <v>1</v>
      </c>
      <c r="W2" s="3">
        <v>1</v>
      </c>
      <c r="X2" s="3">
        <v>0.3</v>
      </c>
      <c r="Y2" s="3">
        <v>0.3</v>
      </c>
      <c r="Z2" s="5">
        <v>8.5</v>
      </c>
      <c r="AA2" s="3">
        <f>MAX(Tabel1[[#This Row],[mv_exit]]-Tabel1[[#This Row],[top_zand]],0.1)</f>
        <v>8</v>
      </c>
      <c r="AB2" s="3">
        <f>MAX(Tabel1[[#This Row],[polderpeil]],Tabel1[[#This Row],[mv_exit]])</f>
        <v>-0.5</v>
      </c>
      <c r="AC2" s="3">
        <f>Tabel1[[#This Row],[d_deklaag]]*(Tabel1[[#This Row],[gamma_sat_deklaag]]-Tabel1[[#This Row],[gamma_water]])/Tabel1[[#This Row],[gamma_water]]</f>
        <v>4.232415902140672</v>
      </c>
      <c r="AD2" s="5">
        <f>Tabel1[[#This Row],[buitenwaterstand]]-Tabel1[[#This Row],[h_exit]]-Tabel1[[#This Row],[r_c_deklaag]]*Tabel1[[#This Row],[d_deklaag]]</f>
        <v>6.6</v>
      </c>
      <c r="AE2" s="3">
        <f>Tabel1[[#This Row],[kD_wvp]]/Tabel1[[#This Row],[D_wvp]]</f>
        <v>41.4</v>
      </c>
      <c r="AF2" s="3">
        <f>Tabel1[[#This Row],[L_intrede]]-Tabel1[[#This Row],[L_but]]</f>
        <v>116.42395039097298</v>
      </c>
      <c r="AG2" s="3">
        <f>Tabel1[[#This Row],[L_but]]-Tabel1[[#This Row],[L_bit]]</f>
        <v>69.608329705652693</v>
      </c>
      <c r="AH2" s="3">
        <f>SQRT(Tabel1[[#This Row],[kD_wvp]]*Tabel1[[#This Row],[c_voorland]])</f>
        <v>143.87494569938158</v>
      </c>
      <c r="AI2" s="3">
        <f>SQRT(Tabel1[[#This Row],[kD_wvp]]*Tabel1[[#This Row],[c_achterland]])</f>
        <v>1361.1208616430797</v>
      </c>
      <c r="AJ2" s="3">
        <f>Tabel1[[#This Row],[lambda_voorland]]*TANH(Tabel1[[#This Row],[L_voorland]]/Tabel1[[#This Row],[lambda_voorland]])</f>
        <v>96.273923616895814</v>
      </c>
      <c r="AK2" s="3">
        <f>Tabel1[[#This Row],[lambda_achterland]]*TANH(Tabel1[[#This Row],[L_achterland]]/Tabel1[[#This Row],[lambda_achterland]])</f>
        <v>1293.7174286170302</v>
      </c>
      <c r="AL2" s="3">
        <f>Tabel1[[#This Row],[W_achterland]]/(Tabel1[[#This Row],[W_voorland]]+Tabel1[[#This Row],[L2]]+Tabel1[[#This Row],[W_achterland]])</f>
        <v>0.88635085676223435</v>
      </c>
      <c r="AM2" s="3">
        <f>Tabel1[[#This Row],[r_bit]]*SINH((Tabel1[[#This Row],[L_achterland]]-Tabel1[[#This Row],[L_bit]])/Tabel1[[#This Row],[lambda_achterland]])/SINH(Tabel1[[#This Row],[L_achterland]]/Tabel1[[#This Row],[lambda_achterland]])</f>
        <v>0.83810475963357067</v>
      </c>
      <c r="AN2" s="3">
        <f>Tabel1[[#This Row],[polderpeil]]+(Tabel1[[#This Row],[buitenwaterstand]]-Tabel1[[#This Row],[polderpeil]])*Tabel1[[#This Row],[r_exit]]</f>
        <v>7.0429428367021361</v>
      </c>
      <c r="AO2" s="3">
        <f>Tabel1[[#This Row],[L_but]]+Tabel1[[#This Row],[W_voorland]]</f>
        <v>238.08922677632381</v>
      </c>
      <c r="AP2" s="3">
        <f>(Tabel1[[#This Row],[phi_exit]]-Tabel1[[#This Row],[h_exit]])/Tabel1[[#This Row],[d_deklaag]]</f>
        <v>0.94286785458776701</v>
      </c>
      <c r="AQ2" s="9">
        <v>2.0799999999999999E-4</v>
      </c>
      <c r="AR2" s="3">
        <v>26</v>
      </c>
      <c r="AS2" s="9">
        <v>1.33E-6</v>
      </c>
      <c r="AT2" s="3">
        <v>37</v>
      </c>
      <c r="AU2" s="3">
        <v>0.25</v>
      </c>
      <c r="AV2" s="3">
        <v>9.81</v>
      </c>
      <c r="AW2" s="7">
        <f>Tabel1[[#This Row],[v]]/Tabel1[[#This Row],[g]]*(Tabel1[[#This Row],[k_wvp]]/(24*3600))</f>
        <v>6.4963472646958871E-11</v>
      </c>
      <c r="AX2" s="7">
        <f>Tabel1[[#This Row],[eta]]*((Tabel1[[#This Row],[gamma_korrel]]-Tabel1[[#This Row],[gamma_water]])/Tabel1[[#This Row],[gamma_water]])*TAN(Tabel1[[#This Row],[theta]]*PI()/180)</f>
        <v>0.31090825869429756</v>
      </c>
      <c r="AY2" s="7">
        <f>(Tabel1[[#This Row],[d70_m]]/POWER(Tabel1[[#This Row],[k_intr]]*Tabel1[[#This Row],[L_kwelweg]],1/3))*POWER(Tabel1[[#This Row],[d70]]/Tabel1[[#This Row],[d70_m]],0.4)</f>
        <v>0.10280057877477947</v>
      </c>
      <c r="AZ2" s="7">
        <f>0.91*POWER(Tabel1[[#This Row],[D_wvp]]/Tabel1[[#This Row],[L_kwelweg]],(0.28/(POWER(Tabel1[[#This Row],[D_wvp]]/Tabel1[[#This Row],[L_kwelweg]],2.8)-1))+0.04)</f>
        <v>1.3308785403361827</v>
      </c>
      <c r="BA2" s="8">
        <f>Tabel1[[#This Row],[L_kwelweg]]*Tabel1[[#This Row],[F_resis]]*Tabel1[[#This Row],[F_scale]]*Tabel1[[#This Row],[F_geom]]</f>
        <v>10.127587058714658</v>
      </c>
      <c r="BB2" s="3">
        <f>Tabel1[[#This Row],[modelfactor_u]]*Tabel1[[#This Row],[dphi_c_u]]-(Tabel1[[#This Row],[phi_exit]]-Tabel1[[#This Row],[h_exit]])</f>
        <v>-3.3105269345614641</v>
      </c>
      <c r="BC2" s="3">
        <f>Tabel1[[#This Row],[modelfactor_h]]*Tabel1[[#This Row],[i_c_h]]-Tabel1[[#This Row],[i_exit]]</f>
        <v>-0.64286785458776707</v>
      </c>
      <c r="BD2" s="3">
        <f>Tabel1[[#This Row],[modelfactor_p]]*Tabel1[[#This Row],[dh_c]]-Tabel1[[#This Row],[dh_red]]</f>
        <v>3.5275870587146585</v>
      </c>
      <c r="BE2" s="3">
        <f>MAX(Tabel1[[#This Row],[z_u]],Tabel1[[#This Row],[z_h]],Tabel1[[#This Row],[z_p]])</f>
        <v>3.5275870587146585</v>
      </c>
    </row>
    <row r="3" spans="1:57" x14ac:dyDescent="0.25">
      <c r="A3" s="2">
        <v>150</v>
      </c>
      <c r="B3" s="1">
        <v>122.44665168230701</v>
      </c>
      <c r="C3" s="1">
        <v>52.4593241048035</v>
      </c>
      <c r="D3" s="3">
        <v>2500</v>
      </c>
      <c r="E3" s="4">
        <v>0.76708787679672197</v>
      </c>
      <c r="F3" s="5">
        <v>-0.5</v>
      </c>
      <c r="G3" s="5">
        <v>-9</v>
      </c>
      <c r="H3" s="1">
        <v>15</v>
      </c>
      <c r="I3" s="1">
        <v>9.81</v>
      </c>
      <c r="J3" s="3">
        <v>2070</v>
      </c>
      <c r="K3" s="3">
        <v>50</v>
      </c>
      <c r="L3" s="6">
        <v>3.5E-4</v>
      </c>
      <c r="M3" s="3">
        <v>10</v>
      </c>
      <c r="N3" s="3">
        <f>Tabel1[[#This Row],[polderpeil]]</f>
        <v>-0.5</v>
      </c>
      <c r="O3" s="3">
        <f>Tabel1[[#This Row],[polderpeil]]</f>
        <v>-0.5</v>
      </c>
      <c r="P3" s="3">
        <v>895</v>
      </c>
      <c r="Q3" s="3">
        <v>1</v>
      </c>
      <c r="R3" s="3">
        <v>1</v>
      </c>
      <c r="S3" s="3">
        <v>1</v>
      </c>
      <c r="T3" s="3">
        <v>1</v>
      </c>
      <c r="U3" s="3">
        <v>1</v>
      </c>
      <c r="V3" s="3">
        <v>1</v>
      </c>
      <c r="W3" s="3">
        <v>1</v>
      </c>
      <c r="X3" s="3">
        <v>0.3</v>
      </c>
      <c r="Y3" s="3">
        <v>0.3</v>
      </c>
      <c r="Z3" s="5">
        <v>8.5</v>
      </c>
      <c r="AA3" s="3">
        <f>MAX(Tabel1[[#This Row],[mv_exit]]-Tabel1[[#This Row],[top_zand]],0.1)</f>
        <v>9.7670878767967224</v>
      </c>
      <c r="AB3" s="3">
        <f>MAX(Tabel1[[#This Row],[polderpeil]],Tabel1[[#This Row],[mv_exit]])</f>
        <v>0.76708787679672197</v>
      </c>
      <c r="AC3" s="3">
        <f>Tabel1[[#This Row],[d_deklaag]]*(Tabel1[[#This Row],[gamma_sat_deklaag]]-Tabel1[[#This Row],[gamma_water]])/Tabel1[[#This Row],[gamma_water]]</f>
        <v>5.1672972559199781</v>
      </c>
      <c r="AD3" s="5">
        <f>Tabel1[[#This Row],[buitenwaterstand]]-Tabel1[[#This Row],[h_exit]]-Tabel1[[#This Row],[r_c_deklaag]]*Tabel1[[#This Row],[d_deklaag]]</f>
        <v>4.8027857601642605</v>
      </c>
      <c r="AE3" s="3">
        <f>Tabel1[[#This Row],[kD_wvp]]/Tabel1[[#This Row],[D_wvp]]</f>
        <v>41.4</v>
      </c>
      <c r="AF3" s="3">
        <f>Tabel1[[#This Row],[L_intrede]]-Tabel1[[#This Row],[L_but]]</f>
        <v>27.553348317692993</v>
      </c>
      <c r="AG3" s="3">
        <f>Tabel1[[#This Row],[L_but]]-Tabel1[[#This Row],[L_bit]]</f>
        <v>69.987327577503507</v>
      </c>
      <c r="AH3" s="3">
        <f>SQRT(Tabel1[[#This Row],[kD_wvp]]*Tabel1[[#This Row],[c_voorland]])</f>
        <v>143.87494569938158</v>
      </c>
      <c r="AI3" s="3">
        <f>SQRT(Tabel1[[#This Row],[kD_wvp]]*Tabel1[[#This Row],[c_achterland]])</f>
        <v>1361.1208616430797</v>
      </c>
      <c r="AJ3" s="3">
        <f>Tabel1[[#This Row],[lambda_voorland]]*TANH(Tabel1[[#This Row],[L_voorland]]/Tabel1[[#This Row],[lambda_voorland]])</f>
        <v>27.221371542552543</v>
      </c>
      <c r="AK3" s="3">
        <f>Tabel1[[#This Row],[lambda_achterland]]*TANH(Tabel1[[#This Row],[L_achterland]]/Tabel1[[#This Row],[lambda_achterland]])</f>
        <v>1293.7174286170302</v>
      </c>
      <c r="AL3" s="3">
        <f>Tabel1[[#This Row],[W_achterland]]/(Tabel1[[#This Row],[W_voorland]]+Tabel1[[#This Row],[L2]]+Tabel1[[#This Row],[W_achterland]])</f>
        <v>0.93011224882359067</v>
      </c>
      <c r="AM3" s="3">
        <f>Tabel1[[#This Row],[r_bit]]*SINH((Tabel1[[#This Row],[L_achterland]]-Tabel1[[#This Row],[L_bit]])/Tabel1[[#This Row],[lambda_achterland]])/SINH(Tabel1[[#This Row],[L_achterland]]/Tabel1[[#This Row],[lambda_achterland]])</f>
        <v>0.89307841243777519</v>
      </c>
      <c r="AN3" s="3">
        <f>Tabel1[[#This Row],[polderpeil]]+(Tabel1[[#This Row],[buitenwaterstand]]-Tabel1[[#This Row],[polderpeil]])*Tabel1[[#This Row],[r_exit]]</f>
        <v>7.5377057119399762</v>
      </c>
      <c r="AO3" s="3">
        <f>Tabel1[[#This Row],[L_but]]+Tabel1[[#This Row],[W_voorland]]</f>
        <v>149.66802322485955</v>
      </c>
      <c r="AP3" s="3">
        <f>(Tabel1[[#This Row],[phi_exit]]-Tabel1[[#This Row],[h_exit]])/Tabel1[[#This Row],[d_deklaag]]</f>
        <v>0.69320742482802244</v>
      </c>
      <c r="AQ3" s="9">
        <v>2.0799999999999999E-4</v>
      </c>
      <c r="AR3" s="3">
        <v>26</v>
      </c>
      <c r="AS3" s="9">
        <v>1.33E-6</v>
      </c>
      <c r="AT3" s="3">
        <v>37</v>
      </c>
      <c r="AU3" s="3">
        <v>0.25</v>
      </c>
      <c r="AV3" s="3">
        <v>9.81</v>
      </c>
      <c r="AW3" s="7">
        <f>Tabel1[[#This Row],[v]]/Tabel1[[#This Row],[g]]*(Tabel1[[#This Row],[k_wvp]]/(24*3600))</f>
        <v>6.4963472646958871E-11</v>
      </c>
      <c r="AX3" s="7">
        <f>Tabel1[[#This Row],[eta]]*((Tabel1[[#This Row],[gamma_korrel]]-Tabel1[[#This Row],[gamma_water]])/Tabel1[[#This Row],[gamma_water]])*TAN(Tabel1[[#This Row],[theta]]*PI()/180)</f>
        <v>0.31090825869429756</v>
      </c>
      <c r="AY3" s="7">
        <f>(Tabel1[[#This Row],[d70_m]]/POWER(Tabel1[[#This Row],[k_intr]]*Tabel1[[#This Row],[L_kwelweg]],1/3))*POWER(Tabel1[[#This Row],[d70]]/Tabel1[[#This Row],[d70_m]],0.4)</f>
        <v>0.12000494265868691</v>
      </c>
      <c r="AZ3" s="7">
        <f>0.91*POWER(Tabel1[[#This Row],[D_wvp]]/Tabel1[[#This Row],[L_kwelweg]],(0.28/(POWER(Tabel1[[#This Row],[D_wvp]]/Tabel1[[#This Row],[L_kwelweg]],2.8)-1))+0.04)</f>
        <v>1.20174004666204</v>
      </c>
      <c r="BA3" s="8">
        <f>Tabel1[[#This Row],[L_kwelweg]]*Tabel1[[#This Row],[F_resis]]*Tabel1[[#This Row],[F_scale]]*Tabel1[[#This Row],[F_geom]]</f>
        <v>6.7107482780661201</v>
      </c>
      <c r="BB3" s="3">
        <f>Tabel1[[#This Row],[modelfactor_u]]*Tabel1[[#This Row],[dphi_c_u]]-(Tabel1[[#This Row],[phi_exit]]-Tabel1[[#This Row],[h_exit]])</f>
        <v>-1.6033205792232756</v>
      </c>
      <c r="BC3" s="3">
        <f>Tabel1[[#This Row],[modelfactor_h]]*Tabel1[[#This Row],[i_c_h]]-Tabel1[[#This Row],[i_exit]]</f>
        <v>-0.39320742482802246</v>
      </c>
      <c r="BD3" s="3">
        <f>Tabel1[[#This Row],[modelfactor_p]]*Tabel1[[#This Row],[dh_c]]-Tabel1[[#This Row],[dh_red]]</f>
        <v>1.9079625179018596</v>
      </c>
      <c r="BE3" s="3">
        <f>MAX(Tabel1[[#This Row],[z_u]],Tabel1[[#This Row],[z_h]],Tabel1[[#This Row],[z_p]])</f>
        <v>1.9079625179018596</v>
      </c>
    </row>
    <row r="4" spans="1:57" x14ac:dyDescent="0.25">
      <c r="A4" s="2">
        <v>250</v>
      </c>
      <c r="B4" s="1">
        <v>228.928699083384</v>
      </c>
      <c r="C4" s="1">
        <v>133.69022608030599</v>
      </c>
      <c r="D4" s="3">
        <v>2500</v>
      </c>
      <c r="E4" s="4">
        <v>-0.5</v>
      </c>
      <c r="F4" s="5">
        <v>0.35</v>
      </c>
      <c r="G4" s="5">
        <v>-5.5</v>
      </c>
      <c r="H4" s="1">
        <v>15.5</v>
      </c>
      <c r="I4" s="1">
        <v>9.81</v>
      </c>
      <c r="J4" s="3">
        <v>1750</v>
      </c>
      <c r="K4" s="3">
        <v>50</v>
      </c>
      <c r="L4" s="6">
        <v>3.5E-4</v>
      </c>
      <c r="M4" s="3">
        <v>10</v>
      </c>
      <c r="N4" s="3">
        <f>Tabel1[[#This Row],[polderpeil]]</f>
        <v>0.35</v>
      </c>
      <c r="O4" s="3">
        <f>Tabel1[[#This Row],[polderpeil]]</f>
        <v>0.35</v>
      </c>
      <c r="P4" s="3">
        <v>565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V4" s="3">
        <v>1</v>
      </c>
      <c r="W4" s="3">
        <v>1</v>
      </c>
      <c r="X4" s="3">
        <v>0.3</v>
      </c>
      <c r="Y4" s="3">
        <v>0.3</v>
      </c>
      <c r="Z4" s="5">
        <v>9.4</v>
      </c>
      <c r="AA4" s="3">
        <f>MAX(Tabel1[[#This Row],[mv_exit]]-Tabel1[[#This Row],[top_zand]],0.1)</f>
        <v>5</v>
      </c>
      <c r="AB4" s="3">
        <f>MAX(Tabel1[[#This Row],[polderpeil]],Tabel1[[#This Row],[mv_exit]])</f>
        <v>0.35</v>
      </c>
      <c r="AC4" s="3">
        <f>Tabel1[[#This Row],[d_deklaag]]*(Tabel1[[#This Row],[gamma_sat_deklaag]]-Tabel1[[#This Row],[gamma_water]])/Tabel1[[#This Row],[gamma_water]]</f>
        <v>2.9001019367991838</v>
      </c>
      <c r="AD4" s="5">
        <f>Tabel1[[#This Row],[buitenwaterstand]]-Tabel1[[#This Row],[h_exit]]-Tabel1[[#This Row],[r_c_deklaag]]*Tabel1[[#This Row],[d_deklaag]]</f>
        <v>7.5500000000000007</v>
      </c>
      <c r="AE4" s="3">
        <f>Tabel1[[#This Row],[kD_wvp]]/Tabel1[[#This Row],[D_wvp]]</f>
        <v>35</v>
      </c>
      <c r="AF4" s="3">
        <f>Tabel1[[#This Row],[L_intrede]]-Tabel1[[#This Row],[L_but]]</f>
        <v>21.071300916615996</v>
      </c>
      <c r="AG4" s="3">
        <f>Tabel1[[#This Row],[L_but]]-Tabel1[[#This Row],[L_bit]]</f>
        <v>95.238473003078013</v>
      </c>
      <c r="AH4" s="3">
        <f>SQRT(Tabel1[[#This Row],[kD_wvp]]*Tabel1[[#This Row],[c_voorland]])</f>
        <v>132.28756555322954</v>
      </c>
      <c r="AI4" s="3">
        <f>SQRT(Tabel1[[#This Row],[kD_wvp]]*Tabel1[[#This Row],[c_achterland]])</f>
        <v>994.35909006756708</v>
      </c>
      <c r="AJ4" s="3">
        <f>Tabel1[[#This Row],[lambda_voorland]]*TANH(Tabel1[[#This Row],[L_voorland]]/Tabel1[[#This Row],[lambda_voorland]])</f>
        <v>20.894888146449144</v>
      </c>
      <c r="AK4" s="3">
        <f>Tabel1[[#This Row],[lambda_achterland]]*TANH(Tabel1[[#This Row],[L_achterland]]/Tabel1[[#This Row],[lambda_achterland]])</f>
        <v>981.41870728844276</v>
      </c>
      <c r="AL4" s="3">
        <f>Tabel1[[#This Row],[W_achterland]]/(Tabel1[[#This Row],[W_voorland]]+Tabel1[[#This Row],[L2]]+Tabel1[[#This Row],[W_achterland]])</f>
        <v>0.89418874558287931</v>
      </c>
      <c r="AM4" s="3">
        <f>Tabel1[[#This Row],[r_bit]]*SINH((Tabel1[[#This Row],[L_achterland]]-Tabel1[[#This Row],[L_bit]])/Tabel1[[#This Row],[lambda_achterland]])/SINH(Tabel1[[#This Row],[L_achterland]]/Tabel1[[#This Row],[lambda_achterland]])</f>
        <v>0.7801078547846555</v>
      </c>
      <c r="AN4" s="3">
        <f>Tabel1[[#This Row],[polderpeil]]+(Tabel1[[#This Row],[buitenwaterstand]]-Tabel1[[#This Row],[polderpeil]])*Tabel1[[#This Row],[r_exit]]</f>
        <v>7.4099760858011328</v>
      </c>
      <c r="AO4" s="3">
        <f>Tabel1[[#This Row],[L_but]]+Tabel1[[#This Row],[W_voorland]]</f>
        <v>249.82358722983315</v>
      </c>
      <c r="AP4" s="3">
        <f>(Tabel1[[#This Row],[phi_exit]]-Tabel1[[#This Row],[h_exit]])/Tabel1[[#This Row],[d_deklaag]]</f>
        <v>1.4119952171602266</v>
      </c>
      <c r="AQ4" s="9">
        <v>2.0799999999999999E-4</v>
      </c>
      <c r="AR4" s="3">
        <v>26</v>
      </c>
      <c r="AS4" s="9">
        <v>1.33E-6</v>
      </c>
      <c r="AT4" s="3">
        <v>37</v>
      </c>
      <c r="AU4" s="3">
        <v>0.25</v>
      </c>
      <c r="AV4" s="3">
        <v>9.81</v>
      </c>
      <c r="AW4" s="7">
        <f>Tabel1[[#This Row],[v]]/Tabel1[[#This Row],[g]]*(Tabel1[[#This Row],[k_wvp]]/(24*3600))</f>
        <v>5.4920810208781658E-11</v>
      </c>
      <c r="AX4" s="7">
        <f>Tabel1[[#This Row],[eta]]*((Tabel1[[#This Row],[gamma_korrel]]-Tabel1[[#This Row],[gamma_water]])/Tabel1[[#This Row],[gamma_water]])*TAN(Tabel1[[#This Row],[theta]]*PI()/180)</f>
        <v>0.31090825869429756</v>
      </c>
      <c r="AY4" s="7">
        <f>(Tabel1[[#This Row],[d70_m]]/POWER(Tabel1[[#This Row],[k_intr]]*Tabel1[[#This Row],[L_kwelweg]],1/3))*POWER(Tabel1[[#This Row],[d70]]/Tabel1[[#This Row],[d70_m]],0.4)</f>
        <v>0.10698964837303965</v>
      </c>
      <c r="AZ4" s="7">
        <f>0.91*POWER(Tabel1[[#This Row],[D_wvp]]/Tabel1[[#This Row],[L_kwelweg]],(0.28/(POWER(Tabel1[[#This Row],[D_wvp]]/Tabel1[[#This Row],[L_kwelweg]],2.8)-1))+0.04)</f>
        <v>1.3455764270294874</v>
      </c>
      <c r="BA4" s="8">
        <f>Tabel1[[#This Row],[L_kwelweg]]*Tabel1[[#This Row],[F_resis]]*Tabel1[[#This Row],[F_scale]]*Tabel1[[#This Row],[F_geom]]</f>
        <v>11.181905789754721</v>
      </c>
      <c r="BB4" s="3">
        <f>Tabel1[[#This Row],[modelfactor_u]]*Tabel1[[#This Row],[dphi_c_u]]-(Tabel1[[#This Row],[phi_exit]]-Tabel1[[#This Row],[h_exit]])</f>
        <v>-4.1598741490019489</v>
      </c>
      <c r="BC4" s="3">
        <f>Tabel1[[#This Row],[modelfactor_h]]*Tabel1[[#This Row],[i_c_h]]-Tabel1[[#This Row],[i_exit]]</f>
        <v>-1.1119952171602265</v>
      </c>
      <c r="BD4" s="3">
        <f>Tabel1[[#This Row],[modelfactor_p]]*Tabel1[[#This Row],[dh_c]]-Tabel1[[#This Row],[dh_red]]</f>
        <v>3.63190578975472</v>
      </c>
      <c r="BE4" s="3">
        <f>MAX(Tabel1[[#This Row],[z_u]],Tabel1[[#This Row],[z_h]],Tabel1[[#This Row],[z_p]])</f>
        <v>3.63190578975472</v>
      </c>
    </row>
    <row r="5" spans="1:57" x14ac:dyDescent="0.25">
      <c r="A5" s="2">
        <v>200</v>
      </c>
      <c r="B5" s="1">
        <v>114.940110239167</v>
      </c>
      <c r="C5" s="1">
        <v>20.463714348099199</v>
      </c>
      <c r="D5" s="3">
        <v>2500</v>
      </c>
      <c r="E5" s="4">
        <v>2.4669041633606001</v>
      </c>
      <c r="F5" s="5">
        <v>0.35</v>
      </c>
      <c r="G5" s="5">
        <v>-5.5</v>
      </c>
      <c r="H5" s="1">
        <v>15.5</v>
      </c>
      <c r="I5" s="1">
        <v>9.81</v>
      </c>
      <c r="J5" s="3">
        <v>1750</v>
      </c>
      <c r="K5" s="3">
        <v>50</v>
      </c>
      <c r="L5" s="6">
        <v>3.5E-4</v>
      </c>
      <c r="M5" s="3">
        <v>10</v>
      </c>
      <c r="N5" s="3">
        <f>Tabel1[[#This Row],[polderpeil]]</f>
        <v>0.35</v>
      </c>
      <c r="O5" s="3">
        <f>Tabel1[[#This Row],[polderpeil]]</f>
        <v>0.35</v>
      </c>
      <c r="P5" s="3">
        <v>565</v>
      </c>
      <c r="Q5" s="3">
        <v>1</v>
      </c>
      <c r="R5" s="3">
        <v>1</v>
      </c>
      <c r="S5" s="3">
        <v>1</v>
      </c>
      <c r="T5" s="3">
        <v>1</v>
      </c>
      <c r="U5" s="3">
        <v>1</v>
      </c>
      <c r="V5" s="3">
        <v>1</v>
      </c>
      <c r="W5" s="3">
        <v>1</v>
      </c>
      <c r="X5" s="3">
        <v>0.3</v>
      </c>
      <c r="Y5" s="3">
        <v>0.3</v>
      </c>
      <c r="Z5" s="5">
        <v>8.0399999999999991</v>
      </c>
      <c r="AA5" s="3">
        <f>MAX(Tabel1[[#This Row],[mv_exit]]-Tabel1[[#This Row],[top_zand]],0.1)</f>
        <v>7.9669041633606001</v>
      </c>
      <c r="AB5" s="3">
        <f>MAX(Tabel1[[#This Row],[polderpeil]],Tabel1[[#This Row],[mv_exit]])</f>
        <v>2.4669041633606001</v>
      </c>
      <c r="AC5" s="3">
        <f>Tabel1[[#This Row],[d_deklaag]]*(Tabel1[[#This Row],[gamma_sat_deklaag]]-Tabel1[[#This Row],[gamma_water]])/Tabel1[[#This Row],[gamma_water]]</f>
        <v>4.6209668388911114</v>
      </c>
      <c r="AD5" s="5">
        <f>Tabel1[[#This Row],[buitenwaterstand]]-Tabel1[[#This Row],[h_exit]]-Tabel1[[#This Row],[r_c_deklaag]]*Tabel1[[#This Row],[d_deklaag]]</f>
        <v>3.1830245876312189</v>
      </c>
      <c r="AE5" s="3">
        <f>Tabel1[[#This Row],[kD_wvp]]/Tabel1[[#This Row],[D_wvp]]</f>
        <v>35</v>
      </c>
      <c r="AF5" s="3">
        <f>Tabel1[[#This Row],[L_intrede]]-Tabel1[[#This Row],[L_but]]</f>
        <v>85.059889760833002</v>
      </c>
      <c r="AG5" s="3">
        <f>Tabel1[[#This Row],[L_but]]-Tabel1[[#This Row],[L_bit]]</f>
        <v>94.476395891067796</v>
      </c>
      <c r="AH5" s="3">
        <f>SQRT(Tabel1[[#This Row],[kD_wvp]]*Tabel1[[#This Row],[c_voorland]])</f>
        <v>132.28756555322954</v>
      </c>
      <c r="AI5" s="3">
        <f>SQRT(Tabel1[[#This Row],[kD_wvp]]*Tabel1[[#This Row],[c_achterland]])</f>
        <v>994.35909006756708</v>
      </c>
      <c r="AJ5" s="3">
        <f>Tabel1[[#This Row],[lambda_voorland]]*TANH(Tabel1[[#This Row],[L_voorland]]/Tabel1[[#This Row],[lambda_voorland]])</f>
        <v>74.998259211682409</v>
      </c>
      <c r="AK5" s="3">
        <f>Tabel1[[#This Row],[lambda_achterland]]*TANH(Tabel1[[#This Row],[L_achterland]]/Tabel1[[#This Row],[lambda_achterland]])</f>
        <v>981.41870728844276</v>
      </c>
      <c r="AL5" s="3">
        <f>Tabel1[[#This Row],[W_achterland]]/(Tabel1[[#This Row],[W_voorland]]+Tabel1[[#This Row],[L2]]+Tabel1[[#This Row],[W_achterland]])</f>
        <v>0.85274512770615396</v>
      </c>
      <c r="AM5" s="3">
        <f>Tabel1[[#This Row],[r_bit]]*SINH((Tabel1[[#This Row],[L_achterland]]-Tabel1[[#This Row],[L_bit]])/Tabel1[[#This Row],[lambda_achterland]])/SINH(Tabel1[[#This Row],[L_achterland]]/Tabel1[[#This Row],[lambda_achterland]])</f>
        <v>0.83514373829718846</v>
      </c>
      <c r="AN5" s="3">
        <f>Tabel1[[#This Row],[polderpeil]]+(Tabel1[[#This Row],[buitenwaterstand]]-Tabel1[[#This Row],[polderpeil]])*Tabel1[[#This Row],[r_exit]]</f>
        <v>6.7722553475053786</v>
      </c>
      <c r="AO5" s="3">
        <f>Tabel1[[#This Row],[L_but]]+Tabel1[[#This Row],[W_voorland]]</f>
        <v>189.93836945084939</v>
      </c>
      <c r="AP5" s="3">
        <f>(Tabel1[[#This Row],[phi_exit]]-Tabel1[[#This Row],[h_exit]])/Tabel1[[#This Row],[d_deklaag]]</f>
        <v>0.54040454056732301</v>
      </c>
      <c r="AQ5" s="9">
        <v>2.0799999999999999E-4</v>
      </c>
      <c r="AR5" s="3">
        <v>26</v>
      </c>
      <c r="AS5" s="9">
        <v>1.33E-6</v>
      </c>
      <c r="AT5" s="3">
        <v>37</v>
      </c>
      <c r="AU5" s="3">
        <v>0.25</v>
      </c>
      <c r="AV5" s="3">
        <v>9.81</v>
      </c>
      <c r="AW5" s="7">
        <f>Tabel1[[#This Row],[v]]/Tabel1[[#This Row],[g]]*(Tabel1[[#This Row],[k_wvp]]/(24*3600))</f>
        <v>5.4920810208781658E-11</v>
      </c>
      <c r="AX5" s="7">
        <f>Tabel1[[#This Row],[eta]]*((Tabel1[[#This Row],[gamma_korrel]]-Tabel1[[#This Row],[gamma_water]])/Tabel1[[#This Row],[gamma_water]])*TAN(Tabel1[[#This Row],[theta]]*PI()/180)</f>
        <v>0.31090825869429756</v>
      </c>
      <c r="AY5" s="7">
        <f>(Tabel1[[#This Row],[d70_m]]/POWER(Tabel1[[#This Row],[k_intr]]*Tabel1[[#This Row],[L_kwelweg]],1/3))*POWER(Tabel1[[#This Row],[d70]]/Tabel1[[#This Row],[d70_m]],0.4)</f>
        <v>0.11722367658998584</v>
      </c>
      <c r="AZ5" s="7">
        <f>0.91*POWER(Tabel1[[#This Row],[D_wvp]]/Tabel1[[#This Row],[L_kwelweg]],(0.28/(POWER(Tabel1[[#This Row],[D_wvp]]/Tabel1[[#This Row],[L_kwelweg]],2.8)-1))+0.04)</f>
        <v>1.2650756848970997</v>
      </c>
      <c r="BA5" s="8">
        <f>Tabel1[[#This Row],[L_kwelweg]]*Tabel1[[#This Row],[F_resis]]*Tabel1[[#This Row],[F_scale]]*Tabel1[[#This Row],[F_geom]]</f>
        <v>8.7574327469474955</v>
      </c>
      <c r="BB5" s="3">
        <f>Tabel1[[#This Row],[modelfactor_u]]*Tabel1[[#This Row],[dphi_c_u]]-(Tabel1[[#This Row],[phi_exit]]-Tabel1[[#This Row],[h_exit]])</f>
        <v>0.31561565474633291</v>
      </c>
      <c r="BC5" s="3">
        <f>Tabel1[[#This Row],[modelfactor_h]]*Tabel1[[#This Row],[i_c_h]]-Tabel1[[#This Row],[i_exit]]</f>
        <v>-0.24040454056732302</v>
      </c>
      <c r="BD5" s="3">
        <f>Tabel1[[#This Row],[modelfactor_p]]*Tabel1[[#This Row],[dh_c]]-Tabel1[[#This Row],[dh_red]]</f>
        <v>5.5744081593162766</v>
      </c>
      <c r="BE5" s="3">
        <f>MAX(Tabel1[[#This Row],[z_u]],Tabel1[[#This Row],[z_h]],Tabel1[[#This Row],[z_p]])</f>
        <v>5.5744081593162766</v>
      </c>
    </row>
    <row r="6" spans="1:57" x14ac:dyDescent="0.25">
      <c r="A6" s="2">
        <v>258.23925355040097</v>
      </c>
      <c r="B6" s="1">
        <v>141.815303159428</v>
      </c>
      <c r="C6" s="1">
        <v>72.206973453775305</v>
      </c>
      <c r="D6" s="3">
        <v>2500</v>
      </c>
      <c r="E6" s="4">
        <v>-1</v>
      </c>
      <c r="F6" s="5">
        <v>-0.5</v>
      </c>
      <c r="G6" s="5">
        <v>-4.5</v>
      </c>
      <c r="H6" s="1">
        <v>16</v>
      </c>
      <c r="I6" s="1">
        <v>9.81</v>
      </c>
      <c r="J6" s="3">
        <v>1970</v>
      </c>
      <c r="K6" s="3">
        <v>50</v>
      </c>
      <c r="L6" s="6">
        <v>2.5999999999999998E-4</v>
      </c>
      <c r="M6" s="3">
        <v>10</v>
      </c>
      <c r="N6" s="3">
        <f>Tabel1[[#This Row],[polderpeil]]</f>
        <v>-0.5</v>
      </c>
      <c r="O6" s="3">
        <f>Tabel1[[#This Row],[polderpeil]]</f>
        <v>-0.5</v>
      </c>
      <c r="P6" s="3">
        <v>445</v>
      </c>
      <c r="Q6" s="3">
        <v>1</v>
      </c>
      <c r="R6" s="3">
        <v>1</v>
      </c>
      <c r="S6" s="3">
        <v>1</v>
      </c>
      <c r="T6" s="3">
        <v>1</v>
      </c>
      <c r="U6" s="3">
        <v>1</v>
      </c>
      <c r="V6" s="3">
        <v>1</v>
      </c>
      <c r="W6" s="3">
        <v>1</v>
      </c>
      <c r="X6" s="3">
        <v>0.3</v>
      </c>
      <c r="Y6" s="3">
        <v>0.3</v>
      </c>
      <c r="Z6" s="5">
        <v>8.5</v>
      </c>
      <c r="AA6" s="3">
        <f>MAX(Tabel1[[#This Row],[mv_exit]]-Tabel1[[#This Row],[top_zand]],0.1)</f>
        <v>3.5</v>
      </c>
      <c r="AB6" s="3">
        <f>MAX(Tabel1[[#This Row],[polderpeil]],Tabel1[[#This Row],[mv_exit]])</f>
        <v>-0.5</v>
      </c>
      <c r="AC6" s="3">
        <f>Tabel1[[#This Row],[d_deklaag]]*(Tabel1[[#This Row],[gamma_sat_deklaag]]-Tabel1[[#This Row],[gamma_water]])/Tabel1[[#This Row],[gamma_water]]</f>
        <v>2.2084607543323136</v>
      </c>
      <c r="AD6" s="5">
        <f>Tabel1[[#This Row],[buitenwaterstand]]-Tabel1[[#This Row],[h_exit]]-Tabel1[[#This Row],[r_c_deklaag]]*Tabel1[[#This Row],[d_deklaag]]</f>
        <v>7.95</v>
      </c>
      <c r="AE6" s="3">
        <f>Tabel1[[#This Row],[kD_wvp]]/Tabel1[[#This Row],[D_wvp]]</f>
        <v>39.4</v>
      </c>
      <c r="AF6" s="3">
        <f>Tabel1[[#This Row],[L_intrede]]-Tabel1[[#This Row],[L_but]]</f>
        <v>116.42395039097298</v>
      </c>
      <c r="AG6" s="3">
        <f>Tabel1[[#This Row],[L_but]]-Tabel1[[#This Row],[L_bit]]</f>
        <v>69.608329705652693</v>
      </c>
      <c r="AH6" s="3">
        <f>SQRT(Tabel1[[#This Row],[kD_wvp]]*Tabel1[[#This Row],[c_voorland]])</f>
        <v>140.356688476182</v>
      </c>
      <c r="AI6" s="3">
        <f>SQRT(Tabel1[[#This Row],[kD_wvp]]*Tabel1[[#This Row],[c_achterland]])</f>
        <v>936.29589340122607</v>
      </c>
      <c r="AJ6" s="3">
        <f>Tabel1[[#This Row],[lambda_voorland]]*TANH(Tabel1[[#This Row],[L_voorland]]/Tabel1[[#This Row],[lambda_voorland]])</f>
        <v>95.470630441881028</v>
      </c>
      <c r="AK6" s="3">
        <f>Tabel1[[#This Row],[lambda_achterland]]*TANH(Tabel1[[#This Row],[L_achterland]]/Tabel1[[#This Row],[lambda_achterland]])</f>
        <v>927.35975927636537</v>
      </c>
      <c r="AL6" s="3">
        <f>Tabel1[[#This Row],[W_achterland]]/(Tabel1[[#This Row],[W_voorland]]+Tabel1[[#This Row],[L2]]+Tabel1[[#This Row],[W_achterland]])</f>
        <v>0.84888950088240311</v>
      </c>
      <c r="AM6" s="3">
        <f>Tabel1[[#This Row],[r_bit]]*SINH((Tabel1[[#This Row],[L_achterland]]-Tabel1[[#This Row],[L_bit]])/Tabel1[[#This Row],[lambda_achterland]])/SINH(Tabel1[[#This Row],[L_achterland]]/Tabel1[[#This Row],[lambda_achterland]])</f>
        <v>0.78525253855860933</v>
      </c>
      <c r="AN6" s="3">
        <f>Tabel1[[#This Row],[polderpeil]]+(Tabel1[[#This Row],[buitenwaterstand]]-Tabel1[[#This Row],[polderpeil]])*Tabel1[[#This Row],[r_exit]]</f>
        <v>6.5672728470274837</v>
      </c>
      <c r="AO6" s="3">
        <f>Tabel1[[#This Row],[L_but]]+Tabel1[[#This Row],[W_voorland]]</f>
        <v>237.28593360130901</v>
      </c>
      <c r="AP6" s="3">
        <f>(Tabel1[[#This Row],[phi_exit]]-Tabel1[[#This Row],[h_exit]])/Tabel1[[#This Row],[d_deklaag]]</f>
        <v>2.0192208134364238</v>
      </c>
      <c r="AQ6" s="9">
        <v>2.0799999999999999E-4</v>
      </c>
      <c r="AR6" s="3">
        <v>26</v>
      </c>
      <c r="AS6" s="9">
        <v>1.33E-6</v>
      </c>
      <c r="AT6" s="3">
        <v>37</v>
      </c>
      <c r="AU6" s="3">
        <v>0.25</v>
      </c>
      <c r="AV6" s="3">
        <v>9.81</v>
      </c>
      <c r="AW6" s="7">
        <f>Tabel1[[#This Row],[v]]/Tabel1[[#This Row],[g]]*(Tabel1[[#This Row],[k_wvp]]/(24*3600))</f>
        <v>6.1825140635028502E-11</v>
      </c>
      <c r="AX6" s="7">
        <f>Tabel1[[#This Row],[eta]]*((Tabel1[[#This Row],[gamma_korrel]]-Tabel1[[#This Row],[gamma_water]])/Tabel1[[#This Row],[gamma_water]])*TAN(Tabel1[[#This Row],[theta]]*PI()/180)</f>
        <v>0.31090825869429756</v>
      </c>
      <c r="AY6" s="7">
        <f>(Tabel1[[#This Row],[d70_m]]/POWER(Tabel1[[#This Row],[k_intr]]*Tabel1[[#This Row],[L_kwelweg]],1/3))*POWER(Tabel1[[#This Row],[d70]]/Tabel1[[#This Row],[d70_m]],0.4)</f>
        <v>9.2899841117780602E-2</v>
      </c>
      <c r="AZ6" s="7">
        <f>0.91*POWER(Tabel1[[#This Row],[D_wvp]]/Tabel1[[#This Row],[L_kwelweg]],(0.28/(POWER(Tabel1[[#This Row],[D_wvp]]/Tabel1[[#This Row],[L_kwelweg]],2.8)-1))+0.04)</f>
        <v>1.3298549351524174</v>
      </c>
      <c r="BA6" s="8">
        <f>Tabel1[[#This Row],[L_kwelweg]]*Tabel1[[#This Row],[F_resis]]*Tabel1[[#This Row],[F_scale]]*Tabel1[[#This Row],[F_geom]]</f>
        <v>9.1143036388739791</v>
      </c>
      <c r="BB6" s="3">
        <f>Tabel1[[#This Row],[modelfactor_u]]*Tabel1[[#This Row],[dphi_c_u]]-(Tabel1[[#This Row],[phi_exit]]-Tabel1[[#This Row],[h_exit]])</f>
        <v>-4.8588120926951701</v>
      </c>
      <c r="BC6" s="3">
        <f>Tabel1[[#This Row],[modelfactor_h]]*Tabel1[[#This Row],[i_c_h]]-Tabel1[[#This Row],[i_exit]]</f>
        <v>-1.7192208134364237</v>
      </c>
      <c r="BD6" s="3">
        <f>Tabel1[[#This Row],[modelfactor_p]]*Tabel1[[#This Row],[dh_c]]-Tabel1[[#This Row],[dh_red]]</f>
        <v>1.1643036388739789</v>
      </c>
      <c r="BE6" s="3">
        <f>MAX(Tabel1[[#This Row],[z_u]],Tabel1[[#This Row],[z_h]],Tabel1[[#This Row],[z_p]])</f>
        <v>1.1643036388739789</v>
      </c>
    </row>
    <row r="7" spans="1:57" x14ac:dyDescent="0.25">
      <c r="A7" s="2">
        <v>150</v>
      </c>
      <c r="B7" s="1">
        <v>122.44665168230701</v>
      </c>
      <c r="C7" s="1">
        <v>52.4593241048035</v>
      </c>
      <c r="D7" s="3">
        <v>2500</v>
      </c>
      <c r="E7" s="4">
        <v>0.76708787679672197</v>
      </c>
      <c r="F7" s="5">
        <v>-0.5</v>
      </c>
      <c r="G7" s="5">
        <v>-4.5</v>
      </c>
      <c r="H7" s="1">
        <v>16</v>
      </c>
      <c r="I7" s="1">
        <v>9.81</v>
      </c>
      <c r="J7" s="3">
        <v>1970</v>
      </c>
      <c r="K7" s="3">
        <v>50</v>
      </c>
      <c r="L7" s="6">
        <v>2.5999999999999998E-4</v>
      </c>
      <c r="M7" s="3">
        <v>10</v>
      </c>
      <c r="N7" s="3">
        <f>Tabel1[[#This Row],[polderpeil]]</f>
        <v>-0.5</v>
      </c>
      <c r="O7" s="3">
        <f>Tabel1[[#This Row],[polderpeil]]</f>
        <v>-0.5</v>
      </c>
      <c r="P7" s="3">
        <v>445</v>
      </c>
      <c r="Q7" s="3">
        <v>1</v>
      </c>
      <c r="R7" s="3">
        <v>1</v>
      </c>
      <c r="S7" s="3">
        <v>1</v>
      </c>
      <c r="T7" s="3">
        <v>1</v>
      </c>
      <c r="U7" s="3">
        <v>1</v>
      </c>
      <c r="V7" s="3">
        <v>1</v>
      </c>
      <c r="W7" s="3">
        <v>1</v>
      </c>
      <c r="X7" s="3">
        <v>0.3</v>
      </c>
      <c r="Y7" s="3">
        <v>0.3</v>
      </c>
      <c r="Z7" s="5">
        <v>8.5</v>
      </c>
      <c r="AA7" s="3">
        <f>MAX(Tabel1[[#This Row],[mv_exit]]-Tabel1[[#This Row],[top_zand]],0.1)</f>
        <v>5.2670878767967224</v>
      </c>
      <c r="AB7" s="3">
        <f>MAX(Tabel1[[#This Row],[polderpeil]],Tabel1[[#This Row],[mv_exit]])</f>
        <v>0.76708787679672197</v>
      </c>
      <c r="AC7" s="3">
        <f>Tabel1[[#This Row],[d_deklaag]]*(Tabel1[[#This Row],[gamma_sat_deklaag]]-Tabel1[[#This Row],[gamma_water]])/Tabel1[[#This Row],[gamma_water]]</f>
        <v>3.3234733901500215</v>
      </c>
      <c r="AD7" s="5">
        <f>Tabel1[[#This Row],[buitenwaterstand]]-Tabel1[[#This Row],[h_exit]]-Tabel1[[#This Row],[r_c_deklaag]]*Tabel1[[#This Row],[d_deklaag]]</f>
        <v>6.152785760164261</v>
      </c>
      <c r="AE7" s="3">
        <f>Tabel1[[#This Row],[kD_wvp]]/Tabel1[[#This Row],[D_wvp]]</f>
        <v>39.4</v>
      </c>
      <c r="AF7" s="3">
        <f>Tabel1[[#This Row],[L_intrede]]-Tabel1[[#This Row],[L_but]]</f>
        <v>27.553348317692993</v>
      </c>
      <c r="AG7" s="3">
        <f>Tabel1[[#This Row],[L_but]]-Tabel1[[#This Row],[L_bit]]</f>
        <v>69.987327577503507</v>
      </c>
      <c r="AH7" s="3">
        <f>SQRT(Tabel1[[#This Row],[kD_wvp]]*Tabel1[[#This Row],[c_voorland]])</f>
        <v>140.356688476182</v>
      </c>
      <c r="AI7" s="3">
        <f>SQRT(Tabel1[[#This Row],[kD_wvp]]*Tabel1[[#This Row],[c_achterland]])</f>
        <v>936.29589340122607</v>
      </c>
      <c r="AJ7" s="3">
        <f>Tabel1[[#This Row],[lambda_voorland]]*TANH(Tabel1[[#This Row],[L_voorland]]/Tabel1[[#This Row],[lambda_voorland]])</f>
        <v>27.204775662422318</v>
      </c>
      <c r="AK7" s="3">
        <f>Tabel1[[#This Row],[lambda_achterland]]*TANH(Tabel1[[#This Row],[L_achterland]]/Tabel1[[#This Row],[lambda_achterland]])</f>
        <v>927.35975927636537</v>
      </c>
      <c r="AL7" s="3">
        <f>Tabel1[[#This Row],[W_achterland]]/(Tabel1[[#This Row],[W_voorland]]+Tabel1[[#This Row],[L2]]+Tabel1[[#This Row],[W_achterland]])</f>
        <v>0.90513696105024599</v>
      </c>
      <c r="AM7" s="3">
        <f>Tabel1[[#This Row],[r_bit]]*SINH((Tabel1[[#This Row],[L_achterland]]-Tabel1[[#This Row],[L_bit]])/Tabel1[[#This Row],[lambda_achterland]])/SINH(Tabel1[[#This Row],[L_achterland]]/Tabel1[[#This Row],[lambda_achterland]])</f>
        <v>0.85532902864811533</v>
      </c>
      <c r="AN7" s="3">
        <f>Tabel1[[#This Row],[polderpeil]]+(Tabel1[[#This Row],[buitenwaterstand]]-Tabel1[[#This Row],[polderpeil]])*Tabel1[[#This Row],[r_exit]]</f>
        <v>7.1979612578330379</v>
      </c>
      <c r="AO7" s="3">
        <f>Tabel1[[#This Row],[L_but]]+Tabel1[[#This Row],[W_voorland]]</f>
        <v>149.65142734472931</v>
      </c>
      <c r="AP7" s="3">
        <f>(Tabel1[[#This Row],[phi_exit]]-Tabel1[[#This Row],[h_exit]])/Tabel1[[#This Row],[d_deklaag]]</f>
        <v>1.220954260012721</v>
      </c>
      <c r="AQ7" s="9">
        <v>2.0799999999999999E-4</v>
      </c>
      <c r="AR7" s="3">
        <v>26</v>
      </c>
      <c r="AS7" s="9">
        <v>1.33E-6</v>
      </c>
      <c r="AT7" s="3">
        <v>37</v>
      </c>
      <c r="AU7" s="3">
        <v>0.25</v>
      </c>
      <c r="AV7" s="3">
        <v>9.81</v>
      </c>
      <c r="AW7" s="7">
        <f>Tabel1[[#This Row],[v]]/Tabel1[[#This Row],[g]]*(Tabel1[[#This Row],[k_wvp]]/(24*3600))</f>
        <v>6.1825140635028502E-11</v>
      </c>
      <c r="AX7" s="7">
        <f>Tabel1[[#This Row],[eta]]*((Tabel1[[#This Row],[gamma_korrel]]-Tabel1[[#This Row],[gamma_water]])/Tabel1[[#This Row],[gamma_water]])*TAN(Tabel1[[#This Row],[theta]]*PI()/180)</f>
        <v>0.31090825869429756</v>
      </c>
      <c r="AY7" s="7">
        <f>(Tabel1[[#This Row],[d70_m]]/POWER(Tabel1[[#This Row],[k_intr]]*Tabel1[[#This Row],[L_kwelweg]],1/3))*POWER(Tabel1[[#This Row],[d70]]/Tabel1[[#This Row],[d70_m]],0.4)</f>
        <v>0.10832915313420277</v>
      </c>
      <c r="AZ7" s="7">
        <f>0.91*POWER(Tabel1[[#This Row],[D_wvp]]/Tabel1[[#This Row],[L_kwelweg]],(0.28/(POWER(Tabel1[[#This Row],[D_wvp]]/Tabel1[[#This Row],[L_kwelweg]],2.8)-1))+0.04)</f>
        <v>1.2017120962970593</v>
      </c>
      <c r="BA7" s="8">
        <f>Tabel1[[#This Row],[L_kwelweg]]*Tabel1[[#This Row],[F_resis]]*Tabel1[[#This Row],[F_scale]]*Tabel1[[#This Row],[F_geom]]</f>
        <v>6.0570185347674448</v>
      </c>
      <c r="BB7" s="3">
        <f>Tabel1[[#This Row],[modelfactor_u]]*Tabel1[[#This Row],[dphi_c_u]]-(Tabel1[[#This Row],[phi_exit]]-Tabel1[[#This Row],[h_exit]])</f>
        <v>-3.1073999908862939</v>
      </c>
      <c r="BC7" s="3">
        <f>Tabel1[[#This Row],[modelfactor_h]]*Tabel1[[#This Row],[i_c_h]]-Tabel1[[#This Row],[i_exit]]</f>
        <v>-0.92095426001272096</v>
      </c>
      <c r="BD7" s="3">
        <f>Tabel1[[#This Row],[modelfactor_p]]*Tabel1[[#This Row],[dh_c]]-Tabel1[[#This Row],[dh_red]]</f>
        <v>-9.5767225396816258E-2</v>
      </c>
      <c r="BE7" s="3">
        <f>MAX(Tabel1[[#This Row],[z_u]],Tabel1[[#This Row],[z_h]],Tabel1[[#This Row],[z_p]])</f>
        <v>-9.5767225396816258E-2</v>
      </c>
    </row>
    <row r="8" spans="1:57" x14ac:dyDescent="0.25">
      <c r="A8" s="2">
        <v>250</v>
      </c>
      <c r="B8" s="1">
        <v>228.928699083384</v>
      </c>
      <c r="C8" s="1">
        <v>133.69022608030599</v>
      </c>
      <c r="D8" s="3">
        <v>2500</v>
      </c>
      <c r="E8" s="4">
        <v>-0.5</v>
      </c>
      <c r="F8" s="5">
        <v>0.35</v>
      </c>
      <c r="G8" s="5">
        <v>-1</v>
      </c>
      <c r="H8" s="1">
        <v>16.5</v>
      </c>
      <c r="I8" s="1">
        <v>9.81</v>
      </c>
      <c r="J8" s="3">
        <v>1630</v>
      </c>
      <c r="K8" s="3">
        <v>50</v>
      </c>
      <c r="L8" s="6">
        <v>2.7999999999999998E-4</v>
      </c>
      <c r="M8" s="3">
        <v>10</v>
      </c>
      <c r="N8" s="3">
        <f>Tabel1[[#This Row],[polderpeil]]</f>
        <v>0.35</v>
      </c>
      <c r="O8" s="3">
        <f>Tabel1[[#This Row],[polderpeil]]</f>
        <v>0.35</v>
      </c>
      <c r="P8" s="3">
        <v>115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>
        <v>1</v>
      </c>
      <c r="X8" s="3">
        <v>0.3</v>
      </c>
      <c r="Y8" s="3">
        <v>0.3</v>
      </c>
      <c r="Z8" s="5">
        <v>9.4</v>
      </c>
      <c r="AA8" s="3">
        <f>MAX(Tabel1[[#This Row],[mv_exit]]-Tabel1[[#This Row],[top_zand]],0.1)</f>
        <v>0.5</v>
      </c>
      <c r="AB8" s="3">
        <f>MAX(Tabel1[[#This Row],[polderpeil]],Tabel1[[#This Row],[mv_exit]])</f>
        <v>0.35</v>
      </c>
      <c r="AC8" s="3">
        <f>Tabel1[[#This Row],[d_deklaag]]*(Tabel1[[#This Row],[gamma_sat_deklaag]]-Tabel1[[#This Row],[gamma_water]])/Tabel1[[#This Row],[gamma_water]]</f>
        <v>0.34097859327217123</v>
      </c>
      <c r="AD8" s="5">
        <f>Tabel1[[#This Row],[buitenwaterstand]]-Tabel1[[#This Row],[h_exit]]-Tabel1[[#This Row],[r_c_deklaag]]*Tabel1[[#This Row],[d_deklaag]]</f>
        <v>8.9</v>
      </c>
      <c r="AE8" s="3">
        <f>Tabel1[[#This Row],[kD_wvp]]/Tabel1[[#This Row],[D_wvp]]</f>
        <v>32.6</v>
      </c>
      <c r="AF8" s="3">
        <f>Tabel1[[#This Row],[L_intrede]]-Tabel1[[#This Row],[L_but]]</f>
        <v>21.071300916615996</v>
      </c>
      <c r="AG8" s="3">
        <f>Tabel1[[#This Row],[L_but]]-Tabel1[[#This Row],[L_bit]]</f>
        <v>95.238473003078013</v>
      </c>
      <c r="AH8" s="3">
        <f>SQRT(Tabel1[[#This Row],[kD_wvp]]*Tabel1[[#This Row],[c_voorland]])</f>
        <v>127.67145334803705</v>
      </c>
      <c r="AI8" s="3">
        <f>SQRT(Tabel1[[#This Row],[kD_wvp]]*Tabel1[[#This Row],[c_achterland]])</f>
        <v>432.95496301578527</v>
      </c>
      <c r="AJ8" s="3">
        <f>Tabel1[[#This Row],[lambda_voorland]]*TANH(Tabel1[[#This Row],[L_voorland]]/Tabel1[[#This Row],[lambda_voorland]])</f>
        <v>20.882040650499938</v>
      </c>
      <c r="AK8" s="3">
        <f>Tabel1[[#This Row],[lambda_achterland]]*TANH(Tabel1[[#This Row],[L_achterland]]/Tabel1[[#This Row],[lambda_achterland]])</f>
        <v>432.94660700421719</v>
      </c>
      <c r="AL8" s="3">
        <f>Tabel1[[#This Row],[W_achterland]]/(Tabel1[[#This Row],[W_voorland]]+Tabel1[[#This Row],[L2]]+Tabel1[[#This Row],[W_achterland]])</f>
        <v>0.78851308103376705</v>
      </c>
      <c r="AM8" s="3">
        <f>Tabel1[[#This Row],[r_bit]]*SINH((Tabel1[[#This Row],[L_achterland]]-Tabel1[[#This Row],[L_bit]])/Tabel1[[#This Row],[lambda_achterland]])/SINH(Tabel1[[#This Row],[L_achterland]]/Tabel1[[#This Row],[lambda_achterland]])</f>
        <v>0.5790305412845953</v>
      </c>
      <c r="AN8" s="3">
        <f>Tabel1[[#This Row],[polderpeil]]+(Tabel1[[#This Row],[buitenwaterstand]]-Tabel1[[#This Row],[polderpeil]])*Tabel1[[#This Row],[r_exit]]</f>
        <v>5.5902263986255871</v>
      </c>
      <c r="AO8" s="3">
        <f>Tabel1[[#This Row],[L_but]]+Tabel1[[#This Row],[W_voorland]]</f>
        <v>249.81073973388393</v>
      </c>
      <c r="AP8" s="3">
        <f>(Tabel1[[#This Row],[phi_exit]]-Tabel1[[#This Row],[h_exit]])/Tabel1[[#This Row],[d_deklaag]]</f>
        <v>10.480452797251175</v>
      </c>
      <c r="AQ8" s="9">
        <v>2.0799999999999999E-4</v>
      </c>
      <c r="AR8" s="3">
        <v>26</v>
      </c>
      <c r="AS8" s="9">
        <v>1.33E-6</v>
      </c>
      <c r="AT8" s="3">
        <v>37</v>
      </c>
      <c r="AU8" s="3">
        <v>0.25</v>
      </c>
      <c r="AV8" s="3">
        <v>9.81</v>
      </c>
      <c r="AW8" s="7">
        <f>Tabel1[[#This Row],[v]]/Tabel1[[#This Row],[g]]*(Tabel1[[#This Row],[k_wvp]]/(24*3600))</f>
        <v>5.1154811794465203E-11</v>
      </c>
      <c r="AX8" s="7">
        <f>Tabel1[[#This Row],[eta]]*((Tabel1[[#This Row],[gamma_korrel]]-Tabel1[[#This Row],[gamma_water]])/Tabel1[[#This Row],[gamma_water]])*TAN(Tabel1[[#This Row],[theta]]*PI()/180)</f>
        <v>0.31090825869429756</v>
      </c>
      <c r="AY8" s="7">
        <f>(Tabel1[[#This Row],[d70_m]]/POWER(Tabel1[[#This Row],[k_intr]]*Tabel1[[#This Row],[L_kwelweg]],1/3))*POWER(Tabel1[[#This Row],[d70]]/Tabel1[[#This Row],[d70_m]],0.4)</f>
        <v>0.10020022144213257</v>
      </c>
      <c r="AZ8" s="7">
        <f>0.91*POWER(Tabel1[[#This Row],[D_wvp]]/Tabel1[[#This Row],[L_kwelweg]],(0.28/(POWER(Tabel1[[#This Row],[D_wvp]]/Tabel1[[#This Row],[L_kwelweg]],2.8)-1))+0.04)</f>
        <v>1.3455605895093528</v>
      </c>
      <c r="BA8" s="8">
        <f>Tabel1[[#This Row],[L_kwelweg]]*Tabel1[[#This Row],[F_resis]]*Tabel1[[#This Row],[F_scale]]*Tabel1[[#This Row],[F_geom]]</f>
        <v>10.471654472727607</v>
      </c>
      <c r="BB8" s="3">
        <f>Tabel1[[#This Row],[modelfactor_u]]*Tabel1[[#This Row],[dphi_c_u]]-(Tabel1[[#This Row],[phi_exit]]-Tabel1[[#This Row],[h_exit]])</f>
        <v>-4.8992478053534159</v>
      </c>
      <c r="BC8" s="3">
        <f>Tabel1[[#This Row],[modelfactor_h]]*Tabel1[[#This Row],[i_c_h]]-Tabel1[[#This Row],[i_exit]]</f>
        <v>-10.180452797251174</v>
      </c>
      <c r="BD8" s="3">
        <f>Tabel1[[#This Row],[modelfactor_p]]*Tabel1[[#This Row],[dh_c]]-Tabel1[[#This Row],[dh_red]]</f>
        <v>1.5716544727276069</v>
      </c>
      <c r="BE8" s="3">
        <f>MAX(Tabel1[[#This Row],[z_u]],Tabel1[[#This Row],[z_h]],Tabel1[[#This Row],[z_p]])</f>
        <v>1.5716544727276069</v>
      </c>
    </row>
    <row r="9" spans="1:57" x14ac:dyDescent="0.25">
      <c r="A9" s="2">
        <v>200</v>
      </c>
      <c r="B9" s="1">
        <v>114.940110239167</v>
      </c>
      <c r="C9" s="1">
        <v>20.463714348099199</v>
      </c>
      <c r="D9" s="3">
        <v>2500</v>
      </c>
      <c r="E9" s="4">
        <v>2.4669041633606001</v>
      </c>
      <c r="F9" s="5">
        <v>0.35</v>
      </c>
      <c r="G9" s="5">
        <v>-1</v>
      </c>
      <c r="H9" s="1">
        <v>16.5</v>
      </c>
      <c r="I9" s="1">
        <v>9.81</v>
      </c>
      <c r="J9" s="3">
        <v>1630</v>
      </c>
      <c r="K9" s="3">
        <v>50</v>
      </c>
      <c r="L9" s="6">
        <v>2.7999999999999998E-4</v>
      </c>
      <c r="M9" s="3">
        <v>10</v>
      </c>
      <c r="N9" s="3">
        <f>Tabel1[[#This Row],[polderpeil]]</f>
        <v>0.35</v>
      </c>
      <c r="O9" s="3">
        <f>Tabel1[[#This Row],[polderpeil]]</f>
        <v>0.35</v>
      </c>
      <c r="P9" s="3">
        <v>115</v>
      </c>
      <c r="Q9" s="3">
        <v>1</v>
      </c>
      <c r="R9" s="3">
        <v>1</v>
      </c>
      <c r="S9" s="3">
        <v>1</v>
      </c>
      <c r="T9" s="3">
        <v>1</v>
      </c>
      <c r="U9" s="3">
        <v>1</v>
      </c>
      <c r="V9" s="3">
        <v>1</v>
      </c>
      <c r="W9" s="3">
        <v>1</v>
      </c>
      <c r="X9" s="3">
        <v>0.3</v>
      </c>
      <c r="Y9" s="3">
        <v>0.3</v>
      </c>
      <c r="Z9" s="5">
        <v>8.0399999999999991</v>
      </c>
      <c r="AA9" s="3">
        <f>MAX(Tabel1[[#This Row],[mv_exit]]-Tabel1[[#This Row],[top_zand]],0.1)</f>
        <v>3.4669041633606001</v>
      </c>
      <c r="AB9" s="3">
        <f>MAX(Tabel1[[#This Row],[polderpeil]],Tabel1[[#This Row],[mv_exit]])</f>
        <v>2.4669041633606001</v>
      </c>
      <c r="AC9" s="3">
        <f>Tabel1[[#This Row],[d_deklaag]]*(Tabel1[[#This Row],[gamma_sat_deklaag]]-Tabel1[[#This Row],[gamma_water]])/Tabel1[[#This Row],[gamma_water]]</f>
        <v>2.3642802092642623</v>
      </c>
      <c r="AD9" s="5">
        <f>Tabel1[[#This Row],[buitenwaterstand]]-Tabel1[[#This Row],[h_exit]]-Tabel1[[#This Row],[r_c_deklaag]]*Tabel1[[#This Row],[d_deklaag]]</f>
        <v>4.5330245876312194</v>
      </c>
      <c r="AE9" s="3">
        <f>Tabel1[[#This Row],[kD_wvp]]/Tabel1[[#This Row],[D_wvp]]</f>
        <v>32.6</v>
      </c>
      <c r="AF9" s="3">
        <f>Tabel1[[#This Row],[L_intrede]]-Tabel1[[#This Row],[L_but]]</f>
        <v>85.059889760833002</v>
      </c>
      <c r="AG9" s="3">
        <f>Tabel1[[#This Row],[L_but]]-Tabel1[[#This Row],[L_bit]]</f>
        <v>94.476395891067796</v>
      </c>
      <c r="AH9" s="3">
        <f>SQRT(Tabel1[[#This Row],[kD_wvp]]*Tabel1[[#This Row],[c_voorland]])</f>
        <v>127.67145334803705</v>
      </c>
      <c r="AI9" s="3">
        <f>SQRT(Tabel1[[#This Row],[kD_wvp]]*Tabel1[[#This Row],[c_achterland]])</f>
        <v>432.95496301578527</v>
      </c>
      <c r="AJ9" s="3">
        <f>Tabel1[[#This Row],[lambda_voorland]]*TANH(Tabel1[[#This Row],[L_voorland]]/Tabel1[[#This Row],[lambda_voorland]])</f>
        <v>74.368804655055484</v>
      </c>
      <c r="AK9" s="3">
        <f>Tabel1[[#This Row],[lambda_achterland]]*TANH(Tabel1[[#This Row],[L_achterland]]/Tabel1[[#This Row],[lambda_achterland]])</f>
        <v>432.94660700421719</v>
      </c>
      <c r="AL9" s="3">
        <f>Tabel1[[#This Row],[W_achterland]]/(Tabel1[[#This Row],[W_voorland]]+Tabel1[[#This Row],[L2]]+Tabel1[[#This Row],[W_achterland]])</f>
        <v>0.71942921384485736</v>
      </c>
      <c r="AM9" s="3">
        <f>Tabel1[[#This Row],[r_bit]]*SINH((Tabel1[[#This Row],[L_achterland]]-Tabel1[[#This Row],[L_bit]])/Tabel1[[#This Row],[lambda_achterland]])/SINH(Tabel1[[#This Row],[L_achterland]]/Tabel1[[#This Row],[lambda_achterland]])</f>
        <v>0.68621566303288339</v>
      </c>
      <c r="AN9" s="3">
        <f>Tabel1[[#This Row],[polderpeil]]+(Tabel1[[#This Row],[buitenwaterstand]]-Tabel1[[#This Row],[polderpeil]])*Tabel1[[#This Row],[r_exit]]</f>
        <v>5.6269984487228726</v>
      </c>
      <c r="AO9" s="3">
        <f>Tabel1[[#This Row],[L_but]]+Tabel1[[#This Row],[W_voorland]]</f>
        <v>189.30891489422248</v>
      </c>
      <c r="AP9" s="3">
        <f>(Tabel1[[#This Row],[phi_exit]]-Tabel1[[#This Row],[h_exit]])/Tabel1[[#This Row],[d_deklaag]]</f>
        <v>0.91150321337382301</v>
      </c>
      <c r="AQ9" s="9">
        <v>2.0799999999999999E-4</v>
      </c>
      <c r="AR9" s="3">
        <v>26</v>
      </c>
      <c r="AS9" s="9">
        <v>1.33E-6</v>
      </c>
      <c r="AT9" s="3">
        <v>37</v>
      </c>
      <c r="AU9" s="3">
        <v>0.25</v>
      </c>
      <c r="AV9" s="3">
        <v>9.81</v>
      </c>
      <c r="AW9" s="7">
        <f>Tabel1[[#This Row],[v]]/Tabel1[[#This Row],[g]]*(Tabel1[[#This Row],[k_wvp]]/(24*3600))</f>
        <v>5.1154811794465203E-11</v>
      </c>
      <c r="AX9" s="7">
        <f>Tabel1[[#This Row],[eta]]*((Tabel1[[#This Row],[gamma_korrel]]-Tabel1[[#This Row],[gamma_water]])/Tabel1[[#This Row],[gamma_water]])*TAN(Tabel1[[#This Row],[theta]]*PI()/180)</f>
        <v>0.31090825869429756</v>
      </c>
      <c r="AY9" s="7">
        <f>(Tabel1[[#This Row],[d70_m]]/POWER(Tabel1[[#This Row],[k_intr]]*Tabel1[[#This Row],[L_kwelweg]],1/3))*POWER(Tabel1[[#This Row],[d70]]/Tabel1[[#This Row],[d70_m]],0.4)</f>
        <v>0.10990447121533863</v>
      </c>
      <c r="AZ9" s="7">
        <f>0.91*POWER(Tabel1[[#This Row],[D_wvp]]/Tabel1[[#This Row],[L_kwelweg]],(0.28/(POWER(Tabel1[[#This Row],[D_wvp]]/Tabel1[[#This Row],[L_kwelweg]],2.8)-1))+0.04)</f>
        <v>1.2641495874596611</v>
      </c>
      <c r="BA9" s="8">
        <f>Tabel1[[#This Row],[L_kwelweg]]*Tabel1[[#This Row],[F_resis]]*Tabel1[[#This Row],[F_scale]]*Tabel1[[#This Row],[F_geom]]</f>
        <v>8.1774359823973484</v>
      </c>
      <c r="BB9" s="3">
        <f>Tabel1[[#This Row],[modelfactor_u]]*Tabel1[[#This Row],[dphi_c_u]]-(Tabel1[[#This Row],[phi_exit]]-Tabel1[[#This Row],[h_exit]])</f>
        <v>-0.79581407609801014</v>
      </c>
      <c r="BC9" s="3">
        <f>Tabel1[[#This Row],[modelfactor_h]]*Tabel1[[#This Row],[i_c_h]]-Tabel1[[#This Row],[i_exit]]</f>
        <v>-0.61150321337382296</v>
      </c>
      <c r="BD9" s="3">
        <f>Tabel1[[#This Row],[modelfactor_p]]*Tabel1[[#This Row],[dh_c]]-Tabel1[[#This Row],[dh_red]]</f>
        <v>3.644411394766129</v>
      </c>
      <c r="BE9" s="3">
        <f>MAX(Tabel1[[#This Row],[z_u]],Tabel1[[#This Row],[z_h]],Tabel1[[#This Row],[z_p]])</f>
        <v>3.644411394766129</v>
      </c>
    </row>
    <row r="10" spans="1:57" x14ac:dyDescent="0.25">
      <c r="A10" s="2">
        <v>258.23925355040097</v>
      </c>
      <c r="B10" s="1">
        <v>141.815303159428</v>
      </c>
      <c r="C10" s="1">
        <v>72.206973453775305</v>
      </c>
      <c r="D10" s="3">
        <v>2500</v>
      </c>
      <c r="E10" s="4">
        <v>-1</v>
      </c>
      <c r="F10" s="5">
        <v>-0.5</v>
      </c>
      <c r="G10" s="5">
        <v>-2</v>
      </c>
      <c r="H10" s="1">
        <v>16</v>
      </c>
      <c r="I10" s="1">
        <v>9.81</v>
      </c>
      <c r="J10" s="3">
        <v>97.5</v>
      </c>
      <c r="K10" s="3">
        <v>6.5</v>
      </c>
      <c r="L10" s="6">
        <v>2.5999999999999998E-4</v>
      </c>
      <c r="M10" s="3">
        <v>10</v>
      </c>
      <c r="N10" s="3">
        <f>Tabel1[[#This Row],[polderpeil]]</f>
        <v>-0.5</v>
      </c>
      <c r="O10" s="3">
        <f>Tabel1[[#This Row],[polderpeil]]</f>
        <v>-0.5</v>
      </c>
      <c r="P10" s="3">
        <v>195</v>
      </c>
      <c r="Q10" s="3">
        <v>1</v>
      </c>
      <c r="R10" s="3">
        <v>1</v>
      </c>
      <c r="S10" s="3">
        <v>1</v>
      </c>
      <c r="T10" s="3">
        <v>1</v>
      </c>
      <c r="U10" s="3">
        <v>1</v>
      </c>
      <c r="V10" s="3">
        <v>1</v>
      </c>
      <c r="W10" s="3">
        <v>1</v>
      </c>
      <c r="X10" s="3">
        <v>0.3</v>
      </c>
      <c r="Y10" s="3">
        <v>0.3</v>
      </c>
      <c r="Z10" s="5">
        <v>8.5</v>
      </c>
      <c r="AA10" s="3">
        <f>MAX(Tabel1[[#This Row],[mv_exit]]-Tabel1[[#This Row],[top_zand]],0.1)</f>
        <v>1</v>
      </c>
      <c r="AB10" s="3">
        <f>MAX(Tabel1[[#This Row],[polderpeil]],Tabel1[[#This Row],[mv_exit]])</f>
        <v>-0.5</v>
      </c>
      <c r="AC10" s="3">
        <f>Tabel1[[#This Row],[d_deklaag]]*(Tabel1[[#This Row],[gamma_sat_deklaag]]-Tabel1[[#This Row],[gamma_water]])/Tabel1[[#This Row],[gamma_water]]</f>
        <v>0.6309887869520896</v>
      </c>
      <c r="AD10" s="5">
        <f>Tabel1[[#This Row],[buitenwaterstand]]-Tabel1[[#This Row],[h_exit]]-Tabel1[[#This Row],[r_c_deklaag]]*Tabel1[[#This Row],[d_deklaag]]</f>
        <v>8.6999999999999993</v>
      </c>
      <c r="AE10" s="3">
        <f>Tabel1[[#This Row],[kD_wvp]]/Tabel1[[#This Row],[D_wvp]]</f>
        <v>15</v>
      </c>
      <c r="AF10" s="3">
        <f>Tabel1[[#This Row],[L_intrede]]-Tabel1[[#This Row],[L_but]]</f>
        <v>116.42395039097298</v>
      </c>
      <c r="AG10" s="3">
        <f>Tabel1[[#This Row],[L_but]]-Tabel1[[#This Row],[L_bit]]</f>
        <v>69.608329705652693</v>
      </c>
      <c r="AH10" s="3">
        <f>SQRT(Tabel1[[#This Row],[kD_wvp]]*Tabel1[[#This Row],[c_voorland]])</f>
        <v>31.22498999199199</v>
      </c>
      <c r="AI10" s="3">
        <f>SQRT(Tabel1[[#This Row],[kD_wvp]]*Tabel1[[#This Row],[c_achterland]])</f>
        <v>137.88582233137677</v>
      </c>
      <c r="AJ10" s="3">
        <f>Tabel1[[#This Row],[lambda_voorland]]*TANH(Tabel1[[#This Row],[L_voorland]]/Tabel1[[#This Row],[lambda_voorland]])</f>
        <v>31.188956705348765</v>
      </c>
      <c r="AK10" s="3">
        <f>Tabel1[[#This Row],[lambda_achterland]]*TANH(Tabel1[[#This Row],[L_achterland]]/Tabel1[[#This Row],[lambda_achterland]])</f>
        <v>137.88582233137672</v>
      </c>
      <c r="AL10" s="3">
        <f>Tabel1[[#This Row],[W_achterland]]/(Tabel1[[#This Row],[W_voorland]]+Tabel1[[#This Row],[L2]]+Tabel1[[#This Row],[W_achterland]])</f>
        <v>0.57769409430729057</v>
      </c>
      <c r="AM10" s="3">
        <f>Tabel1[[#This Row],[r_bit]]*SINH((Tabel1[[#This Row],[L_achterland]]-Tabel1[[#This Row],[L_bit]])/Tabel1[[#This Row],[lambda_achterland]])/SINH(Tabel1[[#This Row],[L_achterland]]/Tabel1[[#This Row],[lambda_achterland]])</f>
        <v>0.34219209782126397</v>
      </c>
      <c r="AN10" s="3">
        <f>Tabel1[[#This Row],[polderpeil]]+(Tabel1[[#This Row],[buitenwaterstand]]-Tabel1[[#This Row],[polderpeil]])*Tabel1[[#This Row],[r_exit]]</f>
        <v>2.5797288803913756</v>
      </c>
      <c r="AO10" s="3">
        <f>Tabel1[[#This Row],[L_but]]+Tabel1[[#This Row],[W_voorland]]</f>
        <v>173.00425986477677</v>
      </c>
      <c r="AP10" s="3">
        <f>(Tabel1[[#This Row],[phi_exit]]-Tabel1[[#This Row],[h_exit]])/Tabel1[[#This Row],[d_deklaag]]</f>
        <v>3.0797288803913756</v>
      </c>
      <c r="AQ10" s="9">
        <v>2.0799999999999999E-4</v>
      </c>
      <c r="AR10" s="3">
        <v>26</v>
      </c>
      <c r="AS10" s="9">
        <v>1.33E-6</v>
      </c>
      <c r="AT10" s="3">
        <v>37</v>
      </c>
      <c r="AU10" s="3">
        <v>0.25</v>
      </c>
      <c r="AV10" s="3">
        <v>9.81</v>
      </c>
      <c r="AW10" s="7">
        <f>Tabel1[[#This Row],[v]]/Tabel1[[#This Row],[g]]*(Tabel1[[#This Row],[k_wvp]]/(24*3600))</f>
        <v>2.3537490089477858E-11</v>
      </c>
      <c r="AX10" s="7">
        <f>Tabel1[[#This Row],[eta]]*((Tabel1[[#This Row],[gamma_korrel]]-Tabel1[[#This Row],[gamma_water]])/Tabel1[[#This Row],[gamma_water]])*TAN(Tabel1[[#This Row],[theta]]*PI()/180)</f>
        <v>0.31090825869429756</v>
      </c>
      <c r="AY10" s="7">
        <f>(Tabel1[[#This Row],[d70_m]]/POWER(Tabel1[[#This Row],[k_intr]]*Tabel1[[#This Row],[L_kwelweg]],1/3))*POWER(Tabel1[[#This Row],[d70]]/Tabel1[[#This Row],[d70_m]],0.4)</f>
        <v>0.14241476727105973</v>
      </c>
      <c r="AZ10" s="7">
        <f>0.91*POWER(Tabel1[[#This Row],[D_wvp]]/Tabel1[[#This Row],[L_kwelweg]],(0.28/(POWER(Tabel1[[#This Row],[D_wvp]]/Tabel1[[#This Row],[L_kwelweg]],2.8)-1))+0.04)</f>
        <v>2.000398949905672</v>
      </c>
      <c r="BA10" s="8">
        <f>Tabel1[[#This Row],[L_kwelweg]]*Tabel1[[#This Row],[F_resis]]*Tabel1[[#This Row],[F_scale]]*Tabel1[[#This Row],[F_geom]]</f>
        <v>15.323596147367567</v>
      </c>
      <c r="BB10" s="3">
        <f>Tabel1[[#This Row],[modelfactor_u]]*Tabel1[[#This Row],[dphi_c_u]]-(Tabel1[[#This Row],[phi_exit]]-Tabel1[[#This Row],[h_exit]])</f>
        <v>-2.448740093439286</v>
      </c>
      <c r="BC10" s="3">
        <f>Tabel1[[#This Row],[modelfactor_h]]*Tabel1[[#This Row],[i_c_h]]-Tabel1[[#This Row],[i_exit]]</f>
        <v>-2.7797288803913758</v>
      </c>
      <c r="BD10" s="3">
        <f>Tabel1[[#This Row],[modelfactor_p]]*Tabel1[[#This Row],[dh_c]]-Tabel1[[#This Row],[dh_red]]</f>
        <v>6.623596147367568</v>
      </c>
      <c r="BE10" s="3">
        <f>MAX(Tabel1[[#This Row],[z_u]],Tabel1[[#This Row],[z_h]],Tabel1[[#This Row],[z_p]])</f>
        <v>6.623596147367568</v>
      </c>
    </row>
    <row r="11" spans="1:57" x14ac:dyDescent="0.25">
      <c r="A11" s="2">
        <v>150</v>
      </c>
      <c r="B11" s="1">
        <v>122.44665168230701</v>
      </c>
      <c r="C11" s="1">
        <v>52.4593241048035</v>
      </c>
      <c r="D11" s="3">
        <v>2500</v>
      </c>
      <c r="E11" s="4">
        <v>0.76708787679672197</v>
      </c>
      <c r="F11" s="5">
        <v>-0.5</v>
      </c>
      <c r="G11" s="5">
        <v>-2</v>
      </c>
      <c r="H11" s="1">
        <v>16</v>
      </c>
      <c r="I11" s="1">
        <v>9.81</v>
      </c>
      <c r="J11" s="3">
        <v>97.5</v>
      </c>
      <c r="K11" s="3">
        <v>6.5</v>
      </c>
      <c r="L11" s="6">
        <v>2.5999999999999998E-4</v>
      </c>
      <c r="M11" s="3">
        <v>10</v>
      </c>
      <c r="N11" s="3">
        <f>Tabel1[[#This Row],[polderpeil]]</f>
        <v>-0.5</v>
      </c>
      <c r="O11" s="3">
        <f>Tabel1[[#This Row],[polderpeil]]</f>
        <v>-0.5</v>
      </c>
      <c r="P11" s="3">
        <v>195</v>
      </c>
      <c r="Q11" s="3">
        <v>1</v>
      </c>
      <c r="R11" s="3">
        <v>1</v>
      </c>
      <c r="S11" s="3">
        <v>1</v>
      </c>
      <c r="T11" s="3">
        <v>1</v>
      </c>
      <c r="U11" s="3">
        <v>1</v>
      </c>
      <c r="V11" s="3">
        <v>1</v>
      </c>
      <c r="W11" s="3">
        <v>1</v>
      </c>
      <c r="X11" s="3">
        <v>0.3</v>
      </c>
      <c r="Y11" s="3">
        <v>0.3</v>
      </c>
      <c r="Z11" s="5">
        <v>8.5</v>
      </c>
      <c r="AA11" s="3">
        <f>MAX(Tabel1[[#This Row],[mv_exit]]-Tabel1[[#This Row],[top_zand]],0.1)</f>
        <v>2.767087876796722</v>
      </c>
      <c r="AB11" s="3">
        <f>MAX(Tabel1[[#This Row],[polderpeil]],Tabel1[[#This Row],[mv_exit]])</f>
        <v>0.76708787679672197</v>
      </c>
      <c r="AC11" s="3">
        <f>Tabel1[[#This Row],[d_deklaag]]*(Tabel1[[#This Row],[gamma_sat_deklaag]]-Tabel1[[#This Row],[gamma_water]])/Tabel1[[#This Row],[gamma_water]]</f>
        <v>1.7460014227697969</v>
      </c>
      <c r="AD11" s="5">
        <f>Tabel1[[#This Row],[buitenwaterstand]]-Tabel1[[#This Row],[h_exit]]-Tabel1[[#This Row],[r_c_deklaag]]*Tabel1[[#This Row],[d_deklaag]]</f>
        <v>6.902785760164261</v>
      </c>
      <c r="AE11" s="3">
        <f>Tabel1[[#This Row],[kD_wvp]]/Tabel1[[#This Row],[D_wvp]]</f>
        <v>15</v>
      </c>
      <c r="AF11" s="3">
        <f>Tabel1[[#This Row],[L_intrede]]-Tabel1[[#This Row],[L_but]]</f>
        <v>27.553348317692993</v>
      </c>
      <c r="AG11" s="3">
        <f>Tabel1[[#This Row],[L_but]]-Tabel1[[#This Row],[L_bit]]</f>
        <v>69.987327577503507</v>
      </c>
      <c r="AH11" s="3">
        <f>SQRT(Tabel1[[#This Row],[kD_wvp]]*Tabel1[[#This Row],[c_voorland]])</f>
        <v>31.22498999199199</v>
      </c>
      <c r="AI11" s="3">
        <f>SQRT(Tabel1[[#This Row],[kD_wvp]]*Tabel1[[#This Row],[c_achterland]])</f>
        <v>137.88582233137677</v>
      </c>
      <c r="AJ11" s="3">
        <f>Tabel1[[#This Row],[lambda_voorland]]*TANH(Tabel1[[#This Row],[L_voorland]]/Tabel1[[#This Row],[lambda_voorland]])</f>
        <v>22.095623675331947</v>
      </c>
      <c r="AK11" s="3">
        <f>Tabel1[[#This Row],[lambda_achterland]]*TANH(Tabel1[[#This Row],[L_achterland]]/Tabel1[[#This Row],[lambda_achterland]])</f>
        <v>137.88582233137672</v>
      </c>
      <c r="AL11" s="3">
        <f>Tabel1[[#This Row],[W_achterland]]/(Tabel1[[#This Row],[W_voorland]]+Tabel1[[#This Row],[L2]]+Tabel1[[#This Row],[W_achterland]])</f>
        <v>0.59958497922277421</v>
      </c>
      <c r="AM11" s="3">
        <f>Tabel1[[#This Row],[r_bit]]*SINH((Tabel1[[#This Row],[L_achterland]]-Tabel1[[#This Row],[L_bit]])/Tabel1[[#This Row],[lambda_achterland]])/SINH(Tabel1[[#This Row],[L_achterland]]/Tabel1[[#This Row],[lambda_achterland]])</f>
        <v>0.40984658480319103</v>
      </c>
      <c r="AN11" s="3">
        <f>Tabel1[[#This Row],[polderpeil]]+(Tabel1[[#This Row],[buitenwaterstand]]-Tabel1[[#This Row],[polderpeil]])*Tabel1[[#This Row],[r_exit]]</f>
        <v>3.1886192632287194</v>
      </c>
      <c r="AO11" s="3">
        <f>Tabel1[[#This Row],[L_but]]+Tabel1[[#This Row],[W_voorland]]</f>
        <v>144.54227535763894</v>
      </c>
      <c r="AP11" s="3">
        <f>(Tabel1[[#This Row],[phi_exit]]-Tabel1[[#This Row],[h_exit]])/Tabel1[[#This Row],[d_deklaag]]</f>
        <v>0.87511907617305129</v>
      </c>
      <c r="AQ11" s="9">
        <v>2.0799999999999999E-4</v>
      </c>
      <c r="AR11" s="3">
        <v>26</v>
      </c>
      <c r="AS11" s="9">
        <v>1.33E-6</v>
      </c>
      <c r="AT11" s="3">
        <v>37</v>
      </c>
      <c r="AU11" s="3">
        <v>0.25</v>
      </c>
      <c r="AV11" s="3">
        <v>9.81</v>
      </c>
      <c r="AW11" s="7">
        <f>Tabel1[[#This Row],[v]]/Tabel1[[#This Row],[g]]*(Tabel1[[#This Row],[k_wvp]]/(24*3600))</f>
        <v>2.3537490089477858E-11</v>
      </c>
      <c r="AX11" s="7">
        <f>Tabel1[[#This Row],[eta]]*((Tabel1[[#This Row],[gamma_korrel]]-Tabel1[[#This Row],[gamma_water]])/Tabel1[[#This Row],[gamma_water]])*TAN(Tabel1[[#This Row],[theta]]*PI()/180)</f>
        <v>0.31090825869429756</v>
      </c>
      <c r="AY11" s="7">
        <f>(Tabel1[[#This Row],[d70_m]]/POWER(Tabel1[[#This Row],[k_intr]]*Tabel1[[#This Row],[L_kwelweg]],1/3))*POWER(Tabel1[[#This Row],[d70]]/Tabel1[[#This Row],[d70_m]],0.4)</f>
        <v>0.15120831056862452</v>
      </c>
      <c r="AZ11" s="7">
        <f>0.91*POWER(Tabel1[[#This Row],[D_wvp]]/Tabel1[[#This Row],[L_kwelweg]],(0.28/(POWER(Tabel1[[#This Row],[D_wvp]]/Tabel1[[#This Row],[L_kwelweg]],2.8)-1))+0.04)</f>
        <v>1.9160408153349258</v>
      </c>
      <c r="BA11" s="8">
        <f>Tabel1[[#This Row],[L_kwelweg]]*Tabel1[[#This Row],[F_resis]]*Tabel1[[#This Row],[F_scale]]*Tabel1[[#This Row],[F_geom]]</f>
        <v>13.019897423512134</v>
      </c>
      <c r="BB11" s="3">
        <f>Tabel1[[#This Row],[modelfactor_u]]*Tabel1[[#This Row],[dphi_c_u]]-(Tabel1[[#This Row],[phi_exit]]-Tabel1[[#This Row],[h_exit]])</f>
        <v>-0.67552996366220053</v>
      </c>
      <c r="BC11" s="3">
        <f>Tabel1[[#This Row],[modelfactor_h]]*Tabel1[[#This Row],[i_c_h]]-Tabel1[[#This Row],[i_exit]]</f>
        <v>-0.57511907617305136</v>
      </c>
      <c r="BD11" s="3">
        <f>Tabel1[[#This Row],[modelfactor_p]]*Tabel1[[#This Row],[dh_c]]-Tabel1[[#This Row],[dh_red]]</f>
        <v>6.117111663347873</v>
      </c>
      <c r="BE11" s="3">
        <f>MAX(Tabel1[[#This Row],[z_u]],Tabel1[[#This Row],[z_h]],Tabel1[[#This Row],[z_p]])</f>
        <v>6.117111663347873</v>
      </c>
    </row>
    <row r="12" spans="1:57" x14ac:dyDescent="0.25">
      <c r="A12" s="2">
        <v>250</v>
      </c>
      <c r="B12" s="1">
        <v>228.928699083384</v>
      </c>
      <c r="C12" s="1">
        <v>133.69022608030599</v>
      </c>
      <c r="D12" s="3">
        <v>2500</v>
      </c>
      <c r="E12" s="4">
        <v>-0.5</v>
      </c>
      <c r="F12" s="5">
        <v>0.35</v>
      </c>
      <c r="G12" s="5">
        <v>-1</v>
      </c>
      <c r="H12" s="1">
        <v>16.5</v>
      </c>
      <c r="I12" s="1">
        <v>9.81</v>
      </c>
      <c r="J12" s="3">
        <v>90</v>
      </c>
      <c r="K12" s="3">
        <v>6</v>
      </c>
      <c r="L12" s="6">
        <v>2.7999999999999998E-4</v>
      </c>
      <c r="M12" s="3">
        <v>10</v>
      </c>
      <c r="N12" s="3">
        <f>Tabel1[[#This Row],[polderpeil]]</f>
        <v>0.35</v>
      </c>
      <c r="O12" s="3">
        <f>Tabel1[[#This Row],[polderpeil]]</f>
        <v>0.35</v>
      </c>
      <c r="P12" s="3">
        <v>115</v>
      </c>
      <c r="Q12" s="3">
        <v>1</v>
      </c>
      <c r="R12" s="3">
        <v>1</v>
      </c>
      <c r="S12" s="3">
        <v>1</v>
      </c>
      <c r="T12" s="3">
        <v>1</v>
      </c>
      <c r="U12" s="3">
        <v>1</v>
      </c>
      <c r="V12" s="3">
        <v>1</v>
      </c>
      <c r="W12" s="3">
        <v>1</v>
      </c>
      <c r="X12" s="3">
        <v>0.3</v>
      </c>
      <c r="Y12" s="3">
        <v>0.3</v>
      </c>
      <c r="Z12" s="5">
        <v>9.4</v>
      </c>
      <c r="AA12" s="3">
        <f>MAX(Tabel1[[#This Row],[mv_exit]]-Tabel1[[#This Row],[top_zand]],0.1)</f>
        <v>0.5</v>
      </c>
      <c r="AB12" s="3">
        <f>MAX(Tabel1[[#This Row],[polderpeil]],Tabel1[[#This Row],[mv_exit]])</f>
        <v>0.35</v>
      </c>
      <c r="AC12" s="3">
        <f>Tabel1[[#This Row],[d_deklaag]]*(Tabel1[[#This Row],[gamma_sat_deklaag]]-Tabel1[[#This Row],[gamma_water]])/Tabel1[[#This Row],[gamma_water]]</f>
        <v>0.34097859327217123</v>
      </c>
      <c r="AD12" s="5">
        <f>Tabel1[[#This Row],[buitenwaterstand]]-Tabel1[[#This Row],[h_exit]]-Tabel1[[#This Row],[r_c_deklaag]]*Tabel1[[#This Row],[d_deklaag]]</f>
        <v>8.9</v>
      </c>
      <c r="AE12" s="3">
        <f>Tabel1[[#This Row],[kD_wvp]]/Tabel1[[#This Row],[D_wvp]]</f>
        <v>15</v>
      </c>
      <c r="AF12" s="3">
        <f>Tabel1[[#This Row],[L_intrede]]-Tabel1[[#This Row],[L_but]]</f>
        <v>21.071300916615996</v>
      </c>
      <c r="AG12" s="3">
        <f>Tabel1[[#This Row],[L_but]]-Tabel1[[#This Row],[L_bit]]</f>
        <v>95.238473003078013</v>
      </c>
      <c r="AH12" s="3">
        <f>SQRT(Tabel1[[#This Row],[kD_wvp]]*Tabel1[[#This Row],[c_voorland]])</f>
        <v>30</v>
      </c>
      <c r="AI12" s="3">
        <f>SQRT(Tabel1[[#This Row],[kD_wvp]]*Tabel1[[#This Row],[c_achterland]])</f>
        <v>101.73494974687902</v>
      </c>
      <c r="AJ12" s="3">
        <f>Tabel1[[#This Row],[lambda_voorland]]*TANH(Tabel1[[#This Row],[L_voorland]]/Tabel1[[#This Row],[lambda_voorland]])</f>
        <v>18.17622582850721</v>
      </c>
      <c r="AK12" s="3">
        <f>Tabel1[[#This Row],[lambda_achterland]]*TANH(Tabel1[[#This Row],[L_achterland]]/Tabel1[[#This Row],[lambda_achterland]])</f>
        <v>101.73494974687902</v>
      </c>
      <c r="AL12" s="3">
        <f>Tabel1[[#This Row],[W_achterland]]/(Tabel1[[#This Row],[W_voorland]]+Tabel1[[#This Row],[L2]]+Tabel1[[#This Row],[W_achterland]])</f>
        <v>0.47285668565606176</v>
      </c>
      <c r="AM12" s="3">
        <f>Tabel1[[#This Row],[r_bit]]*SINH((Tabel1[[#This Row],[L_achterland]]-Tabel1[[#This Row],[L_bit]])/Tabel1[[#This Row],[lambda_achterland]])/SINH(Tabel1[[#This Row],[L_achterland]]/Tabel1[[#This Row],[lambda_achterland]])</f>
        <v>0.12706377455739629</v>
      </c>
      <c r="AN12" s="3">
        <f>Tabel1[[#This Row],[polderpeil]]+(Tabel1[[#This Row],[buitenwaterstand]]-Tabel1[[#This Row],[polderpeil]])*Tabel1[[#This Row],[r_exit]]</f>
        <v>1.4999271597444364</v>
      </c>
      <c r="AO12" s="3">
        <f>Tabel1[[#This Row],[L_but]]+Tabel1[[#This Row],[W_voorland]]</f>
        <v>247.1049249118912</v>
      </c>
      <c r="AP12" s="3">
        <f>(Tabel1[[#This Row],[phi_exit]]-Tabel1[[#This Row],[h_exit]])/Tabel1[[#This Row],[d_deklaag]]</f>
        <v>2.2998543194888725</v>
      </c>
      <c r="AQ12" s="9">
        <v>2.0799999999999999E-4</v>
      </c>
      <c r="AR12" s="3">
        <v>26</v>
      </c>
      <c r="AS12" s="9">
        <v>1.33E-6</v>
      </c>
      <c r="AT12" s="3">
        <v>37</v>
      </c>
      <c r="AU12" s="3">
        <v>0.25</v>
      </c>
      <c r="AV12" s="3">
        <v>9.81</v>
      </c>
      <c r="AW12" s="7">
        <f>Tabel1[[#This Row],[v]]/Tabel1[[#This Row],[g]]*(Tabel1[[#This Row],[k_wvp]]/(24*3600))</f>
        <v>2.3537490089477858E-11</v>
      </c>
      <c r="AX12" s="7">
        <f>Tabel1[[#This Row],[eta]]*((Tabel1[[#This Row],[gamma_korrel]]-Tabel1[[#This Row],[gamma_water]])/Tabel1[[#This Row],[gamma_water]])*TAN(Tabel1[[#This Row],[theta]]*PI()/180)</f>
        <v>0.31090825869429756</v>
      </c>
      <c r="AY12" s="7">
        <f>(Tabel1[[#This Row],[d70_m]]/POWER(Tabel1[[#This Row],[k_intr]]*Tabel1[[#This Row],[L_kwelweg]],1/3))*POWER(Tabel1[[#This Row],[d70]]/Tabel1[[#This Row],[d70_m]],0.4)</f>
        <v>0.13026288617330295</v>
      </c>
      <c r="AZ12" s="7">
        <f>0.91*POWER(Tabel1[[#This Row],[D_wvp]]/Tabel1[[#This Row],[L_kwelweg]],(0.28/(POWER(Tabel1[[#This Row],[D_wvp]]/Tabel1[[#This Row],[L_kwelweg]],2.8)-1))+0.04)</f>
        <v>2.2212131902979033</v>
      </c>
      <c r="BA12" s="8">
        <f>Tabel1[[#This Row],[L_kwelweg]]*Tabel1[[#This Row],[F_resis]]*Tabel1[[#This Row],[F_scale]]*Tabel1[[#This Row],[F_geom]]</f>
        <v>22.229239232763209</v>
      </c>
      <c r="BB12" s="3">
        <f>Tabel1[[#This Row],[modelfactor_u]]*Tabel1[[#This Row],[dphi_c_u]]-(Tabel1[[#This Row],[phi_exit]]-Tabel1[[#This Row],[h_exit]])</f>
        <v>-0.8089485664722651</v>
      </c>
      <c r="BC12" s="3">
        <f>Tabel1[[#This Row],[modelfactor_h]]*Tabel1[[#This Row],[i_c_h]]-Tabel1[[#This Row],[i_exit]]</f>
        <v>-1.9998543194888725</v>
      </c>
      <c r="BD12" s="3">
        <f>Tabel1[[#This Row],[modelfactor_p]]*Tabel1[[#This Row],[dh_c]]-Tabel1[[#This Row],[dh_red]]</f>
        <v>13.329239232763209</v>
      </c>
      <c r="BE12" s="3">
        <f>MAX(Tabel1[[#This Row],[z_u]],Tabel1[[#This Row],[z_h]],Tabel1[[#This Row],[z_p]])</f>
        <v>13.329239232763209</v>
      </c>
    </row>
    <row r="13" spans="1:57" x14ac:dyDescent="0.25">
      <c r="A13" s="2">
        <v>200</v>
      </c>
      <c r="B13" s="1">
        <v>114.940110239167</v>
      </c>
      <c r="C13" s="1">
        <v>20.463714348099199</v>
      </c>
      <c r="D13" s="3">
        <v>2500</v>
      </c>
      <c r="E13" s="4">
        <v>2.4669041633606001</v>
      </c>
      <c r="F13" s="5">
        <v>0.35</v>
      </c>
      <c r="G13" s="5">
        <v>-1</v>
      </c>
      <c r="H13" s="1">
        <v>16.5</v>
      </c>
      <c r="I13" s="1">
        <v>9.81</v>
      </c>
      <c r="J13" s="3">
        <v>90</v>
      </c>
      <c r="K13" s="3">
        <v>6</v>
      </c>
      <c r="L13" s="6">
        <v>2.7999999999999998E-4</v>
      </c>
      <c r="M13" s="3">
        <v>10</v>
      </c>
      <c r="N13" s="3">
        <f>Tabel1[[#This Row],[polderpeil]]</f>
        <v>0.35</v>
      </c>
      <c r="O13" s="3">
        <f>Tabel1[[#This Row],[polderpeil]]</f>
        <v>0.35</v>
      </c>
      <c r="P13" s="3">
        <v>115</v>
      </c>
      <c r="Q13" s="3">
        <v>1</v>
      </c>
      <c r="R13" s="3">
        <v>1</v>
      </c>
      <c r="S13" s="3">
        <v>1</v>
      </c>
      <c r="T13" s="3">
        <v>1</v>
      </c>
      <c r="U13" s="3">
        <v>1</v>
      </c>
      <c r="V13" s="3">
        <v>1</v>
      </c>
      <c r="W13" s="3">
        <v>1</v>
      </c>
      <c r="X13" s="3">
        <v>0.3</v>
      </c>
      <c r="Y13" s="3">
        <v>0.3</v>
      </c>
      <c r="Z13" s="5">
        <v>8.0399999999999991</v>
      </c>
      <c r="AA13" s="3">
        <f>MAX(Tabel1[[#This Row],[mv_exit]]-Tabel1[[#This Row],[top_zand]],0.1)</f>
        <v>3.4669041633606001</v>
      </c>
      <c r="AB13" s="3">
        <f>MAX(Tabel1[[#This Row],[polderpeil]],Tabel1[[#This Row],[mv_exit]])</f>
        <v>2.4669041633606001</v>
      </c>
      <c r="AC13" s="3">
        <f>Tabel1[[#This Row],[d_deklaag]]*(Tabel1[[#This Row],[gamma_sat_deklaag]]-Tabel1[[#This Row],[gamma_water]])/Tabel1[[#This Row],[gamma_water]]</f>
        <v>2.3642802092642623</v>
      </c>
      <c r="AD13" s="5">
        <f>Tabel1[[#This Row],[buitenwaterstand]]-Tabel1[[#This Row],[h_exit]]-Tabel1[[#This Row],[r_c_deklaag]]*Tabel1[[#This Row],[d_deklaag]]</f>
        <v>4.5330245876312194</v>
      </c>
      <c r="AE13" s="3">
        <f>Tabel1[[#This Row],[kD_wvp]]/Tabel1[[#This Row],[D_wvp]]</f>
        <v>15</v>
      </c>
      <c r="AF13" s="3">
        <f>Tabel1[[#This Row],[L_intrede]]-Tabel1[[#This Row],[L_but]]</f>
        <v>85.059889760833002</v>
      </c>
      <c r="AG13" s="3">
        <f>Tabel1[[#This Row],[L_but]]-Tabel1[[#This Row],[L_bit]]</f>
        <v>94.476395891067796</v>
      </c>
      <c r="AH13" s="3">
        <f>SQRT(Tabel1[[#This Row],[kD_wvp]]*Tabel1[[#This Row],[c_voorland]])</f>
        <v>30</v>
      </c>
      <c r="AI13" s="3">
        <f>SQRT(Tabel1[[#This Row],[kD_wvp]]*Tabel1[[#This Row],[c_achterland]])</f>
        <v>101.73494974687902</v>
      </c>
      <c r="AJ13" s="3">
        <f>Tabel1[[#This Row],[lambda_voorland]]*TANH(Tabel1[[#This Row],[L_voorland]]/Tabel1[[#This Row],[lambda_voorland]])</f>
        <v>29.793974313352017</v>
      </c>
      <c r="AK13" s="3">
        <f>Tabel1[[#This Row],[lambda_achterland]]*TANH(Tabel1[[#This Row],[L_achterland]]/Tabel1[[#This Row],[lambda_achterland]])</f>
        <v>101.73494974687902</v>
      </c>
      <c r="AL13" s="3">
        <f>Tabel1[[#This Row],[W_achterland]]/(Tabel1[[#This Row],[W_voorland]]+Tabel1[[#This Row],[L2]]+Tabel1[[#This Row],[W_achterland]])</f>
        <v>0.45014404868346275</v>
      </c>
      <c r="AM13" s="3">
        <f>Tabel1[[#This Row],[r_bit]]*SINH((Tabel1[[#This Row],[L_achterland]]-Tabel1[[#This Row],[L_bit]])/Tabel1[[#This Row],[lambda_achterland]])/SINH(Tabel1[[#This Row],[L_achterland]]/Tabel1[[#This Row],[lambda_achterland]])</f>
        <v>0.36812417064293468</v>
      </c>
      <c r="AN13" s="3">
        <f>Tabel1[[#This Row],[polderpeil]]+(Tabel1[[#This Row],[buitenwaterstand]]-Tabel1[[#This Row],[polderpeil]])*Tabel1[[#This Row],[r_exit]]</f>
        <v>3.1808748722441678</v>
      </c>
      <c r="AO13" s="3">
        <f>Tabel1[[#This Row],[L_but]]+Tabel1[[#This Row],[W_voorland]]</f>
        <v>144.73408455251902</v>
      </c>
      <c r="AP13" s="3">
        <f>(Tabel1[[#This Row],[phi_exit]]-Tabel1[[#This Row],[h_exit]])/Tabel1[[#This Row],[d_deklaag]]</f>
        <v>0.20593898049708101</v>
      </c>
      <c r="AQ13" s="9">
        <v>2.0799999999999999E-4</v>
      </c>
      <c r="AR13" s="3">
        <v>26</v>
      </c>
      <c r="AS13" s="9">
        <v>1.33E-6</v>
      </c>
      <c r="AT13" s="3">
        <v>37</v>
      </c>
      <c r="AU13" s="3">
        <v>0.25</v>
      </c>
      <c r="AV13" s="3">
        <v>9.81</v>
      </c>
      <c r="AW13" s="7">
        <f>Tabel1[[#This Row],[v]]/Tabel1[[#This Row],[g]]*(Tabel1[[#This Row],[k_wvp]]/(24*3600))</f>
        <v>2.3537490089477858E-11</v>
      </c>
      <c r="AX13" s="7">
        <f>Tabel1[[#This Row],[eta]]*((Tabel1[[#This Row],[gamma_korrel]]-Tabel1[[#This Row],[gamma_water]])/Tabel1[[#This Row],[gamma_water]])*TAN(Tabel1[[#This Row],[theta]]*PI()/180)</f>
        <v>0.31090825869429756</v>
      </c>
      <c r="AY13" s="7">
        <f>(Tabel1[[#This Row],[d70_m]]/POWER(Tabel1[[#This Row],[k_intr]]*Tabel1[[#This Row],[L_kwelweg]],1/3))*POWER(Tabel1[[#This Row],[d70]]/Tabel1[[#This Row],[d70_m]],0.4)</f>
        <v>0.15568886668897616</v>
      </c>
      <c r="AZ13" s="7">
        <f>0.91*POWER(Tabel1[[#This Row],[D_wvp]]/Tabel1[[#This Row],[L_kwelweg]],(0.28/(POWER(Tabel1[[#This Row],[D_wvp]]/Tabel1[[#This Row],[L_kwelweg]],2.8)-1))+0.04)</f>
        <v>1.9537735143414083</v>
      </c>
      <c r="BA13" s="8">
        <f>Tabel1[[#This Row],[L_kwelweg]]*Tabel1[[#This Row],[F_resis]]*Tabel1[[#This Row],[F_scale]]*Tabel1[[#This Row],[F_geom]]</f>
        <v>13.687837862282208</v>
      </c>
      <c r="BB13" s="3">
        <f>Tabel1[[#This Row],[modelfactor_u]]*Tabel1[[#This Row],[dphi_c_u]]-(Tabel1[[#This Row],[phi_exit]]-Tabel1[[#This Row],[h_exit]])</f>
        <v>1.6503095003806947</v>
      </c>
      <c r="BC13" s="3">
        <f>Tabel1[[#This Row],[modelfactor_h]]*Tabel1[[#This Row],[i_c_h]]-Tabel1[[#This Row],[i_exit]]</f>
        <v>9.406101950291898E-2</v>
      </c>
      <c r="BD13" s="3">
        <f>Tabel1[[#This Row],[modelfactor_p]]*Tabel1[[#This Row],[dh_c]]-Tabel1[[#This Row],[dh_red]]</f>
        <v>9.1548132746509889</v>
      </c>
      <c r="BE13" s="3">
        <f>MAX(Tabel1[[#This Row],[z_u]],Tabel1[[#This Row],[z_h]],Tabel1[[#This Row],[z_p]])</f>
        <v>9.1548132746509889</v>
      </c>
    </row>
    <row r="14" spans="1:57" x14ac:dyDescent="0.25">
      <c r="A14" s="2"/>
      <c r="D14" s="3"/>
      <c r="E14" s="4"/>
      <c r="F14" s="5"/>
      <c r="G14" s="5"/>
      <c r="J14" s="3"/>
      <c r="K14" s="3"/>
      <c r="L14" s="6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5"/>
      <c r="AA14" s="3"/>
      <c r="AB14" s="3"/>
      <c r="AC14" s="3"/>
      <c r="AD14" s="5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7"/>
      <c r="AX14" s="7"/>
      <c r="AY14" s="7"/>
      <c r="AZ14" s="7"/>
      <c r="BA14" s="8"/>
      <c r="BB14" s="3"/>
      <c r="BC14" s="3"/>
      <c r="BD14" s="3"/>
      <c r="BE14" s="3"/>
    </row>
    <row r="15" spans="1:57" x14ac:dyDescent="0.25">
      <c r="A15" s="2"/>
      <c r="D15" s="3"/>
      <c r="E15" s="4"/>
      <c r="F15" s="5"/>
      <c r="G15" s="5"/>
      <c r="J15" s="3"/>
      <c r="K15" s="3"/>
      <c r="L15" s="6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5"/>
      <c r="AA15" s="3"/>
      <c r="AB15" s="3"/>
      <c r="AC15" s="3"/>
      <c r="AD15" s="5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7"/>
      <c r="AX15" s="7"/>
      <c r="AY15" s="7"/>
      <c r="AZ15" s="7"/>
      <c r="BA15" s="8"/>
      <c r="BB15" s="3"/>
      <c r="BC15" s="3"/>
      <c r="BD15" s="3"/>
      <c r="BE15" s="3"/>
    </row>
    <row r="16" spans="1:57" x14ac:dyDescent="0.25">
      <c r="A16" s="2"/>
      <c r="D16" s="3"/>
      <c r="E16" s="4"/>
      <c r="F16" s="5"/>
      <c r="G16" s="5"/>
      <c r="J16" s="3"/>
      <c r="K16" s="3"/>
      <c r="L16" s="6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5"/>
      <c r="AA16" s="3"/>
      <c r="AB16" s="3"/>
      <c r="AC16" s="3"/>
      <c r="AD16" s="5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7"/>
      <c r="AX16" s="7"/>
      <c r="AY16" s="7"/>
      <c r="AZ16" s="7"/>
      <c r="BA16" s="8"/>
      <c r="BB16" s="3"/>
      <c r="BC16" s="3"/>
      <c r="BD16" s="3"/>
      <c r="BE16" s="3"/>
    </row>
    <row r="17" spans="1:57" x14ac:dyDescent="0.25">
      <c r="A17" s="2"/>
      <c r="D17" s="3"/>
      <c r="E17" s="4"/>
      <c r="F17" s="5"/>
      <c r="G17" s="5"/>
      <c r="J17" s="3"/>
      <c r="K17" s="3"/>
      <c r="L17" s="6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5"/>
      <c r="AA17" s="3"/>
      <c r="AB17" s="3"/>
      <c r="AC17" s="3"/>
      <c r="AD17" s="5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7"/>
      <c r="AX17" s="7"/>
      <c r="AY17" s="7"/>
      <c r="AZ17" s="7"/>
      <c r="BA17" s="8"/>
      <c r="BB17" s="3"/>
      <c r="BC17" s="3"/>
      <c r="BD17" s="3"/>
      <c r="BE17" s="3"/>
    </row>
    <row r="18" spans="1:57" x14ac:dyDescent="0.25">
      <c r="A18" s="2"/>
      <c r="D18" s="3"/>
      <c r="E18" s="4"/>
      <c r="F18" s="5"/>
      <c r="G18" s="5"/>
      <c r="J18" s="3"/>
      <c r="K18" s="3"/>
      <c r="L18" s="6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5"/>
      <c r="AA18" s="3"/>
      <c r="AB18" s="3"/>
      <c r="AC18" s="3"/>
      <c r="AD18" s="5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7"/>
      <c r="AX18" s="7"/>
      <c r="AY18" s="7"/>
      <c r="AZ18" s="7"/>
      <c r="BA18" s="8"/>
      <c r="BB18" s="3"/>
      <c r="BC18" s="3"/>
      <c r="BD18" s="3"/>
      <c r="BE18" s="3"/>
    </row>
    <row r="19" spans="1:57" x14ac:dyDescent="0.25">
      <c r="A19" s="2"/>
      <c r="D19" s="3"/>
      <c r="E19" s="4"/>
      <c r="F19" s="5"/>
      <c r="G19" s="5"/>
      <c r="J19" s="3"/>
      <c r="K19" s="3"/>
      <c r="L19" s="6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5"/>
      <c r="AA19" s="3"/>
      <c r="AB19" s="3"/>
      <c r="AC19" s="3"/>
      <c r="AD19" s="5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7"/>
      <c r="AX19" s="7"/>
      <c r="AY19" s="7"/>
      <c r="AZ19" s="7"/>
      <c r="BA19" s="8"/>
      <c r="BB19" s="3"/>
      <c r="BC19" s="3"/>
      <c r="BD19" s="3"/>
      <c r="BE19" s="3"/>
    </row>
    <row r="20" spans="1:57" x14ac:dyDescent="0.25">
      <c r="A20" s="2"/>
      <c r="D20" s="3"/>
      <c r="E20" s="4"/>
      <c r="F20" s="5"/>
      <c r="G20" s="5"/>
      <c r="J20" s="3"/>
      <c r="K20" s="3"/>
      <c r="L20" s="6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5"/>
      <c r="AA20" s="3"/>
      <c r="AB20" s="3"/>
      <c r="AC20" s="3"/>
      <c r="AD20" s="5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7"/>
      <c r="AX20" s="7"/>
      <c r="AY20" s="7"/>
      <c r="AZ20" s="7"/>
      <c r="BA20" s="8"/>
      <c r="BB20" s="3"/>
      <c r="BC20" s="3"/>
      <c r="BD20" s="3"/>
      <c r="BE20" s="3"/>
    </row>
    <row r="21" spans="1:57" x14ac:dyDescent="0.25">
      <c r="A21" s="2"/>
      <c r="D21" s="3"/>
      <c r="E21" s="4"/>
      <c r="F21" s="5"/>
      <c r="G21" s="5"/>
      <c r="J21" s="3"/>
      <c r="K21" s="3"/>
      <c r="L21" s="6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5"/>
      <c r="AA21" s="3"/>
      <c r="AB21" s="3"/>
      <c r="AC21" s="3"/>
      <c r="AD21" s="5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7"/>
      <c r="AX21" s="7"/>
      <c r="AY21" s="7"/>
      <c r="AZ21" s="7"/>
      <c r="BA21" s="8"/>
      <c r="BB21" s="3"/>
      <c r="BC21" s="3"/>
      <c r="BD21" s="3"/>
      <c r="BE21" s="3"/>
    </row>
    <row r="22" spans="1:57" x14ac:dyDescent="0.25">
      <c r="A22" s="2"/>
      <c r="D22" s="3"/>
      <c r="E22" s="4"/>
      <c r="F22" s="5"/>
      <c r="G22" s="5"/>
      <c r="J22" s="3"/>
      <c r="K22" s="3"/>
      <c r="L22" s="6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5"/>
      <c r="AA22" s="3"/>
      <c r="AB22" s="3"/>
      <c r="AC22" s="3"/>
      <c r="AD22" s="5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7"/>
      <c r="AX22" s="7"/>
      <c r="AY22" s="7"/>
      <c r="AZ22" s="7"/>
      <c r="BA22" s="8"/>
      <c r="BB22" s="3"/>
      <c r="BC22" s="3"/>
      <c r="BD22" s="3"/>
      <c r="BE22" s="3"/>
    </row>
    <row r="23" spans="1:57" x14ac:dyDescent="0.25">
      <c r="A23" s="2"/>
      <c r="D23" s="3"/>
      <c r="E23" s="4"/>
      <c r="F23" s="5"/>
      <c r="G23" s="5"/>
      <c r="J23" s="3"/>
      <c r="K23" s="3"/>
      <c r="L23" s="6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5"/>
      <c r="AA23" s="3"/>
      <c r="AB23" s="3"/>
      <c r="AC23" s="3"/>
      <c r="AD23" s="5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7"/>
      <c r="AX23" s="7"/>
      <c r="AY23" s="7"/>
      <c r="AZ23" s="7"/>
      <c r="BA23" s="8"/>
      <c r="BB23" s="3"/>
      <c r="BC23" s="3"/>
      <c r="BD23" s="3"/>
      <c r="BE23" s="3"/>
    </row>
    <row r="24" spans="1:57" x14ac:dyDescent="0.25">
      <c r="A24" s="2"/>
      <c r="D24" s="3"/>
      <c r="E24" s="4"/>
      <c r="F24" s="5"/>
      <c r="G24" s="5"/>
      <c r="J24" s="3"/>
      <c r="K24" s="3"/>
      <c r="L24" s="6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5"/>
      <c r="AA24" s="3"/>
      <c r="AB24" s="3"/>
      <c r="AC24" s="3"/>
      <c r="AD24" s="5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7"/>
      <c r="AX24" s="7"/>
      <c r="AY24" s="7"/>
      <c r="AZ24" s="7"/>
      <c r="BA24" s="8"/>
      <c r="BB24" s="3"/>
      <c r="BC24" s="3"/>
      <c r="BD24" s="3"/>
      <c r="BE24" s="3"/>
    </row>
    <row r="25" spans="1:57" x14ac:dyDescent="0.25">
      <c r="A25" s="2"/>
      <c r="D25" s="3"/>
      <c r="E25" s="4"/>
      <c r="F25" s="5"/>
      <c r="G25" s="5"/>
      <c r="J25" s="3"/>
      <c r="K25" s="3"/>
      <c r="L25" s="6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5"/>
      <c r="AA25" s="3"/>
      <c r="AB25" s="3"/>
      <c r="AC25" s="3"/>
      <c r="AD25" s="5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7"/>
      <c r="AX25" s="7"/>
      <c r="AY25" s="7"/>
      <c r="AZ25" s="7"/>
      <c r="BA25" s="8"/>
      <c r="BB25" s="3"/>
      <c r="BC25" s="3"/>
      <c r="BD25" s="3"/>
      <c r="BE25" s="3"/>
    </row>
    <row r="26" spans="1:57" x14ac:dyDescent="0.25">
      <c r="A26" s="2"/>
      <c r="D26" s="3"/>
      <c r="E26" s="4"/>
      <c r="F26" s="5"/>
      <c r="G26" s="5"/>
      <c r="J26" s="3"/>
      <c r="K26" s="3"/>
      <c r="L26" s="6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5"/>
      <c r="AA26" s="3"/>
      <c r="AB26" s="3"/>
      <c r="AC26" s="3"/>
      <c r="AD26" s="5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7"/>
      <c r="AX26" s="7"/>
      <c r="AY26" s="7"/>
      <c r="AZ26" s="7"/>
      <c r="BA26" s="8"/>
      <c r="BB26" s="3"/>
      <c r="BC26" s="3"/>
      <c r="BD26" s="3"/>
      <c r="BE26" s="3"/>
    </row>
    <row r="27" spans="1:57" x14ac:dyDescent="0.25">
      <c r="A27" s="2"/>
      <c r="D27" s="3"/>
      <c r="E27" s="4"/>
      <c r="F27" s="5"/>
      <c r="G27" s="5"/>
      <c r="J27" s="3"/>
      <c r="K27" s="3"/>
      <c r="L27" s="6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5"/>
      <c r="AA27" s="3"/>
      <c r="AB27" s="3"/>
      <c r="AC27" s="3"/>
      <c r="AD27" s="5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7"/>
      <c r="AX27" s="7"/>
      <c r="AY27" s="7"/>
      <c r="AZ27" s="7"/>
      <c r="BA27" s="8"/>
      <c r="BB27" s="3"/>
      <c r="BC27" s="3"/>
      <c r="BD27" s="3"/>
      <c r="BE27" s="3"/>
    </row>
    <row r="28" spans="1:57" x14ac:dyDescent="0.25">
      <c r="A28" s="2"/>
      <c r="D28" s="3"/>
      <c r="E28" s="4"/>
      <c r="F28" s="5"/>
      <c r="G28" s="5"/>
      <c r="J28" s="3"/>
      <c r="K28" s="3"/>
      <c r="L28" s="6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5"/>
      <c r="AA28" s="3"/>
      <c r="AB28" s="3"/>
      <c r="AC28" s="3"/>
      <c r="AD28" s="5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7"/>
      <c r="AX28" s="7"/>
      <c r="AY28" s="7"/>
      <c r="AZ28" s="7"/>
      <c r="BA28" s="8"/>
      <c r="BB28" s="3"/>
      <c r="BC28" s="3"/>
      <c r="BD28" s="3"/>
      <c r="BE28" s="3"/>
    </row>
    <row r="29" spans="1:57" x14ac:dyDescent="0.25">
      <c r="A29" s="2"/>
      <c r="D29" s="3"/>
      <c r="E29" s="4"/>
      <c r="F29" s="5"/>
      <c r="G29" s="5"/>
      <c r="J29" s="3"/>
      <c r="K29" s="3"/>
      <c r="L29" s="6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5"/>
      <c r="AA29" s="3"/>
      <c r="AB29" s="3"/>
      <c r="AC29" s="3"/>
      <c r="AD29" s="5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7"/>
      <c r="AX29" s="7"/>
      <c r="AY29" s="7"/>
      <c r="AZ29" s="7"/>
      <c r="BA29" s="8"/>
      <c r="BB29" s="3"/>
      <c r="BC29" s="3"/>
      <c r="BD29" s="3"/>
      <c r="BE29" s="3"/>
    </row>
    <row r="30" spans="1:57" x14ac:dyDescent="0.25">
      <c r="A30" s="2"/>
      <c r="D30" s="3"/>
      <c r="E30" s="4"/>
      <c r="F30" s="5"/>
      <c r="G30" s="5"/>
      <c r="J30" s="3"/>
      <c r="K30" s="3"/>
      <c r="L30" s="6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5"/>
      <c r="AA30" s="3"/>
      <c r="AB30" s="3"/>
      <c r="AC30" s="3"/>
      <c r="AD30" s="5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7"/>
      <c r="AX30" s="7"/>
      <c r="AY30" s="7"/>
      <c r="AZ30" s="7"/>
      <c r="BA30" s="8"/>
      <c r="BB30" s="3"/>
      <c r="BC30" s="3"/>
      <c r="BD30" s="3"/>
      <c r="BE30" s="3"/>
    </row>
    <row r="31" spans="1:57" x14ac:dyDescent="0.25">
      <c r="A31" s="2"/>
      <c r="D31" s="3"/>
      <c r="E31" s="4"/>
      <c r="F31" s="5"/>
      <c r="G31" s="5"/>
      <c r="J31" s="3"/>
      <c r="K31" s="3"/>
      <c r="L31" s="6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5"/>
      <c r="AA31" s="3"/>
      <c r="AB31" s="3"/>
      <c r="AC31" s="3"/>
      <c r="AD31" s="5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7"/>
      <c r="AX31" s="7"/>
      <c r="AY31" s="7"/>
      <c r="AZ31" s="7"/>
      <c r="BA31" s="8"/>
      <c r="BB31" s="3"/>
      <c r="BC31" s="3"/>
      <c r="BD31" s="3"/>
      <c r="BE31" s="3"/>
    </row>
    <row r="32" spans="1:57" x14ac:dyDescent="0.25">
      <c r="A32" s="2"/>
      <c r="D32" s="3"/>
      <c r="E32" s="4"/>
      <c r="F32" s="5"/>
      <c r="G32" s="5"/>
      <c r="J32" s="3"/>
      <c r="K32" s="3"/>
      <c r="L32" s="6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5"/>
      <c r="AA32" s="3"/>
      <c r="AB32" s="3"/>
      <c r="AC32" s="3"/>
      <c r="AD32" s="5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7"/>
      <c r="AX32" s="7"/>
      <c r="AY32" s="7"/>
      <c r="AZ32" s="7"/>
      <c r="BA32" s="8"/>
      <c r="BB32" s="3"/>
      <c r="BC32" s="3"/>
      <c r="BD32" s="3"/>
      <c r="BE32" s="3"/>
    </row>
    <row r="33" spans="1:57" x14ac:dyDescent="0.25">
      <c r="A33" s="2"/>
      <c r="D33" s="3"/>
      <c r="E33" s="4"/>
      <c r="F33" s="5"/>
      <c r="G33" s="5"/>
      <c r="J33" s="3"/>
      <c r="K33" s="3"/>
      <c r="L33" s="6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5"/>
      <c r="AA33" s="3"/>
      <c r="AB33" s="3"/>
      <c r="AC33" s="3"/>
      <c r="AD33" s="5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7"/>
      <c r="AX33" s="7"/>
      <c r="AY33" s="7"/>
      <c r="AZ33" s="7"/>
      <c r="BA33" s="8"/>
      <c r="BB33" s="3"/>
      <c r="BC33" s="3"/>
      <c r="BD33" s="3"/>
      <c r="BE33" s="3"/>
    </row>
    <row r="34" spans="1:57" x14ac:dyDescent="0.25">
      <c r="A34" s="2"/>
      <c r="D34" s="3"/>
      <c r="E34" s="4"/>
      <c r="F34" s="5"/>
      <c r="G34" s="5"/>
      <c r="J34" s="3"/>
      <c r="K34" s="3"/>
      <c r="L34" s="6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5"/>
      <c r="AA34" s="3"/>
      <c r="AB34" s="3"/>
      <c r="AC34" s="3"/>
      <c r="AD34" s="5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7"/>
      <c r="AX34" s="7"/>
      <c r="AY34" s="7"/>
      <c r="AZ34" s="7"/>
      <c r="BA34" s="8"/>
      <c r="BB34" s="3"/>
      <c r="BC34" s="3"/>
      <c r="BD34" s="3"/>
      <c r="BE34" s="3"/>
    </row>
    <row r="35" spans="1:57" x14ac:dyDescent="0.25">
      <c r="A35" s="2"/>
      <c r="D35" s="3"/>
      <c r="E35" s="4"/>
      <c r="F35" s="5"/>
      <c r="G35" s="5"/>
      <c r="J35" s="3"/>
      <c r="K35" s="3"/>
      <c r="L35" s="6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5"/>
      <c r="AA35" s="3"/>
      <c r="AB35" s="3"/>
      <c r="AC35" s="3"/>
      <c r="AD35" s="5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7"/>
      <c r="AX35" s="7"/>
      <c r="AY35" s="7"/>
      <c r="AZ35" s="7"/>
      <c r="BA35" s="8"/>
      <c r="BB35" s="3"/>
      <c r="BC35" s="3"/>
      <c r="BD35" s="3"/>
      <c r="BE35" s="3"/>
    </row>
    <row r="36" spans="1:57" x14ac:dyDescent="0.25">
      <c r="A36" s="2"/>
      <c r="D36" s="3"/>
      <c r="E36" s="4"/>
      <c r="F36" s="5"/>
      <c r="G36" s="5"/>
      <c r="J36" s="3"/>
      <c r="K36" s="3"/>
      <c r="L36" s="6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5"/>
      <c r="AA36" s="3"/>
      <c r="AB36" s="3"/>
      <c r="AC36" s="3"/>
      <c r="AD36" s="5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7"/>
      <c r="AX36" s="7"/>
      <c r="AY36" s="7"/>
      <c r="AZ36" s="7"/>
      <c r="BA36" s="8"/>
      <c r="BB36" s="3"/>
      <c r="BC36" s="3"/>
      <c r="BD36" s="3"/>
      <c r="BE36" s="3"/>
    </row>
    <row r="37" spans="1:57" x14ac:dyDescent="0.25">
      <c r="A37" s="2"/>
      <c r="D37" s="3"/>
      <c r="E37" s="4"/>
      <c r="F37" s="5"/>
      <c r="G37" s="5"/>
      <c r="J37" s="3"/>
      <c r="K37" s="3"/>
      <c r="L37" s="6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5"/>
      <c r="AA37" s="3"/>
      <c r="AB37" s="3"/>
      <c r="AC37" s="3"/>
      <c r="AD37" s="5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7"/>
      <c r="AX37" s="7"/>
      <c r="AY37" s="7"/>
      <c r="AZ37" s="7"/>
      <c r="BA37" s="8"/>
      <c r="BB37" s="3"/>
      <c r="BC37" s="3"/>
      <c r="BD37" s="3"/>
      <c r="BE37" s="3"/>
    </row>
    <row r="38" spans="1:57" x14ac:dyDescent="0.25">
      <c r="A38" s="2"/>
      <c r="D38" s="3"/>
      <c r="E38" s="4"/>
      <c r="F38" s="5"/>
      <c r="G38" s="5"/>
      <c r="J38" s="3"/>
      <c r="K38" s="3"/>
      <c r="L38" s="6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5"/>
      <c r="AA38" s="3"/>
      <c r="AB38" s="3"/>
      <c r="AC38" s="3"/>
      <c r="AD38" s="5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7"/>
      <c r="AX38" s="7"/>
      <c r="AY38" s="7"/>
      <c r="AZ38" s="7"/>
      <c r="BA38" s="8"/>
      <c r="BB38" s="3"/>
      <c r="BC38" s="3"/>
      <c r="BD38" s="3"/>
      <c r="BE38" s="3"/>
    </row>
    <row r="39" spans="1:57" x14ac:dyDescent="0.25">
      <c r="A39" s="2"/>
      <c r="D39" s="3"/>
      <c r="E39" s="4"/>
      <c r="F39" s="5"/>
      <c r="G39" s="5"/>
      <c r="J39" s="3"/>
      <c r="K39" s="3"/>
      <c r="L39" s="6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5"/>
      <c r="AA39" s="3"/>
      <c r="AB39" s="3"/>
      <c r="AC39" s="3"/>
      <c r="AD39" s="5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7"/>
      <c r="AX39" s="7"/>
      <c r="AY39" s="7"/>
      <c r="AZ39" s="7"/>
      <c r="BA39" s="8"/>
      <c r="BB39" s="3"/>
      <c r="BC39" s="3"/>
      <c r="BD39" s="3"/>
      <c r="BE39" s="3"/>
    </row>
    <row r="40" spans="1:57" x14ac:dyDescent="0.25">
      <c r="A40" s="2"/>
      <c r="D40" s="3"/>
      <c r="E40" s="4"/>
      <c r="F40" s="5"/>
      <c r="G40" s="5"/>
      <c r="J40" s="3"/>
      <c r="K40" s="3"/>
      <c r="L40" s="6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5"/>
      <c r="AA40" s="3"/>
      <c r="AB40" s="3"/>
      <c r="AC40" s="3"/>
      <c r="AD40" s="5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7"/>
      <c r="AX40" s="7"/>
      <c r="AY40" s="7"/>
      <c r="AZ40" s="7"/>
      <c r="BA40" s="8"/>
      <c r="BB40" s="3"/>
      <c r="BC40" s="3"/>
      <c r="BD40" s="3"/>
      <c r="BE40" s="3"/>
    </row>
    <row r="41" spans="1:57" x14ac:dyDescent="0.25">
      <c r="A41" s="2"/>
      <c r="D41" s="3"/>
      <c r="E41" s="4"/>
      <c r="F41" s="5"/>
      <c r="G41" s="5"/>
      <c r="J41" s="3"/>
      <c r="K41" s="3"/>
      <c r="L41" s="6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5"/>
      <c r="AA41" s="3"/>
      <c r="AB41" s="3"/>
      <c r="AC41" s="3"/>
      <c r="AD41" s="5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7"/>
      <c r="AX41" s="7"/>
      <c r="AY41" s="7"/>
      <c r="AZ41" s="7"/>
      <c r="BA41" s="8"/>
      <c r="BB41" s="3"/>
      <c r="BC41" s="3"/>
      <c r="BD41" s="3"/>
      <c r="BE41" s="3"/>
    </row>
    <row r="42" spans="1:57" x14ac:dyDescent="0.25">
      <c r="A42" s="2"/>
      <c r="D42" s="3"/>
      <c r="E42" s="4"/>
      <c r="F42" s="5"/>
      <c r="G42" s="5"/>
      <c r="J42" s="3"/>
      <c r="K42" s="3"/>
      <c r="L42" s="6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5"/>
      <c r="AA42" s="3"/>
      <c r="AB42" s="3"/>
      <c r="AC42" s="3"/>
      <c r="AD42" s="5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7"/>
      <c r="AX42" s="7"/>
      <c r="AY42" s="7"/>
      <c r="AZ42" s="7"/>
      <c r="BA42" s="8"/>
      <c r="BB42" s="3"/>
      <c r="BC42" s="3"/>
      <c r="BD42" s="3"/>
      <c r="BE42" s="3"/>
    </row>
    <row r="43" spans="1:57" x14ac:dyDescent="0.25">
      <c r="A43" s="2"/>
      <c r="D43" s="3"/>
      <c r="E43" s="4"/>
      <c r="F43" s="5"/>
      <c r="G43" s="5"/>
      <c r="J43" s="3"/>
      <c r="K43" s="3"/>
      <c r="L43" s="6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5"/>
      <c r="AA43" s="3"/>
      <c r="AB43" s="3"/>
      <c r="AC43" s="3"/>
      <c r="AD43" s="5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7"/>
      <c r="AX43" s="7"/>
      <c r="AY43" s="7"/>
      <c r="AZ43" s="7"/>
      <c r="BA43" s="8"/>
      <c r="BB43" s="3"/>
      <c r="BC43" s="3"/>
      <c r="BD43" s="3"/>
      <c r="BE43" s="3"/>
    </row>
    <row r="44" spans="1:57" x14ac:dyDescent="0.25">
      <c r="A44" s="2"/>
      <c r="D44" s="3"/>
      <c r="E44" s="4"/>
      <c r="F44" s="5"/>
      <c r="G44" s="5"/>
      <c r="J44" s="3"/>
      <c r="K44" s="3"/>
      <c r="L44" s="6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5"/>
      <c r="AA44" s="3"/>
      <c r="AB44" s="3"/>
      <c r="AC44" s="3"/>
      <c r="AD44" s="5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7"/>
      <c r="AX44" s="7"/>
      <c r="AY44" s="7"/>
      <c r="AZ44" s="7"/>
      <c r="BA44" s="8"/>
      <c r="BB44" s="3"/>
      <c r="BC44" s="3"/>
      <c r="BD44" s="3"/>
      <c r="BE44" s="3"/>
    </row>
    <row r="45" spans="1:57" x14ac:dyDescent="0.25">
      <c r="A45" s="2"/>
      <c r="D45" s="3"/>
      <c r="E45" s="4"/>
      <c r="F45" s="5"/>
      <c r="G45" s="5"/>
      <c r="J45" s="3"/>
      <c r="K45" s="3"/>
      <c r="L45" s="6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5"/>
      <c r="AA45" s="3"/>
      <c r="AB45" s="3"/>
      <c r="AC45" s="3"/>
      <c r="AD45" s="5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7"/>
      <c r="AX45" s="7"/>
      <c r="AY45" s="7"/>
      <c r="AZ45" s="7"/>
      <c r="BA45" s="8"/>
      <c r="BB45" s="3"/>
      <c r="BC45" s="3"/>
      <c r="BD45" s="3"/>
      <c r="BE45" s="3"/>
    </row>
    <row r="46" spans="1:57" x14ac:dyDescent="0.25">
      <c r="A46" s="2"/>
      <c r="D46" s="3"/>
      <c r="E46" s="4"/>
      <c r="F46" s="5"/>
      <c r="G46" s="5"/>
      <c r="J46" s="3"/>
      <c r="K46" s="3"/>
      <c r="L46" s="6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5"/>
      <c r="AA46" s="3"/>
      <c r="AB46" s="3"/>
      <c r="AC46" s="3"/>
      <c r="AD46" s="5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7"/>
      <c r="AX46" s="7"/>
      <c r="AY46" s="7"/>
      <c r="AZ46" s="7"/>
      <c r="BA46" s="8"/>
      <c r="BB46" s="3"/>
      <c r="BC46" s="3"/>
      <c r="BD46" s="3"/>
      <c r="BE46" s="3"/>
    </row>
    <row r="47" spans="1:57" x14ac:dyDescent="0.25">
      <c r="A47" s="2"/>
      <c r="D47" s="3"/>
      <c r="E47" s="4"/>
      <c r="F47" s="5"/>
      <c r="G47" s="5"/>
      <c r="J47" s="3"/>
      <c r="K47" s="3"/>
      <c r="L47" s="6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5"/>
      <c r="AA47" s="3"/>
      <c r="AB47" s="3"/>
      <c r="AC47" s="3"/>
      <c r="AD47" s="5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7"/>
      <c r="AX47" s="7"/>
      <c r="AY47" s="7"/>
      <c r="AZ47" s="7"/>
      <c r="BA47" s="8"/>
      <c r="BB47" s="3"/>
      <c r="BC47" s="3"/>
      <c r="BD47" s="3"/>
      <c r="BE47" s="3"/>
    </row>
    <row r="48" spans="1:57" x14ac:dyDescent="0.25">
      <c r="A48" s="2"/>
      <c r="D48" s="3"/>
      <c r="E48" s="4"/>
      <c r="F48" s="5"/>
      <c r="G48" s="5"/>
      <c r="J48" s="3"/>
      <c r="K48" s="3"/>
      <c r="L48" s="6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5"/>
      <c r="AA48" s="3"/>
      <c r="AB48" s="3"/>
      <c r="AC48" s="3"/>
      <c r="AD48" s="5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7"/>
      <c r="AX48" s="7"/>
      <c r="AY48" s="7"/>
      <c r="AZ48" s="7"/>
      <c r="BA48" s="8"/>
      <c r="BB48" s="3"/>
      <c r="BC48" s="3"/>
      <c r="BD48" s="3"/>
      <c r="BE48" s="3"/>
    </row>
    <row r="49" spans="1:57" x14ac:dyDescent="0.25">
      <c r="A49" s="2"/>
      <c r="D49" s="3"/>
      <c r="E49" s="4"/>
      <c r="F49" s="5"/>
      <c r="G49" s="5"/>
      <c r="J49" s="3"/>
      <c r="K49" s="3"/>
      <c r="L49" s="6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5"/>
      <c r="AA49" s="3"/>
      <c r="AB49" s="3"/>
      <c r="AC49" s="3"/>
      <c r="AD49" s="5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7"/>
      <c r="AX49" s="7"/>
      <c r="AY49" s="7"/>
      <c r="AZ49" s="7"/>
      <c r="BA49" s="8"/>
      <c r="BB49" s="3"/>
      <c r="BC49" s="3"/>
      <c r="BD49" s="3"/>
      <c r="BE49" s="3"/>
    </row>
    <row r="50" spans="1:57" x14ac:dyDescent="0.25">
      <c r="A50" s="2"/>
      <c r="D50" s="3"/>
      <c r="E50" s="4"/>
      <c r="F50" s="5"/>
      <c r="G50" s="5"/>
      <c r="J50" s="3"/>
      <c r="K50" s="3"/>
      <c r="L50" s="6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5"/>
      <c r="AA50" s="3"/>
      <c r="AB50" s="3"/>
      <c r="AC50" s="3"/>
      <c r="AD50" s="5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7"/>
      <c r="AX50" s="7"/>
      <c r="AY50" s="7"/>
      <c r="AZ50" s="7"/>
      <c r="BA50" s="8"/>
      <c r="BB50" s="3"/>
      <c r="BC50" s="3"/>
      <c r="BD50" s="3"/>
      <c r="BE50" s="3"/>
    </row>
    <row r="51" spans="1:57" x14ac:dyDescent="0.25">
      <c r="A51" s="2"/>
      <c r="D51" s="3"/>
      <c r="E51" s="4"/>
      <c r="F51" s="5"/>
      <c r="G51" s="5"/>
      <c r="J51" s="3"/>
      <c r="K51" s="3"/>
      <c r="L51" s="6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5"/>
      <c r="AA51" s="3"/>
      <c r="AB51" s="3"/>
      <c r="AC51" s="3"/>
      <c r="AD51" s="5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7"/>
      <c r="AX51" s="7"/>
      <c r="AY51" s="7"/>
      <c r="AZ51" s="7"/>
      <c r="BA51" s="8"/>
      <c r="BB51" s="3"/>
      <c r="BC51" s="3"/>
      <c r="BD51" s="3"/>
      <c r="BE51" s="3"/>
    </row>
    <row r="52" spans="1:57" x14ac:dyDescent="0.25">
      <c r="A52" s="2"/>
      <c r="D52" s="3"/>
      <c r="E52" s="4"/>
      <c r="F52" s="5"/>
      <c r="G52" s="5"/>
      <c r="J52" s="3"/>
      <c r="K52" s="3"/>
      <c r="L52" s="6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5"/>
      <c r="AA52" s="3"/>
      <c r="AB52" s="3"/>
      <c r="AC52" s="3"/>
      <c r="AD52" s="5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7"/>
      <c r="AX52" s="7"/>
      <c r="AY52" s="7"/>
      <c r="AZ52" s="7"/>
      <c r="BA52" s="8"/>
      <c r="BB52" s="3"/>
      <c r="BC52" s="3"/>
      <c r="BD52" s="3"/>
      <c r="BE52" s="3"/>
    </row>
    <row r="53" spans="1:57" x14ac:dyDescent="0.25">
      <c r="A53" s="2"/>
      <c r="D53" s="3"/>
      <c r="E53" s="4"/>
      <c r="F53" s="5"/>
      <c r="G53" s="5"/>
      <c r="J53" s="3"/>
      <c r="K53" s="3"/>
      <c r="L53" s="6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5"/>
      <c r="AA53" s="3"/>
      <c r="AB53" s="3"/>
      <c r="AC53" s="3"/>
      <c r="AD53" s="5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7"/>
      <c r="AX53" s="7"/>
      <c r="AY53" s="7"/>
      <c r="AZ53" s="7"/>
      <c r="BA53" s="8"/>
      <c r="BB53" s="3"/>
      <c r="BC53" s="3"/>
      <c r="BD53" s="3"/>
      <c r="BE53" s="3"/>
    </row>
    <row r="54" spans="1:57" x14ac:dyDescent="0.25">
      <c r="A54" s="2"/>
      <c r="D54" s="3"/>
      <c r="E54" s="4"/>
      <c r="F54" s="5"/>
      <c r="G54" s="5"/>
      <c r="J54" s="3"/>
      <c r="K54" s="3"/>
      <c r="L54" s="6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5"/>
      <c r="AA54" s="3"/>
      <c r="AB54" s="3"/>
      <c r="AC54" s="3"/>
      <c r="AD54" s="5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7"/>
      <c r="AX54" s="7"/>
      <c r="AY54" s="7"/>
      <c r="AZ54" s="7"/>
      <c r="BA54" s="8"/>
      <c r="BB54" s="3"/>
      <c r="BC54" s="3"/>
      <c r="BD54" s="3"/>
      <c r="BE54" s="3"/>
    </row>
    <row r="55" spans="1:57" x14ac:dyDescent="0.25">
      <c r="A55" s="2"/>
      <c r="D55" s="3"/>
      <c r="E55" s="4"/>
      <c r="F55" s="5"/>
      <c r="G55" s="5"/>
      <c r="J55" s="3"/>
      <c r="K55" s="3"/>
      <c r="L55" s="6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5"/>
      <c r="AA55" s="3"/>
      <c r="AB55" s="3"/>
      <c r="AC55" s="3"/>
      <c r="AD55" s="5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7"/>
      <c r="AX55" s="7"/>
      <c r="AY55" s="7"/>
      <c r="AZ55" s="7"/>
      <c r="BA55" s="8"/>
      <c r="BB55" s="3"/>
      <c r="BC55" s="3"/>
      <c r="BD55" s="3"/>
      <c r="BE55" s="3"/>
    </row>
    <row r="56" spans="1:57" x14ac:dyDescent="0.25">
      <c r="A56" s="2"/>
      <c r="D56" s="3"/>
      <c r="E56" s="4"/>
      <c r="F56" s="5"/>
      <c r="G56" s="5"/>
      <c r="J56" s="3"/>
      <c r="K56" s="3"/>
      <c r="L56" s="6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5"/>
      <c r="AA56" s="3"/>
      <c r="AB56" s="3"/>
      <c r="AC56" s="3"/>
      <c r="AD56" s="5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7"/>
      <c r="AX56" s="7"/>
      <c r="AY56" s="7"/>
      <c r="AZ56" s="7"/>
      <c r="BA56" s="8"/>
      <c r="BB56" s="3"/>
      <c r="BC56" s="3"/>
      <c r="BD56" s="3"/>
      <c r="BE56" s="3"/>
    </row>
    <row r="57" spans="1:57" x14ac:dyDescent="0.25">
      <c r="A57" s="2"/>
      <c r="D57" s="3"/>
      <c r="E57" s="4"/>
      <c r="F57" s="5"/>
      <c r="G57" s="5"/>
      <c r="J57" s="3"/>
      <c r="K57" s="3"/>
      <c r="L57" s="6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5"/>
      <c r="AA57" s="3"/>
      <c r="AB57" s="3"/>
      <c r="AC57" s="3"/>
      <c r="AD57" s="5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7"/>
      <c r="AX57" s="7"/>
      <c r="AY57" s="7"/>
      <c r="AZ57" s="7"/>
      <c r="BA57" s="8"/>
      <c r="BB57" s="3"/>
      <c r="BC57" s="3"/>
      <c r="BD57" s="3"/>
      <c r="BE57" s="3"/>
    </row>
    <row r="58" spans="1:57" x14ac:dyDescent="0.25">
      <c r="A58" s="2"/>
      <c r="D58" s="3"/>
      <c r="E58" s="4"/>
      <c r="F58" s="5"/>
      <c r="G58" s="5"/>
      <c r="J58" s="3"/>
      <c r="K58" s="3"/>
      <c r="L58" s="6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5"/>
      <c r="AA58" s="3"/>
      <c r="AB58" s="3"/>
      <c r="AC58" s="3"/>
      <c r="AD58" s="5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7"/>
      <c r="AX58" s="7"/>
      <c r="AY58" s="7"/>
      <c r="AZ58" s="7"/>
      <c r="BA58" s="8"/>
      <c r="BB58" s="3"/>
      <c r="BC58" s="3"/>
      <c r="BD58" s="3"/>
      <c r="BE58" s="3"/>
    </row>
    <row r="59" spans="1:57" x14ac:dyDescent="0.25">
      <c r="A59" s="2"/>
      <c r="D59" s="3"/>
      <c r="E59" s="4"/>
      <c r="F59" s="5"/>
      <c r="G59" s="5"/>
      <c r="J59" s="3"/>
      <c r="K59" s="3"/>
      <c r="L59" s="6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5"/>
      <c r="AA59" s="3"/>
      <c r="AB59" s="3"/>
      <c r="AC59" s="3"/>
      <c r="AD59" s="5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7"/>
      <c r="AX59" s="7"/>
      <c r="AY59" s="7"/>
      <c r="AZ59" s="7"/>
      <c r="BA59" s="8"/>
      <c r="BB59" s="3"/>
      <c r="BC59" s="3"/>
      <c r="BD59" s="3"/>
      <c r="BE59" s="3"/>
    </row>
    <row r="60" spans="1:57" x14ac:dyDescent="0.25">
      <c r="A60" s="2"/>
      <c r="D60" s="3"/>
      <c r="E60" s="4"/>
      <c r="F60" s="5"/>
      <c r="G60" s="5"/>
      <c r="J60" s="3"/>
      <c r="K60" s="3"/>
      <c r="L60" s="6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5"/>
      <c r="AA60" s="3"/>
      <c r="AB60" s="3"/>
      <c r="AC60" s="3"/>
      <c r="AD60" s="5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7"/>
      <c r="AX60" s="7"/>
      <c r="AY60" s="7"/>
      <c r="AZ60" s="7"/>
      <c r="BA60" s="8"/>
      <c r="BB60" s="3"/>
      <c r="BC60" s="3"/>
      <c r="BD60" s="3"/>
      <c r="BE60" s="3"/>
    </row>
    <row r="61" spans="1:57" x14ac:dyDescent="0.25">
      <c r="A61" s="2"/>
      <c r="D61" s="3"/>
      <c r="E61" s="4"/>
      <c r="F61" s="5"/>
      <c r="G61" s="5"/>
      <c r="J61" s="3"/>
      <c r="K61" s="3"/>
      <c r="L61" s="6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5"/>
      <c r="AA61" s="3"/>
      <c r="AB61" s="3"/>
      <c r="AC61" s="3"/>
      <c r="AD61" s="5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7"/>
      <c r="AX61" s="7"/>
      <c r="AY61" s="7"/>
      <c r="AZ61" s="7"/>
      <c r="BA61" s="8"/>
      <c r="BB61" s="3"/>
      <c r="BC61" s="3"/>
      <c r="BD61" s="3"/>
      <c r="BE61" s="3"/>
    </row>
    <row r="62" spans="1:57" x14ac:dyDescent="0.25">
      <c r="A62" s="2"/>
      <c r="D62" s="3"/>
      <c r="E62" s="4"/>
      <c r="F62" s="5"/>
      <c r="G62" s="5"/>
      <c r="J62" s="3"/>
      <c r="K62" s="3"/>
      <c r="L62" s="6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5"/>
      <c r="AA62" s="3"/>
      <c r="AB62" s="3"/>
      <c r="AC62" s="3"/>
      <c r="AD62" s="5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7"/>
      <c r="AX62" s="7"/>
      <c r="AY62" s="7"/>
      <c r="AZ62" s="7"/>
      <c r="BA62" s="8"/>
      <c r="BB62" s="3"/>
      <c r="BC62" s="3"/>
      <c r="BD62" s="3"/>
      <c r="BE62" s="3"/>
    </row>
    <row r="63" spans="1:57" x14ac:dyDescent="0.25">
      <c r="A63" s="2"/>
      <c r="D63" s="3"/>
      <c r="E63" s="4"/>
      <c r="F63" s="5"/>
      <c r="G63" s="5"/>
      <c r="J63" s="3"/>
      <c r="K63" s="3"/>
      <c r="L63" s="6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5"/>
      <c r="AA63" s="3"/>
      <c r="AB63" s="3"/>
      <c r="AC63" s="3"/>
      <c r="AD63" s="5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7"/>
      <c r="AX63" s="7"/>
      <c r="AY63" s="7"/>
      <c r="AZ63" s="7"/>
      <c r="BA63" s="8"/>
      <c r="BB63" s="3"/>
      <c r="BC63" s="3"/>
      <c r="BD63" s="3"/>
      <c r="BE63" s="3"/>
    </row>
    <row r="64" spans="1:57" x14ac:dyDescent="0.25">
      <c r="A64" s="2"/>
      <c r="D64" s="3"/>
      <c r="E64" s="4"/>
      <c r="F64" s="5"/>
      <c r="G64" s="5"/>
      <c r="J64" s="3"/>
      <c r="K64" s="3"/>
      <c r="L64" s="6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5"/>
      <c r="AA64" s="3"/>
      <c r="AB64" s="3"/>
      <c r="AC64" s="3"/>
      <c r="AD64" s="5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7"/>
      <c r="AX64" s="7"/>
      <c r="AY64" s="7"/>
      <c r="AZ64" s="7"/>
      <c r="BA64" s="8"/>
      <c r="BB64" s="3"/>
      <c r="BC64" s="3"/>
      <c r="BD64" s="3"/>
      <c r="BE64" s="3"/>
    </row>
    <row r="65" spans="1:57" x14ac:dyDescent="0.25">
      <c r="A65" s="2"/>
      <c r="D65" s="3"/>
      <c r="E65" s="4"/>
      <c r="F65" s="5"/>
      <c r="G65" s="5"/>
      <c r="J65" s="3"/>
      <c r="K65" s="3"/>
      <c r="L65" s="6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5"/>
      <c r="AA65" s="3"/>
      <c r="AB65" s="3"/>
      <c r="AC65" s="3"/>
      <c r="AD65" s="5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7"/>
      <c r="AX65" s="7"/>
      <c r="AY65" s="7"/>
      <c r="AZ65" s="7"/>
      <c r="BA65" s="8"/>
      <c r="BB65" s="3"/>
      <c r="BC65" s="3"/>
      <c r="BD65" s="3"/>
      <c r="BE65" s="3"/>
    </row>
    <row r="66" spans="1:57" x14ac:dyDescent="0.25">
      <c r="A66" s="2"/>
      <c r="D66" s="3"/>
      <c r="E66" s="4"/>
      <c r="F66" s="5"/>
      <c r="G66" s="5"/>
      <c r="J66" s="3"/>
      <c r="K66" s="3"/>
      <c r="L66" s="6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5"/>
      <c r="AA66" s="3"/>
      <c r="AB66" s="3"/>
      <c r="AC66" s="3"/>
      <c r="AD66" s="5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7"/>
      <c r="AX66" s="7"/>
      <c r="AY66" s="7"/>
      <c r="AZ66" s="7"/>
      <c r="BA66" s="8"/>
      <c r="BB66" s="3"/>
      <c r="BC66" s="3"/>
      <c r="BD66" s="3"/>
      <c r="BE66" s="3"/>
    </row>
    <row r="67" spans="1:57" x14ac:dyDescent="0.25">
      <c r="A67" s="2"/>
      <c r="D67" s="3"/>
      <c r="E67" s="4"/>
      <c r="F67" s="5"/>
      <c r="G67" s="5"/>
      <c r="J67" s="3"/>
      <c r="K67" s="3"/>
      <c r="L67" s="6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5"/>
      <c r="AA67" s="3"/>
      <c r="AB67" s="3"/>
      <c r="AC67" s="3"/>
      <c r="AD67" s="5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7"/>
      <c r="AX67" s="7"/>
      <c r="AY67" s="7"/>
      <c r="AZ67" s="7"/>
      <c r="BA67" s="8"/>
      <c r="BB67" s="3"/>
      <c r="BC67" s="3"/>
      <c r="BD67" s="3"/>
      <c r="BE67" s="3"/>
    </row>
    <row r="68" spans="1:57" x14ac:dyDescent="0.25">
      <c r="A68" s="2"/>
      <c r="D68" s="3"/>
      <c r="E68" s="4"/>
      <c r="F68" s="5"/>
      <c r="G68" s="5"/>
      <c r="J68" s="3"/>
      <c r="K68" s="3"/>
      <c r="L68" s="6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5"/>
      <c r="AA68" s="3"/>
      <c r="AB68" s="3"/>
      <c r="AC68" s="3"/>
      <c r="AD68" s="5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7"/>
      <c r="AX68" s="7"/>
      <c r="AY68" s="7"/>
      <c r="AZ68" s="7"/>
      <c r="BA68" s="8"/>
      <c r="BB68" s="3"/>
      <c r="BC68" s="3"/>
      <c r="BD68" s="3"/>
      <c r="BE68" s="3"/>
    </row>
    <row r="69" spans="1:57" x14ac:dyDescent="0.25">
      <c r="A69" s="2"/>
      <c r="D69" s="3"/>
      <c r="E69" s="4"/>
      <c r="F69" s="5"/>
      <c r="G69" s="5"/>
      <c r="J69" s="3"/>
      <c r="K69" s="3"/>
      <c r="L69" s="6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5"/>
      <c r="AA69" s="3"/>
      <c r="AB69" s="3"/>
      <c r="AC69" s="3"/>
      <c r="AD69" s="5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7"/>
      <c r="AX69" s="7"/>
      <c r="AY69" s="7"/>
      <c r="AZ69" s="7"/>
      <c r="BA69" s="8"/>
      <c r="BB69" s="3"/>
      <c r="BC69" s="3"/>
      <c r="BD69" s="3"/>
      <c r="BE69" s="3"/>
    </row>
    <row r="70" spans="1:57" x14ac:dyDescent="0.25">
      <c r="A70" s="2"/>
      <c r="D70" s="3"/>
      <c r="E70" s="4"/>
      <c r="F70" s="5"/>
      <c r="G70" s="5"/>
      <c r="J70" s="3"/>
      <c r="K70" s="3"/>
      <c r="L70" s="6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5"/>
      <c r="AA70" s="3"/>
      <c r="AB70" s="3"/>
      <c r="AC70" s="3"/>
      <c r="AD70" s="5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7"/>
      <c r="AX70" s="7"/>
      <c r="AY70" s="7"/>
      <c r="AZ70" s="7"/>
      <c r="BA70" s="8"/>
      <c r="BB70" s="3"/>
      <c r="BC70" s="3"/>
      <c r="BD70" s="3"/>
      <c r="BE70" s="3"/>
    </row>
    <row r="71" spans="1:57" x14ac:dyDescent="0.25">
      <c r="A71" s="2"/>
      <c r="D71" s="3"/>
      <c r="E71" s="4"/>
      <c r="F71" s="5"/>
      <c r="G71" s="5"/>
      <c r="J71" s="3"/>
      <c r="K71" s="3"/>
      <c r="L71" s="6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5"/>
      <c r="AA71" s="3"/>
      <c r="AB71" s="3"/>
      <c r="AC71" s="3"/>
      <c r="AD71" s="5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7"/>
      <c r="AX71" s="7"/>
      <c r="AY71" s="7"/>
      <c r="AZ71" s="7"/>
      <c r="BA71" s="8"/>
      <c r="BB71" s="3"/>
      <c r="BC71" s="3"/>
      <c r="BD71" s="3"/>
      <c r="BE71" s="3"/>
    </row>
    <row r="72" spans="1:57" x14ac:dyDescent="0.25">
      <c r="A72" s="2"/>
      <c r="D72" s="3"/>
      <c r="E72" s="4"/>
      <c r="F72" s="5"/>
      <c r="G72" s="5"/>
      <c r="J72" s="3"/>
      <c r="K72" s="3"/>
      <c r="L72" s="6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5"/>
      <c r="AA72" s="3"/>
      <c r="AB72" s="3"/>
      <c r="AC72" s="3"/>
      <c r="AD72" s="5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7"/>
      <c r="AX72" s="7"/>
      <c r="AY72" s="7"/>
      <c r="AZ72" s="7"/>
      <c r="BA72" s="8"/>
      <c r="BB72" s="3"/>
      <c r="BC72" s="3"/>
      <c r="BD72" s="3"/>
      <c r="BE72" s="3"/>
    </row>
    <row r="73" spans="1:57" x14ac:dyDescent="0.25">
      <c r="A73" s="2"/>
      <c r="D73" s="3"/>
      <c r="E73" s="4"/>
      <c r="F73" s="5"/>
      <c r="G73" s="5"/>
      <c r="J73" s="3"/>
      <c r="K73" s="3"/>
      <c r="L73" s="6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5"/>
      <c r="AA73" s="3"/>
      <c r="AB73" s="3"/>
      <c r="AC73" s="3"/>
      <c r="AD73" s="5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7"/>
      <c r="AX73" s="7"/>
      <c r="AY73" s="7"/>
      <c r="AZ73" s="7"/>
      <c r="BA73" s="8"/>
      <c r="BB73" s="3"/>
      <c r="BC73" s="3"/>
      <c r="BD73" s="3"/>
      <c r="BE73" s="3"/>
    </row>
    <row r="74" spans="1:57" x14ac:dyDescent="0.25">
      <c r="A74" s="2"/>
      <c r="D74" s="3"/>
      <c r="E74" s="4"/>
      <c r="F74" s="5"/>
      <c r="G74" s="5"/>
      <c r="J74" s="3"/>
      <c r="K74" s="3"/>
      <c r="L74" s="6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5"/>
      <c r="AA74" s="3"/>
      <c r="AB74" s="3"/>
      <c r="AC74" s="3"/>
      <c r="AD74" s="5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7"/>
      <c r="AX74" s="7"/>
      <c r="AY74" s="7"/>
      <c r="AZ74" s="7"/>
      <c r="BA74" s="8"/>
      <c r="BB74" s="3"/>
      <c r="BC74" s="3"/>
      <c r="BD74" s="3"/>
      <c r="BE74" s="3"/>
    </row>
    <row r="75" spans="1:57" x14ac:dyDescent="0.25">
      <c r="A75" s="2"/>
      <c r="D75" s="3"/>
      <c r="E75" s="4"/>
      <c r="F75" s="5"/>
      <c r="G75" s="5"/>
      <c r="J75" s="3"/>
      <c r="K75" s="3"/>
      <c r="L75" s="6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5"/>
      <c r="AA75" s="3"/>
      <c r="AB75" s="3"/>
      <c r="AC75" s="3"/>
      <c r="AD75" s="5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7"/>
      <c r="AX75" s="7"/>
      <c r="AY75" s="7"/>
      <c r="AZ75" s="7"/>
      <c r="BA75" s="8"/>
      <c r="BB75" s="3"/>
      <c r="BC75" s="3"/>
      <c r="BD75" s="3"/>
      <c r="BE75" s="3"/>
    </row>
    <row r="76" spans="1:57" x14ac:dyDescent="0.25">
      <c r="A76" s="2"/>
      <c r="D76" s="3"/>
      <c r="E76" s="4"/>
      <c r="F76" s="5"/>
      <c r="G76" s="5"/>
      <c r="J76" s="3"/>
      <c r="K76" s="3"/>
      <c r="L76" s="6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5"/>
      <c r="AA76" s="3"/>
      <c r="AB76" s="3"/>
      <c r="AC76" s="3"/>
      <c r="AD76" s="5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7"/>
      <c r="AX76" s="7"/>
      <c r="AY76" s="7"/>
      <c r="AZ76" s="7"/>
      <c r="BA76" s="8"/>
      <c r="BB76" s="3"/>
      <c r="BC76" s="3"/>
      <c r="BD76" s="3"/>
      <c r="BE76" s="3"/>
    </row>
    <row r="77" spans="1:57" x14ac:dyDescent="0.25">
      <c r="A77" s="2"/>
      <c r="D77" s="3"/>
      <c r="E77" s="4"/>
      <c r="F77" s="5"/>
      <c r="G77" s="5"/>
      <c r="J77" s="3"/>
      <c r="K77" s="3"/>
      <c r="L77" s="6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5"/>
      <c r="AA77" s="3"/>
      <c r="AB77" s="3"/>
      <c r="AC77" s="3"/>
      <c r="AD77" s="5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7"/>
      <c r="AX77" s="7"/>
      <c r="AY77" s="7"/>
      <c r="AZ77" s="7"/>
      <c r="BA77" s="8"/>
      <c r="BB77" s="3"/>
      <c r="BC77" s="3"/>
      <c r="BD77" s="3"/>
      <c r="BE77" s="3"/>
    </row>
    <row r="78" spans="1:57" x14ac:dyDescent="0.25">
      <c r="A78" s="2"/>
      <c r="D78" s="3"/>
      <c r="E78" s="4"/>
      <c r="F78" s="5"/>
      <c r="G78" s="5"/>
      <c r="J78" s="3"/>
      <c r="K78" s="3"/>
      <c r="L78" s="6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5"/>
      <c r="AA78" s="3"/>
      <c r="AB78" s="3"/>
      <c r="AC78" s="3"/>
      <c r="AD78" s="5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7"/>
      <c r="AX78" s="7"/>
      <c r="AY78" s="7"/>
      <c r="AZ78" s="7"/>
      <c r="BA78" s="8"/>
      <c r="BB78" s="3"/>
      <c r="BC78" s="3"/>
      <c r="BD78" s="3"/>
      <c r="BE78" s="3"/>
    </row>
    <row r="79" spans="1:57" x14ac:dyDescent="0.25">
      <c r="A79" s="2"/>
      <c r="D79" s="3"/>
      <c r="E79" s="4"/>
      <c r="F79" s="5"/>
      <c r="G79" s="5"/>
      <c r="J79" s="3"/>
      <c r="K79" s="3"/>
      <c r="L79" s="6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5"/>
      <c r="AA79" s="3"/>
      <c r="AB79" s="3"/>
      <c r="AC79" s="3"/>
      <c r="AD79" s="5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7"/>
      <c r="AX79" s="7"/>
      <c r="AY79" s="7"/>
      <c r="AZ79" s="7"/>
      <c r="BA79" s="8"/>
      <c r="BB79" s="3"/>
      <c r="BC79" s="3"/>
      <c r="BD79" s="3"/>
      <c r="BE79" s="3"/>
    </row>
    <row r="80" spans="1:57" x14ac:dyDescent="0.25">
      <c r="A80" s="2"/>
      <c r="D80" s="3"/>
      <c r="E80" s="4"/>
      <c r="F80" s="5"/>
      <c r="G80" s="5"/>
      <c r="J80" s="3"/>
      <c r="K80" s="3"/>
      <c r="L80" s="6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5"/>
      <c r="AA80" s="3"/>
      <c r="AB80" s="3"/>
      <c r="AC80" s="3"/>
      <c r="AD80" s="5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7"/>
      <c r="AX80" s="7"/>
      <c r="AY80" s="7"/>
      <c r="AZ80" s="7"/>
      <c r="BA80" s="8"/>
      <c r="BB80" s="3"/>
      <c r="BC80" s="3"/>
      <c r="BD80" s="3"/>
      <c r="BE80" s="3"/>
    </row>
    <row r="81" spans="1:57" x14ac:dyDescent="0.25">
      <c r="A81" s="2"/>
      <c r="D81" s="3"/>
      <c r="E81" s="4"/>
      <c r="F81" s="5"/>
      <c r="G81" s="5"/>
      <c r="J81" s="3"/>
      <c r="K81" s="3"/>
      <c r="L81" s="6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5"/>
      <c r="AA81" s="3"/>
      <c r="AB81" s="3"/>
      <c r="AC81" s="3"/>
      <c r="AD81" s="5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7"/>
      <c r="AX81" s="7"/>
      <c r="AY81" s="7"/>
      <c r="AZ81" s="7"/>
      <c r="BA81" s="8"/>
      <c r="BB81" s="3"/>
      <c r="BC81" s="3"/>
      <c r="BD81" s="3"/>
      <c r="BE81" s="3"/>
    </row>
    <row r="82" spans="1:57" x14ac:dyDescent="0.25">
      <c r="A82" s="2"/>
      <c r="D82" s="3"/>
      <c r="E82" s="4"/>
      <c r="F82" s="5"/>
      <c r="G82" s="5"/>
      <c r="J82" s="3"/>
      <c r="K82" s="3"/>
      <c r="L82" s="6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5"/>
      <c r="AA82" s="3"/>
      <c r="AB82" s="3"/>
      <c r="AC82" s="3"/>
      <c r="AD82" s="5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7"/>
      <c r="AX82" s="7"/>
      <c r="AY82" s="7"/>
      <c r="AZ82" s="7"/>
      <c r="BA82" s="8"/>
      <c r="BB82" s="3"/>
      <c r="BC82" s="3"/>
      <c r="BD82" s="3"/>
      <c r="BE82" s="3"/>
    </row>
    <row r="83" spans="1:57" x14ac:dyDescent="0.25">
      <c r="A83" s="2"/>
      <c r="D83" s="3"/>
      <c r="E83" s="4"/>
      <c r="F83" s="5"/>
      <c r="G83" s="5"/>
      <c r="J83" s="3"/>
      <c r="K83" s="3"/>
      <c r="L83" s="6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5"/>
      <c r="AA83" s="3"/>
      <c r="AB83" s="3"/>
      <c r="AC83" s="3"/>
      <c r="AD83" s="5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7"/>
      <c r="AX83" s="7"/>
      <c r="AY83" s="7"/>
      <c r="AZ83" s="7"/>
      <c r="BA83" s="8"/>
      <c r="BB83" s="3"/>
      <c r="BC83" s="3"/>
      <c r="BD83" s="3"/>
      <c r="BE83" s="3"/>
    </row>
    <row r="84" spans="1:57" x14ac:dyDescent="0.25">
      <c r="A84" s="2"/>
      <c r="D84" s="3"/>
      <c r="E84" s="4"/>
      <c r="F84" s="5"/>
      <c r="G84" s="5"/>
      <c r="J84" s="3"/>
      <c r="K84" s="3"/>
      <c r="L84" s="6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5"/>
      <c r="AA84" s="3"/>
      <c r="AB84" s="3"/>
      <c r="AC84" s="3"/>
      <c r="AD84" s="5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7"/>
      <c r="AX84" s="7"/>
      <c r="AY84" s="7"/>
      <c r="AZ84" s="7"/>
      <c r="BA84" s="8"/>
      <c r="BB84" s="3"/>
      <c r="BC84" s="3"/>
      <c r="BD84" s="3"/>
      <c r="BE84" s="3"/>
    </row>
    <row r="85" spans="1:57" x14ac:dyDescent="0.25">
      <c r="A85" s="2"/>
      <c r="D85" s="3"/>
      <c r="E85" s="4"/>
      <c r="F85" s="5"/>
      <c r="G85" s="5"/>
      <c r="J85" s="3"/>
      <c r="K85" s="3"/>
      <c r="L85" s="6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5"/>
      <c r="AA85" s="3"/>
      <c r="AB85" s="3"/>
      <c r="AC85" s="3"/>
      <c r="AD85" s="5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7"/>
      <c r="AX85" s="7"/>
      <c r="AY85" s="7"/>
      <c r="AZ85" s="7"/>
      <c r="BA85" s="8"/>
      <c r="BB85" s="3"/>
      <c r="BC85" s="3"/>
      <c r="BD85" s="3"/>
      <c r="BE85" s="3"/>
    </row>
    <row r="86" spans="1:57" x14ac:dyDescent="0.25">
      <c r="A86" s="2"/>
      <c r="D86" s="3"/>
      <c r="E86" s="4"/>
      <c r="F86" s="5"/>
      <c r="G86" s="5"/>
      <c r="J86" s="3"/>
      <c r="K86" s="3"/>
      <c r="L86" s="6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5"/>
      <c r="AA86" s="3"/>
      <c r="AB86" s="3"/>
      <c r="AC86" s="3"/>
      <c r="AD86" s="5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7"/>
      <c r="AX86" s="7"/>
      <c r="AY86" s="7"/>
      <c r="AZ86" s="7"/>
      <c r="BA86" s="8"/>
      <c r="BB86" s="3"/>
      <c r="BC86" s="3"/>
      <c r="BD86" s="3"/>
      <c r="BE86" s="3"/>
    </row>
    <row r="87" spans="1:57" x14ac:dyDescent="0.25">
      <c r="A87" s="2"/>
      <c r="D87" s="3"/>
      <c r="E87" s="4"/>
      <c r="F87" s="5"/>
      <c r="G87" s="5"/>
      <c r="J87" s="3"/>
      <c r="K87" s="3"/>
      <c r="L87" s="6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5"/>
      <c r="AA87" s="3"/>
      <c r="AB87" s="3"/>
      <c r="AC87" s="3"/>
      <c r="AD87" s="5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7"/>
      <c r="AX87" s="7"/>
      <c r="AY87" s="7"/>
      <c r="AZ87" s="7"/>
      <c r="BA87" s="8"/>
      <c r="BB87" s="3"/>
      <c r="BC87" s="3"/>
      <c r="BD87" s="3"/>
      <c r="BE87" s="3"/>
    </row>
    <row r="88" spans="1:57" x14ac:dyDescent="0.25">
      <c r="A88" s="2"/>
      <c r="D88" s="3"/>
      <c r="E88" s="4"/>
      <c r="F88" s="5"/>
      <c r="G88" s="5"/>
      <c r="J88" s="3"/>
      <c r="K88" s="3"/>
      <c r="L88" s="6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5"/>
      <c r="AA88" s="3"/>
      <c r="AB88" s="3"/>
      <c r="AC88" s="3"/>
      <c r="AD88" s="5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7"/>
      <c r="AX88" s="7"/>
      <c r="AY88" s="7"/>
      <c r="AZ88" s="7"/>
      <c r="BA88" s="8"/>
      <c r="BB88" s="3"/>
      <c r="BC88" s="3"/>
      <c r="BD88" s="3"/>
      <c r="BE88" s="3"/>
    </row>
    <row r="89" spans="1:57" x14ac:dyDescent="0.25">
      <c r="A89" s="2"/>
      <c r="D89" s="3"/>
      <c r="E89" s="4"/>
      <c r="F89" s="5"/>
      <c r="G89" s="5"/>
      <c r="J89" s="3"/>
      <c r="K89" s="3"/>
      <c r="L89" s="6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5"/>
      <c r="AA89" s="3"/>
      <c r="AB89" s="3"/>
      <c r="AC89" s="3"/>
      <c r="AD89" s="5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7"/>
      <c r="AX89" s="7"/>
      <c r="AY89" s="7"/>
      <c r="AZ89" s="7"/>
      <c r="BA89" s="8"/>
      <c r="BB89" s="3"/>
      <c r="BC89" s="3"/>
      <c r="BD89" s="3"/>
      <c r="BE89" s="3"/>
    </row>
    <row r="90" spans="1:57" x14ac:dyDescent="0.25">
      <c r="A90" s="2"/>
      <c r="D90" s="3"/>
      <c r="E90" s="4"/>
      <c r="F90" s="5"/>
      <c r="G90" s="5"/>
      <c r="J90" s="3"/>
      <c r="K90" s="3"/>
      <c r="L90" s="6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5"/>
      <c r="AA90" s="3"/>
      <c r="AB90" s="3"/>
      <c r="AC90" s="3"/>
      <c r="AD90" s="5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7"/>
      <c r="AX90" s="7"/>
      <c r="AY90" s="7"/>
      <c r="AZ90" s="7"/>
      <c r="BA90" s="8"/>
      <c r="BB90" s="3"/>
      <c r="BC90" s="3"/>
      <c r="BD90" s="3"/>
      <c r="BE90" s="3"/>
    </row>
    <row r="91" spans="1:57" x14ac:dyDescent="0.25">
      <c r="A91" s="2"/>
      <c r="D91" s="3"/>
      <c r="E91" s="4"/>
      <c r="F91" s="5"/>
      <c r="G91" s="5"/>
      <c r="J91" s="3"/>
      <c r="K91" s="3"/>
      <c r="L91" s="6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5"/>
      <c r="AA91" s="3"/>
      <c r="AB91" s="3"/>
      <c r="AC91" s="3"/>
      <c r="AD91" s="5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7"/>
      <c r="AX91" s="7"/>
      <c r="AY91" s="7"/>
      <c r="AZ91" s="7"/>
      <c r="BA91" s="8"/>
      <c r="BB91" s="3"/>
      <c r="BC91" s="3"/>
      <c r="BD91" s="3"/>
      <c r="BE91" s="3"/>
    </row>
    <row r="92" spans="1:57" x14ac:dyDescent="0.25">
      <c r="A92" s="2"/>
      <c r="D92" s="3"/>
      <c r="E92" s="4"/>
      <c r="F92" s="5"/>
      <c r="G92" s="5"/>
      <c r="J92" s="3"/>
      <c r="K92" s="3"/>
      <c r="L92" s="6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5"/>
      <c r="AA92" s="3"/>
      <c r="AB92" s="3"/>
      <c r="AC92" s="3"/>
      <c r="AD92" s="5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7"/>
      <c r="AX92" s="7"/>
      <c r="AY92" s="7"/>
      <c r="AZ92" s="7"/>
      <c r="BA92" s="8"/>
      <c r="BB92" s="3"/>
      <c r="BC92" s="3"/>
      <c r="BD92" s="3"/>
      <c r="BE92" s="3"/>
    </row>
    <row r="93" spans="1:57" x14ac:dyDescent="0.25">
      <c r="A93" s="2"/>
      <c r="D93" s="3"/>
      <c r="E93" s="4"/>
      <c r="F93" s="5"/>
      <c r="G93" s="5"/>
      <c r="J93" s="3"/>
      <c r="K93" s="3"/>
      <c r="L93" s="6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5"/>
      <c r="AA93" s="3"/>
      <c r="AB93" s="3"/>
      <c r="AC93" s="3"/>
      <c r="AD93" s="5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7"/>
      <c r="AX93" s="7"/>
      <c r="AY93" s="7"/>
      <c r="AZ93" s="7"/>
      <c r="BA93" s="8"/>
      <c r="BB93" s="3"/>
      <c r="BC93" s="3"/>
      <c r="BD93" s="3"/>
      <c r="BE93" s="3"/>
    </row>
    <row r="94" spans="1:57" x14ac:dyDescent="0.25">
      <c r="A94" s="2"/>
      <c r="D94" s="3"/>
      <c r="E94" s="4"/>
      <c r="F94" s="5"/>
      <c r="G94" s="5"/>
      <c r="J94" s="3"/>
      <c r="K94" s="3"/>
      <c r="L94" s="6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5"/>
      <c r="AA94" s="3"/>
      <c r="AB94" s="3"/>
      <c r="AC94" s="3"/>
      <c r="AD94" s="5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7"/>
      <c r="AX94" s="7"/>
      <c r="AY94" s="7"/>
      <c r="AZ94" s="7"/>
      <c r="BA94" s="8"/>
      <c r="BB94" s="3"/>
      <c r="BC94" s="3"/>
      <c r="BD94" s="3"/>
      <c r="BE94" s="3"/>
    </row>
    <row r="95" spans="1:57" x14ac:dyDescent="0.25">
      <c r="A95" s="2"/>
      <c r="D95" s="3"/>
      <c r="E95" s="4"/>
      <c r="F95" s="5"/>
      <c r="G95" s="5"/>
      <c r="J95" s="3"/>
      <c r="K95" s="3"/>
      <c r="L95" s="6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5"/>
      <c r="AA95" s="3"/>
      <c r="AB95" s="3"/>
      <c r="AC95" s="3"/>
      <c r="AD95" s="5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7"/>
      <c r="AX95" s="7"/>
      <c r="AY95" s="7"/>
      <c r="AZ95" s="7"/>
      <c r="BA95" s="8"/>
      <c r="BB95" s="3"/>
      <c r="BC95" s="3"/>
      <c r="BD95" s="3"/>
      <c r="BE95" s="3"/>
    </row>
    <row r="96" spans="1:57" x14ac:dyDescent="0.25">
      <c r="A96" s="2"/>
      <c r="D96" s="3"/>
      <c r="E96" s="4"/>
      <c r="F96" s="5"/>
      <c r="G96" s="5"/>
      <c r="J96" s="3"/>
      <c r="K96" s="3"/>
      <c r="L96" s="6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5"/>
      <c r="AA96" s="3"/>
      <c r="AB96" s="3"/>
      <c r="AC96" s="3"/>
      <c r="AD96" s="5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7"/>
      <c r="AX96" s="7"/>
      <c r="AY96" s="7"/>
      <c r="AZ96" s="7"/>
      <c r="BA96" s="8"/>
      <c r="BB96" s="3"/>
      <c r="BC96" s="3"/>
      <c r="BD96" s="3"/>
      <c r="BE96" s="3"/>
    </row>
    <row r="97" spans="1:57" x14ac:dyDescent="0.25">
      <c r="A97" s="2"/>
      <c r="D97" s="3"/>
      <c r="E97" s="4"/>
      <c r="F97" s="5"/>
      <c r="G97" s="5"/>
      <c r="J97" s="3"/>
      <c r="K97" s="3"/>
      <c r="L97" s="6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5"/>
      <c r="AA97" s="3"/>
      <c r="AB97" s="3"/>
      <c r="AC97" s="3"/>
      <c r="AD97" s="5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7"/>
      <c r="AX97" s="7"/>
      <c r="AY97" s="7"/>
      <c r="AZ97" s="7"/>
      <c r="BA97" s="8"/>
      <c r="BB97" s="3"/>
      <c r="BC97" s="3"/>
      <c r="BD97" s="3"/>
      <c r="BE97" s="3"/>
    </row>
    <row r="98" spans="1:57" x14ac:dyDescent="0.25">
      <c r="A98" s="2"/>
      <c r="D98" s="3"/>
      <c r="E98" s="4"/>
      <c r="F98" s="5"/>
      <c r="G98" s="5"/>
      <c r="J98" s="3"/>
      <c r="K98" s="3"/>
      <c r="L98" s="6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5"/>
      <c r="AA98" s="3"/>
      <c r="AB98" s="3"/>
      <c r="AC98" s="3"/>
      <c r="AD98" s="5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7"/>
      <c r="AX98" s="7"/>
      <c r="AY98" s="7"/>
      <c r="AZ98" s="7"/>
      <c r="BA98" s="8"/>
      <c r="BB98" s="3"/>
      <c r="BC98" s="3"/>
      <c r="BD98" s="3"/>
      <c r="BE98" s="3"/>
    </row>
    <row r="99" spans="1:57" x14ac:dyDescent="0.25">
      <c r="A99" s="2"/>
      <c r="D99" s="3"/>
      <c r="E99" s="4"/>
      <c r="F99" s="5"/>
      <c r="G99" s="5"/>
      <c r="J99" s="3"/>
      <c r="K99" s="3"/>
      <c r="L99" s="6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5"/>
      <c r="AA99" s="3"/>
      <c r="AB99" s="3"/>
      <c r="AC99" s="3"/>
      <c r="AD99" s="5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7"/>
      <c r="AX99" s="7"/>
      <c r="AY99" s="7"/>
      <c r="AZ99" s="7"/>
      <c r="BA99" s="8"/>
      <c r="BB99" s="3"/>
      <c r="BC99" s="3"/>
      <c r="BD99" s="3"/>
      <c r="BE99" s="3"/>
    </row>
    <row r="100" spans="1:57" x14ac:dyDescent="0.25">
      <c r="A100" s="2"/>
      <c r="D100" s="3"/>
      <c r="E100" s="4"/>
      <c r="F100" s="5"/>
      <c r="G100" s="5"/>
      <c r="J100" s="3"/>
      <c r="K100" s="3"/>
      <c r="L100" s="6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5"/>
      <c r="AA100" s="3"/>
      <c r="AB100" s="3"/>
      <c r="AC100" s="3"/>
      <c r="AD100" s="5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7"/>
      <c r="AX100" s="7"/>
      <c r="AY100" s="7"/>
      <c r="AZ100" s="7"/>
      <c r="BA100" s="8"/>
      <c r="BB100" s="3"/>
      <c r="BC100" s="3"/>
      <c r="BD100" s="3"/>
      <c r="BE100" s="3"/>
    </row>
    <row r="101" spans="1:57" x14ac:dyDescent="0.25">
      <c r="A101" s="2"/>
      <c r="D101" s="3"/>
      <c r="E101" s="4"/>
      <c r="F101" s="5"/>
      <c r="G101" s="5"/>
      <c r="J101" s="3"/>
      <c r="K101" s="3"/>
      <c r="L101" s="6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5"/>
      <c r="AA101" s="3"/>
      <c r="AB101" s="3"/>
      <c r="AC101" s="3"/>
      <c r="AD101" s="5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7"/>
      <c r="AX101" s="7"/>
      <c r="AY101" s="7"/>
      <c r="AZ101" s="7"/>
      <c r="BA101" s="8"/>
      <c r="BB101" s="3"/>
      <c r="BC101" s="3"/>
      <c r="BD101" s="3"/>
      <c r="BE101" s="3"/>
    </row>
    <row r="102" spans="1:57" x14ac:dyDescent="0.25">
      <c r="A102" s="2"/>
      <c r="D102" s="3"/>
      <c r="E102" s="4"/>
      <c r="F102" s="5"/>
      <c r="G102" s="5"/>
      <c r="J102" s="3"/>
      <c r="K102" s="3"/>
      <c r="L102" s="6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5"/>
      <c r="AA102" s="3"/>
      <c r="AB102" s="3"/>
      <c r="AC102" s="3"/>
      <c r="AD102" s="5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7"/>
      <c r="AX102" s="7"/>
      <c r="AY102" s="7"/>
      <c r="AZ102" s="7"/>
      <c r="BA102" s="8"/>
      <c r="BB102" s="3"/>
      <c r="BC102" s="3"/>
      <c r="BD102" s="3"/>
      <c r="BE102" s="3"/>
    </row>
    <row r="103" spans="1:57" x14ac:dyDescent="0.25">
      <c r="A103" s="2"/>
      <c r="D103" s="3"/>
      <c r="E103" s="4"/>
      <c r="F103" s="5"/>
      <c r="G103" s="5"/>
      <c r="J103" s="3"/>
      <c r="K103" s="3"/>
      <c r="L103" s="6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5"/>
      <c r="AA103" s="3"/>
      <c r="AB103" s="3"/>
      <c r="AC103" s="3"/>
      <c r="AD103" s="5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7"/>
      <c r="AX103" s="7"/>
      <c r="AY103" s="7"/>
      <c r="AZ103" s="7"/>
      <c r="BA103" s="8"/>
      <c r="BB103" s="3"/>
      <c r="BC103" s="3"/>
      <c r="BD103" s="3"/>
      <c r="BE103" s="3"/>
    </row>
    <row r="104" spans="1:57" x14ac:dyDescent="0.25">
      <c r="A104" s="2"/>
      <c r="D104" s="3"/>
      <c r="E104" s="4"/>
      <c r="F104" s="5"/>
      <c r="G104" s="5"/>
      <c r="J104" s="3"/>
      <c r="K104" s="3"/>
      <c r="L104" s="6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5"/>
      <c r="AA104" s="3"/>
      <c r="AB104" s="3"/>
      <c r="AC104" s="3"/>
      <c r="AD104" s="5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7"/>
      <c r="AX104" s="7"/>
      <c r="AY104" s="7"/>
      <c r="AZ104" s="7"/>
      <c r="BA104" s="8"/>
      <c r="BB104" s="3"/>
      <c r="BC104" s="3"/>
      <c r="BD104" s="3"/>
      <c r="BE104" s="3"/>
    </row>
    <row r="105" spans="1:57" x14ac:dyDescent="0.25">
      <c r="A105" s="2"/>
      <c r="D105" s="3"/>
      <c r="E105" s="4"/>
      <c r="F105" s="5"/>
      <c r="G105" s="5"/>
      <c r="J105" s="3"/>
      <c r="K105" s="3"/>
      <c r="L105" s="6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5"/>
      <c r="AA105" s="3"/>
      <c r="AB105" s="3"/>
      <c r="AC105" s="3"/>
      <c r="AD105" s="5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7"/>
      <c r="AX105" s="7"/>
      <c r="AY105" s="7"/>
      <c r="AZ105" s="7"/>
      <c r="BA105" s="8"/>
      <c r="BB105" s="3"/>
      <c r="BC105" s="3"/>
      <c r="BD105" s="3"/>
      <c r="BE105" s="3"/>
    </row>
    <row r="106" spans="1:57" x14ac:dyDescent="0.25">
      <c r="A106" s="2"/>
      <c r="D106" s="3"/>
      <c r="E106" s="4"/>
      <c r="F106" s="5"/>
      <c r="G106" s="5"/>
      <c r="J106" s="3"/>
      <c r="K106" s="3"/>
      <c r="L106" s="6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5"/>
      <c r="AA106" s="3"/>
      <c r="AB106" s="3"/>
      <c r="AC106" s="3"/>
      <c r="AD106" s="5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7"/>
      <c r="AX106" s="7"/>
      <c r="AY106" s="7"/>
      <c r="AZ106" s="7"/>
      <c r="BA106" s="8"/>
      <c r="BB106" s="3"/>
      <c r="BC106" s="3"/>
      <c r="BD106" s="3"/>
      <c r="BE106" s="3"/>
    </row>
    <row r="107" spans="1:57" x14ac:dyDescent="0.25">
      <c r="A107" s="2"/>
      <c r="D107" s="3"/>
      <c r="E107" s="4"/>
      <c r="F107" s="5"/>
      <c r="G107" s="5"/>
      <c r="J107" s="3"/>
      <c r="K107" s="3"/>
      <c r="L107" s="6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5"/>
      <c r="AA107" s="3"/>
      <c r="AB107" s="3"/>
      <c r="AC107" s="3"/>
      <c r="AD107" s="5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7"/>
      <c r="AX107" s="7"/>
      <c r="AY107" s="7"/>
      <c r="AZ107" s="7"/>
      <c r="BA107" s="8"/>
      <c r="BB107" s="3"/>
      <c r="BC107" s="3"/>
      <c r="BD107" s="3"/>
      <c r="BE107" s="3"/>
    </row>
    <row r="108" spans="1:57" x14ac:dyDescent="0.25">
      <c r="A108" s="2"/>
      <c r="D108" s="3"/>
      <c r="E108" s="4"/>
      <c r="F108" s="5"/>
      <c r="G108" s="5"/>
      <c r="J108" s="3"/>
      <c r="K108" s="3"/>
      <c r="L108" s="6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5"/>
      <c r="AA108" s="3"/>
      <c r="AB108" s="3"/>
      <c r="AC108" s="3"/>
      <c r="AD108" s="5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7"/>
      <c r="AX108" s="7"/>
      <c r="AY108" s="7"/>
      <c r="AZ108" s="7"/>
      <c r="BA108" s="8"/>
      <c r="BB108" s="3"/>
      <c r="BC108" s="3"/>
      <c r="BD108" s="3"/>
      <c r="BE108" s="3"/>
    </row>
    <row r="109" spans="1:57" x14ac:dyDescent="0.25">
      <c r="A109" s="2"/>
      <c r="D109" s="3"/>
      <c r="E109" s="4"/>
      <c r="F109" s="5"/>
      <c r="G109" s="5"/>
      <c r="J109" s="3"/>
      <c r="K109" s="3"/>
      <c r="L109" s="6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5"/>
      <c r="AA109" s="3"/>
      <c r="AB109" s="3"/>
      <c r="AC109" s="3"/>
      <c r="AD109" s="5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7"/>
      <c r="AX109" s="7"/>
      <c r="AY109" s="7"/>
      <c r="AZ109" s="7"/>
      <c r="BA109" s="8"/>
      <c r="BB109" s="3"/>
      <c r="BC109" s="3"/>
      <c r="BD109" s="3"/>
      <c r="BE109" s="3"/>
    </row>
    <row r="110" spans="1:57" x14ac:dyDescent="0.25">
      <c r="A110" s="2"/>
      <c r="D110" s="3"/>
      <c r="E110" s="4"/>
      <c r="F110" s="5"/>
      <c r="G110" s="5"/>
      <c r="J110" s="3"/>
      <c r="K110" s="3"/>
      <c r="L110" s="6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5"/>
      <c r="AA110" s="3"/>
      <c r="AB110" s="3"/>
      <c r="AC110" s="3"/>
      <c r="AD110" s="5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7"/>
      <c r="AX110" s="7"/>
      <c r="AY110" s="7"/>
      <c r="AZ110" s="7"/>
      <c r="BA110" s="8"/>
      <c r="BB110" s="3"/>
      <c r="BC110" s="3"/>
      <c r="BD110" s="3"/>
      <c r="BE110" s="3"/>
    </row>
    <row r="111" spans="1:57" x14ac:dyDescent="0.25">
      <c r="A111" s="2"/>
      <c r="D111" s="3"/>
      <c r="E111" s="4"/>
      <c r="F111" s="5"/>
      <c r="G111" s="5"/>
      <c r="J111" s="3"/>
      <c r="K111" s="3"/>
      <c r="L111" s="6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5"/>
      <c r="AA111" s="3"/>
      <c r="AB111" s="3"/>
      <c r="AC111" s="3"/>
      <c r="AD111" s="5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7"/>
      <c r="AX111" s="7"/>
      <c r="AY111" s="7"/>
      <c r="AZ111" s="7"/>
      <c r="BA111" s="8"/>
      <c r="BB111" s="3"/>
      <c r="BC111" s="3"/>
      <c r="BD111" s="3"/>
      <c r="BE111" s="3"/>
    </row>
    <row r="112" spans="1:57" x14ac:dyDescent="0.25">
      <c r="A112" s="2"/>
      <c r="D112" s="3"/>
      <c r="E112" s="4"/>
      <c r="F112" s="5"/>
      <c r="G112" s="5"/>
      <c r="J112" s="3"/>
      <c r="K112" s="3"/>
      <c r="L112" s="6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5"/>
      <c r="AA112" s="3"/>
      <c r="AB112" s="3"/>
      <c r="AC112" s="3"/>
      <c r="AD112" s="5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7"/>
      <c r="AX112" s="7"/>
      <c r="AY112" s="7"/>
      <c r="AZ112" s="7"/>
      <c r="BA112" s="8"/>
      <c r="BB112" s="3"/>
      <c r="BC112" s="3"/>
      <c r="BD112" s="3"/>
      <c r="BE112" s="3"/>
    </row>
    <row r="113" spans="1:57" x14ac:dyDescent="0.25">
      <c r="A113" s="2"/>
      <c r="D113" s="3"/>
      <c r="E113" s="4"/>
      <c r="F113" s="5"/>
      <c r="G113" s="5"/>
      <c r="J113" s="3"/>
      <c r="K113" s="3"/>
      <c r="L113" s="6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5"/>
      <c r="AA113" s="3"/>
      <c r="AB113" s="3"/>
      <c r="AC113" s="3"/>
      <c r="AD113" s="5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7"/>
      <c r="AX113" s="7"/>
      <c r="AY113" s="7"/>
      <c r="AZ113" s="7"/>
      <c r="BA113" s="8"/>
      <c r="BB113" s="3"/>
      <c r="BC113" s="3"/>
      <c r="BD113" s="3"/>
      <c r="BE113" s="3"/>
    </row>
    <row r="114" spans="1:57" x14ac:dyDescent="0.25">
      <c r="A114" s="2"/>
      <c r="D114" s="3"/>
      <c r="E114" s="4"/>
      <c r="F114" s="5"/>
      <c r="G114" s="5"/>
      <c r="J114" s="3"/>
      <c r="K114" s="3"/>
      <c r="L114" s="6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5"/>
      <c r="AA114" s="3"/>
      <c r="AB114" s="3"/>
      <c r="AC114" s="3"/>
      <c r="AD114" s="5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7"/>
      <c r="AX114" s="7"/>
      <c r="AY114" s="7"/>
      <c r="AZ114" s="7"/>
      <c r="BA114" s="8"/>
      <c r="BB114" s="3"/>
      <c r="BC114" s="3"/>
      <c r="BD114" s="3"/>
      <c r="BE114" s="3"/>
    </row>
    <row r="115" spans="1:57" x14ac:dyDescent="0.25">
      <c r="A115" s="2"/>
      <c r="D115" s="3"/>
      <c r="E115" s="4"/>
      <c r="F115" s="5"/>
      <c r="G115" s="5"/>
      <c r="J115" s="3"/>
      <c r="K115" s="3"/>
      <c r="L115" s="6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5"/>
      <c r="AA115" s="3"/>
      <c r="AB115" s="3"/>
      <c r="AC115" s="3"/>
      <c r="AD115" s="5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7"/>
      <c r="AX115" s="7"/>
      <c r="AY115" s="7"/>
      <c r="AZ115" s="7"/>
      <c r="BA115" s="8"/>
      <c r="BB115" s="3"/>
      <c r="BC115" s="3"/>
      <c r="BD115" s="3"/>
      <c r="BE115" s="3"/>
    </row>
    <row r="116" spans="1:57" x14ac:dyDescent="0.25">
      <c r="A116" s="2"/>
      <c r="D116" s="3"/>
      <c r="E116" s="4"/>
      <c r="F116" s="5"/>
      <c r="G116" s="5"/>
      <c r="J116" s="3"/>
      <c r="K116" s="3"/>
      <c r="L116" s="6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5"/>
      <c r="AA116" s="3"/>
      <c r="AB116" s="3"/>
      <c r="AC116" s="3"/>
      <c r="AD116" s="5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7"/>
      <c r="AX116" s="7"/>
      <c r="AY116" s="7"/>
      <c r="AZ116" s="7"/>
      <c r="BA116" s="8"/>
      <c r="BB116" s="3"/>
      <c r="BC116" s="3"/>
      <c r="BD116" s="3"/>
      <c r="BE116" s="3"/>
    </row>
    <row r="117" spans="1:57" x14ac:dyDescent="0.25">
      <c r="A117" s="2"/>
      <c r="D117" s="3"/>
      <c r="E117" s="4"/>
      <c r="F117" s="5"/>
      <c r="G117" s="5"/>
      <c r="J117" s="3"/>
      <c r="K117" s="3"/>
      <c r="L117" s="6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5"/>
      <c r="AA117" s="3"/>
      <c r="AB117" s="3"/>
      <c r="AC117" s="3"/>
      <c r="AD117" s="5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7"/>
      <c r="AX117" s="7"/>
      <c r="AY117" s="7"/>
      <c r="AZ117" s="7"/>
      <c r="BA117" s="8"/>
      <c r="BB117" s="3"/>
      <c r="BC117" s="3"/>
      <c r="BD117" s="3"/>
      <c r="BE117" s="3"/>
    </row>
    <row r="118" spans="1:57" x14ac:dyDescent="0.25">
      <c r="A118" s="2"/>
      <c r="D118" s="3"/>
      <c r="E118" s="4"/>
      <c r="F118" s="5"/>
      <c r="G118" s="5"/>
      <c r="J118" s="3"/>
      <c r="K118" s="3"/>
      <c r="L118" s="6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5"/>
      <c r="AA118" s="3"/>
      <c r="AB118" s="3"/>
      <c r="AC118" s="3"/>
      <c r="AD118" s="5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7"/>
      <c r="AX118" s="7"/>
      <c r="AY118" s="7"/>
      <c r="AZ118" s="7"/>
      <c r="BA118" s="8"/>
      <c r="BB118" s="3"/>
      <c r="BC118" s="3"/>
      <c r="BD118" s="3"/>
      <c r="BE118" s="3"/>
    </row>
    <row r="119" spans="1:57" x14ac:dyDescent="0.25">
      <c r="A119" s="2"/>
      <c r="D119" s="3"/>
      <c r="E119" s="4"/>
      <c r="F119" s="5"/>
      <c r="G119" s="5"/>
      <c r="J119" s="3"/>
      <c r="K119" s="3"/>
      <c r="L119" s="6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5"/>
      <c r="AA119" s="3"/>
      <c r="AB119" s="3"/>
      <c r="AC119" s="3"/>
      <c r="AD119" s="5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7"/>
      <c r="AX119" s="7"/>
      <c r="AY119" s="7"/>
      <c r="AZ119" s="7"/>
      <c r="BA119" s="8"/>
      <c r="BB119" s="3"/>
      <c r="BC119" s="3"/>
      <c r="BD119" s="3"/>
      <c r="BE119" s="3"/>
    </row>
    <row r="120" spans="1:57" x14ac:dyDescent="0.25">
      <c r="A120" s="2"/>
      <c r="D120" s="3"/>
      <c r="E120" s="4"/>
      <c r="F120" s="5"/>
      <c r="G120" s="5"/>
      <c r="J120" s="3"/>
      <c r="K120" s="3"/>
      <c r="L120" s="6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5"/>
      <c r="AA120" s="3"/>
      <c r="AB120" s="3"/>
      <c r="AC120" s="3"/>
      <c r="AD120" s="5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7"/>
      <c r="AX120" s="7"/>
      <c r="AY120" s="7"/>
      <c r="AZ120" s="7"/>
      <c r="BA120" s="8"/>
      <c r="BB120" s="3"/>
      <c r="BC120" s="3"/>
      <c r="BD120" s="3"/>
      <c r="BE120" s="3"/>
    </row>
    <row r="121" spans="1:57" x14ac:dyDescent="0.25">
      <c r="A121" s="2"/>
      <c r="D121" s="3"/>
      <c r="E121" s="4"/>
      <c r="F121" s="5"/>
      <c r="G121" s="5"/>
      <c r="J121" s="3"/>
      <c r="K121" s="3"/>
      <c r="L121" s="6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5"/>
      <c r="AA121" s="3"/>
      <c r="AB121" s="3"/>
      <c r="AC121" s="3"/>
      <c r="AD121" s="5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7"/>
      <c r="AX121" s="7"/>
      <c r="AY121" s="7"/>
      <c r="AZ121" s="7"/>
      <c r="BA121" s="8"/>
      <c r="BB121" s="3"/>
      <c r="BC121" s="3"/>
      <c r="BD121" s="3"/>
      <c r="BE121" s="3"/>
    </row>
    <row r="122" spans="1:57" x14ac:dyDescent="0.25">
      <c r="A122" s="2"/>
      <c r="D122" s="3"/>
      <c r="E122" s="4"/>
      <c r="F122" s="5"/>
      <c r="G122" s="5"/>
      <c r="J122" s="3"/>
      <c r="K122" s="3"/>
      <c r="L122" s="6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5"/>
      <c r="AA122" s="3"/>
      <c r="AB122" s="3"/>
      <c r="AC122" s="3"/>
      <c r="AD122" s="5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7"/>
      <c r="AX122" s="7"/>
      <c r="AY122" s="7"/>
      <c r="AZ122" s="7"/>
      <c r="BA122" s="8"/>
      <c r="BB122" s="3"/>
      <c r="BC122" s="3"/>
      <c r="BD122" s="3"/>
      <c r="BE122" s="3"/>
    </row>
    <row r="123" spans="1:57" x14ac:dyDescent="0.25">
      <c r="A123" s="2"/>
      <c r="D123" s="3"/>
      <c r="E123" s="4"/>
      <c r="F123" s="5"/>
      <c r="G123" s="5"/>
      <c r="J123" s="3"/>
      <c r="K123" s="3"/>
      <c r="L123" s="6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5"/>
      <c r="AA123" s="3"/>
      <c r="AB123" s="3"/>
      <c r="AC123" s="3"/>
      <c r="AD123" s="5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7"/>
      <c r="AX123" s="7"/>
      <c r="AY123" s="7"/>
      <c r="AZ123" s="7"/>
      <c r="BA123" s="8"/>
      <c r="BB123" s="3"/>
      <c r="BC123" s="3"/>
      <c r="BD123" s="3"/>
      <c r="BE123" s="3"/>
    </row>
    <row r="124" spans="1:57" x14ac:dyDescent="0.25">
      <c r="A124" s="2"/>
      <c r="D124" s="3"/>
      <c r="E124" s="4"/>
      <c r="F124" s="5"/>
      <c r="G124" s="5"/>
      <c r="J124" s="3"/>
      <c r="K124" s="3"/>
      <c r="L124" s="6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5"/>
      <c r="AA124" s="3"/>
      <c r="AB124" s="3"/>
      <c r="AC124" s="3"/>
      <c r="AD124" s="5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7"/>
      <c r="AX124" s="7"/>
      <c r="AY124" s="7"/>
      <c r="AZ124" s="7"/>
      <c r="BA124" s="8"/>
      <c r="BB124" s="3"/>
      <c r="BC124" s="3"/>
      <c r="BD124" s="3"/>
      <c r="BE124" s="3"/>
    </row>
    <row r="125" spans="1:57" x14ac:dyDescent="0.25">
      <c r="A125" s="2"/>
      <c r="D125" s="3"/>
      <c r="E125" s="4"/>
      <c r="F125" s="5"/>
      <c r="G125" s="5"/>
      <c r="J125" s="3"/>
      <c r="K125" s="3"/>
      <c r="L125" s="6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5"/>
      <c r="AA125" s="3"/>
      <c r="AB125" s="3"/>
      <c r="AC125" s="3"/>
      <c r="AD125" s="5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7"/>
      <c r="AX125" s="7"/>
      <c r="AY125" s="7"/>
      <c r="AZ125" s="7"/>
      <c r="BA125" s="8"/>
      <c r="BB125" s="3"/>
      <c r="BC125" s="3"/>
      <c r="BD125" s="3"/>
      <c r="BE125" s="3"/>
    </row>
    <row r="126" spans="1:57" x14ac:dyDescent="0.25">
      <c r="A126" s="2"/>
      <c r="D126" s="3"/>
      <c r="E126" s="4"/>
      <c r="F126" s="5"/>
      <c r="G126" s="5"/>
      <c r="J126" s="3"/>
      <c r="K126" s="3"/>
      <c r="L126" s="6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5"/>
      <c r="AA126" s="3"/>
      <c r="AB126" s="3"/>
      <c r="AC126" s="3"/>
      <c r="AD126" s="5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7"/>
      <c r="AX126" s="7"/>
      <c r="AY126" s="7"/>
      <c r="AZ126" s="7"/>
      <c r="BA126" s="8"/>
      <c r="BB126" s="3"/>
      <c r="BC126" s="3"/>
      <c r="BD126" s="3"/>
      <c r="BE126" s="3"/>
    </row>
    <row r="127" spans="1:57" x14ac:dyDescent="0.25">
      <c r="A127" s="2"/>
      <c r="D127" s="3"/>
      <c r="E127" s="4"/>
      <c r="F127" s="5"/>
      <c r="G127" s="5"/>
      <c r="J127" s="3"/>
      <c r="K127" s="3"/>
      <c r="L127" s="6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5"/>
      <c r="AA127" s="3"/>
      <c r="AB127" s="3"/>
      <c r="AC127" s="3"/>
      <c r="AD127" s="5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7"/>
      <c r="AX127" s="7"/>
      <c r="AY127" s="7"/>
      <c r="AZ127" s="7"/>
      <c r="BA127" s="8"/>
      <c r="BB127" s="3"/>
      <c r="BC127" s="3"/>
      <c r="BD127" s="3"/>
      <c r="BE127" s="3"/>
    </row>
    <row r="128" spans="1:57" x14ac:dyDescent="0.25">
      <c r="A128" s="2"/>
      <c r="D128" s="3"/>
      <c r="E128" s="4"/>
      <c r="F128" s="5"/>
      <c r="G128" s="5"/>
      <c r="J128" s="3"/>
      <c r="K128" s="3"/>
      <c r="L128" s="6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5"/>
      <c r="AA128" s="3"/>
      <c r="AB128" s="3"/>
      <c r="AC128" s="3"/>
      <c r="AD128" s="5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7"/>
      <c r="AX128" s="7"/>
      <c r="AY128" s="7"/>
      <c r="AZ128" s="7"/>
      <c r="BA128" s="8"/>
      <c r="BB128" s="3"/>
      <c r="BC128" s="3"/>
      <c r="BD128" s="3"/>
      <c r="BE128" s="3"/>
    </row>
    <row r="129" spans="1:57" x14ac:dyDescent="0.25">
      <c r="A129" s="2"/>
      <c r="D129" s="3"/>
      <c r="E129" s="4"/>
      <c r="F129" s="5"/>
      <c r="G129" s="5"/>
      <c r="J129" s="3"/>
      <c r="K129" s="3"/>
      <c r="L129" s="6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5"/>
      <c r="AA129" s="3"/>
      <c r="AB129" s="3"/>
      <c r="AC129" s="3"/>
      <c r="AD129" s="5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7"/>
      <c r="AX129" s="7"/>
      <c r="AY129" s="7"/>
      <c r="AZ129" s="7"/>
      <c r="BA129" s="8"/>
      <c r="BB129" s="3"/>
      <c r="BC129" s="3"/>
      <c r="BD129" s="3"/>
      <c r="BE129" s="3"/>
    </row>
    <row r="130" spans="1:57" x14ac:dyDescent="0.25">
      <c r="A130" s="2"/>
      <c r="D130" s="3"/>
      <c r="E130" s="4"/>
      <c r="F130" s="5"/>
      <c r="G130" s="5"/>
      <c r="J130" s="3"/>
      <c r="K130" s="3"/>
      <c r="L130" s="6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5"/>
      <c r="AA130" s="3"/>
      <c r="AB130" s="3"/>
      <c r="AC130" s="3"/>
      <c r="AD130" s="5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7"/>
      <c r="AX130" s="7"/>
      <c r="AY130" s="7"/>
      <c r="AZ130" s="7"/>
      <c r="BA130" s="8"/>
      <c r="BB130" s="3"/>
      <c r="BC130" s="3"/>
      <c r="BD130" s="3"/>
      <c r="BE130" s="3"/>
    </row>
    <row r="131" spans="1:57" x14ac:dyDescent="0.25">
      <c r="A131" s="2"/>
      <c r="D131" s="3"/>
      <c r="E131" s="4"/>
      <c r="F131" s="5"/>
      <c r="G131" s="5"/>
      <c r="J131" s="3"/>
      <c r="K131" s="3"/>
      <c r="L131" s="6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5"/>
      <c r="AA131" s="3"/>
      <c r="AB131" s="3"/>
      <c r="AC131" s="3"/>
      <c r="AD131" s="5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7"/>
      <c r="AX131" s="7"/>
      <c r="AY131" s="7"/>
      <c r="AZ131" s="7"/>
      <c r="BA131" s="8"/>
      <c r="BB131" s="3"/>
      <c r="BC131" s="3"/>
      <c r="BD131" s="3"/>
      <c r="BE131" s="3"/>
    </row>
    <row r="132" spans="1:57" x14ac:dyDescent="0.25">
      <c r="A132" s="2"/>
      <c r="D132" s="3"/>
      <c r="E132" s="4"/>
      <c r="F132" s="5"/>
      <c r="G132" s="5"/>
      <c r="J132" s="3"/>
      <c r="K132" s="3"/>
      <c r="L132" s="6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5"/>
      <c r="AA132" s="3"/>
      <c r="AB132" s="3"/>
      <c r="AC132" s="3"/>
      <c r="AD132" s="5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7"/>
      <c r="AX132" s="7"/>
      <c r="AY132" s="7"/>
      <c r="AZ132" s="7"/>
      <c r="BA132" s="8"/>
      <c r="BB132" s="3"/>
      <c r="BC132" s="3"/>
      <c r="BD132" s="3"/>
      <c r="BE132" s="3"/>
    </row>
    <row r="133" spans="1:57" x14ac:dyDescent="0.25">
      <c r="A133" s="2"/>
      <c r="D133" s="3"/>
      <c r="E133" s="4"/>
      <c r="F133" s="5"/>
      <c r="G133" s="5"/>
      <c r="J133" s="3"/>
      <c r="K133" s="3"/>
      <c r="L133" s="6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5"/>
      <c r="AA133" s="3"/>
      <c r="AB133" s="3"/>
      <c r="AC133" s="3"/>
      <c r="AD133" s="5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7"/>
      <c r="AX133" s="7"/>
      <c r="AY133" s="7"/>
      <c r="AZ133" s="7"/>
      <c r="BA133" s="8"/>
      <c r="BB133" s="3"/>
      <c r="BC133" s="3"/>
      <c r="BD133" s="3"/>
      <c r="BE133" s="3"/>
    </row>
    <row r="134" spans="1:57" x14ac:dyDescent="0.25">
      <c r="A134" s="2"/>
      <c r="D134" s="3"/>
      <c r="E134" s="4"/>
      <c r="F134" s="5"/>
      <c r="G134" s="5"/>
      <c r="J134" s="3"/>
      <c r="K134" s="3"/>
      <c r="L134" s="6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5"/>
      <c r="AA134" s="3"/>
      <c r="AB134" s="3"/>
      <c r="AC134" s="3"/>
      <c r="AD134" s="5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7"/>
      <c r="AX134" s="7"/>
      <c r="AY134" s="7"/>
      <c r="AZ134" s="7"/>
      <c r="BA134" s="8"/>
      <c r="BB134" s="3"/>
      <c r="BC134" s="3"/>
      <c r="BD134" s="3"/>
      <c r="BE134" s="3"/>
    </row>
    <row r="135" spans="1:57" x14ac:dyDescent="0.25">
      <c r="A135" s="2"/>
      <c r="D135" s="3"/>
      <c r="E135" s="4"/>
      <c r="F135" s="5"/>
      <c r="G135" s="5"/>
      <c r="J135" s="3"/>
      <c r="K135" s="3"/>
      <c r="L135" s="6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5"/>
      <c r="AA135" s="3"/>
      <c r="AB135" s="3"/>
      <c r="AC135" s="3"/>
      <c r="AD135" s="5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7"/>
      <c r="AX135" s="7"/>
      <c r="AY135" s="7"/>
      <c r="AZ135" s="7"/>
      <c r="BA135" s="8"/>
      <c r="BB135" s="3"/>
      <c r="BC135" s="3"/>
      <c r="BD135" s="3"/>
      <c r="BE135" s="3"/>
    </row>
    <row r="136" spans="1:57" x14ac:dyDescent="0.25">
      <c r="A136" s="2"/>
      <c r="D136" s="3"/>
      <c r="E136" s="4"/>
      <c r="F136" s="5"/>
      <c r="G136" s="5"/>
      <c r="J136" s="3"/>
      <c r="K136" s="3"/>
      <c r="L136" s="6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5"/>
      <c r="AA136" s="3"/>
      <c r="AB136" s="3"/>
      <c r="AC136" s="3"/>
      <c r="AD136" s="5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7"/>
      <c r="AX136" s="7"/>
      <c r="AY136" s="7"/>
      <c r="AZ136" s="7"/>
      <c r="BA136" s="8"/>
      <c r="BB136" s="3"/>
      <c r="BC136" s="3"/>
      <c r="BD136" s="3"/>
      <c r="BE136" s="3"/>
    </row>
    <row r="137" spans="1:57" x14ac:dyDescent="0.25">
      <c r="A137" s="2"/>
      <c r="D137" s="3"/>
      <c r="E137" s="4"/>
      <c r="F137" s="5"/>
      <c r="G137" s="5"/>
      <c r="J137" s="3"/>
      <c r="K137" s="3"/>
      <c r="L137" s="6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5"/>
      <c r="AA137" s="3"/>
      <c r="AB137" s="3"/>
      <c r="AC137" s="3"/>
      <c r="AD137" s="5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7"/>
      <c r="AX137" s="7"/>
      <c r="AY137" s="7"/>
      <c r="AZ137" s="7"/>
      <c r="BA137" s="8"/>
      <c r="BB137" s="3"/>
      <c r="BC137" s="3"/>
      <c r="BD137" s="3"/>
      <c r="BE137" s="3"/>
    </row>
    <row r="138" spans="1:57" x14ac:dyDescent="0.25">
      <c r="A138" s="2"/>
      <c r="D138" s="3"/>
      <c r="E138" s="4"/>
      <c r="F138" s="5"/>
      <c r="G138" s="5"/>
      <c r="J138" s="3"/>
      <c r="K138" s="3"/>
      <c r="L138" s="6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5"/>
      <c r="AA138" s="3"/>
      <c r="AB138" s="3"/>
      <c r="AC138" s="3"/>
      <c r="AD138" s="5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7"/>
      <c r="AX138" s="7"/>
      <c r="AY138" s="7"/>
      <c r="AZ138" s="7"/>
      <c r="BA138" s="8"/>
      <c r="BB138" s="3"/>
      <c r="BC138" s="3"/>
      <c r="BD138" s="3"/>
      <c r="BE138" s="3"/>
    </row>
    <row r="139" spans="1:57" x14ac:dyDescent="0.25">
      <c r="A139" s="2"/>
      <c r="D139" s="3"/>
      <c r="E139" s="4"/>
      <c r="F139" s="5"/>
      <c r="G139" s="5"/>
      <c r="J139" s="3"/>
      <c r="K139" s="3"/>
      <c r="L139" s="6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5"/>
      <c r="AA139" s="3"/>
      <c r="AB139" s="3"/>
      <c r="AC139" s="3"/>
      <c r="AD139" s="5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7"/>
      <c r="AX139" s="7"/>
      <c r="AY139" s="7"/>
      <c r="AZ139" s="7"/>
      <c r="BA139" s="8"/>
      <c r="BB139" s="3"/>
      <c r="BC139" s="3"/>
      <c r="BD139" s="3"/>
      <c r="BE139" s="3"/>
    </row>
    <row r="140" spans="1:57" x14ac:dyDescent="0.25">
      <c r="A140" s="2"/>
      <c r="D140" s="3"/>
      <c r="E140" s="4"/>
      <c r="F140" s="5"/>
      <c r="G140" s="5"/>
      <c r="J140" s="3"/>
      <c r="K140" s="3"/>
      <c r="L140" s="6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5"/>
      <c r="AA140" s="3"/>
      <c r="AB140" s="3"/>
      <c r="AC140" s="3"/>
      <c r="AD140" s="5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7"/>
      <c r="AX140" s="7"/>
      <c r="AY140" s="7"/>
      <c r="AZ140" s="7"/>
      <c r="BA140" s="8"/>
      <c r="BB140" s="3"/>
      <c r="BC140" s="3"/>
      <c r="BD140" s="3"/>
      <c r="BE140" s="3"/>
    </row>
    <row r="141" spans="1:57" x14ac:dyDescent="0.25">
      <c r="A141" s="2"/>
      <c r="D141" s="3"/>
      <c r="E141" s="4"/>
      <c r="F141" s="5"/>
      <c r="G141" s="5"/>
      <c r="J141" s="3"/>
      <c r="K141" s="3"/>
      <c r="L141" s="6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5"/>
      <c r="AA141" s="3"/>
      <c r="AB141" s="3"/>
      <c r="AC141" s="3"/>
      <c r="AD141" s="5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7"/>
      <c r="AX141" s="7"/>
      <c r="AY141" s="7"/>
      <c r="AZ141" s="7"/>
      <c r="BA141" s="8"/>
      <c r="BB141" s="3"/>
      <c r="BC141" s="3"/>
      <c r="BD141" s="3"/>
      <c r="BE141" s="3"/>
    </row>
    <row r="142" spans="1:57" x14ac:dyDescent="0.25">
      <c r="A142" s="2"/>
      <c r="D142" s="3"/>
      <c r="E142" s="4"/>
      <c r="F142" s="5"/>
      <c r="G142" s="5"/>
      <c r="J142" s="3"/>
      <c r="K142" s="3"/>
      <c r="L142" s="6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5"/>
      <c r="AA142" s="3"/>
      <c r="AB142" s="3"/>
      <c r="AC142" s="3"/>
      <c r="AD142" s="5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7"/>
      <c r="AX142" s="7"/>
      <c r="AY142" s="7"/>
      <c r="AZ142" s="7"/>
      <c r="BA142" s="8"/>
      <c r="BB142" s="3"/>
      <c r="BC142" s="3"/>
      <c r="BD142" s="3"/>
      <c r="BE142" s="3"/>
    </row>
    <row r="143" spans="1:57" x14ac:dyDescent="0.25">
      <c r="A143" s="2"/>
      <c r="D143" s="3"/>
      <c r="E143" s="4"/>
      <c r="F143" s="5"/>
      <c r="G143" s="5"/>
      <c r="J143" s="3"/>
      <c r="K143" s="3"/>
      <c r="L143" s="6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5"/>
      <c r="AA143" s="3"/>
      <c r="AB143" s="3"/>
      <c r="AC143" s="3"/>
      <c r="AD143" s="5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7"/>
      <c r="AX143" s="7"/>
      <c r="AY143" s="7"/>
      <c r="AZ143" s="7"/>
      <c r="BA143" s="8"/>
      <c r="BB143" s="3"/>
      <c r="BC143" s="3"/>
      <c r="BD143" s="3"/>
      <c r="BE143" s="3"/>
    </row>
    <row r="144" spans="1:57" x14ac:dyDescent="0.25">
      <c r="A144" s="2"/>
      <c r="D144" s="3"/>
      <c r="E144" s="4"/>
      <c r="F144" s="5"/>
      <c r="G144" s="5"/>
      <c r="J144" s="3"/>
      <c r="K144" s="3"/>
      <c r="L144" s="6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5"/>
      <c r="AA144" s="3"/>
      <c r="AB144" s="3"/>
      <c r="AC144" s="3"/>
      <c r="AD144" s="5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7"/>
      <c r="AX144" s="7"/>
      <c r="AY144" s="7"/>
      <c r="AZ144" s="7"/>
      <c r="BA144" s="8"/>
      <c r="BB144" s="3"/>
      <c r="BC144" s="3"/>
      <c r="BD144" s="3"/>
      <c r="BE144" s="3"/>
    </row>
    <row r="145" spans="1:57" x14ac:dyDescent="0.25">
      <c r="A145" s="2"/>
      <c r="D145" s="3"/>
      <c r="E145" s="4"/>
      <c r="F145" s="5"/>
      <c r="G145" s="5"/>
      <c r="J145" s="3"/>
      <c r="K145" s="3"/>
      <c r="L145" s="6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5"/>
      <c r="AA145" s="3"/>
      <c r="AB145" s="3"/>
      <c r="AC145" s="3"/>
      <c r="AD145" s="5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7"/>
      <c r="AX145" s="7"/>
      <c r="AY145" s="7"/>
      <c r="AZ145" s="7"/>
      <c r="BA145" s="8"/>
      <c r="BB145" s="3"/>
      <c r="BC145" s="3"/>
      <c r="BD145" s="3"/>
      <c r="BE145" s="3"/>
    </row>
    <row r="146" spans="1:57" x14ac:dyDescent="0.25">
      <c r="A146" s="2"/>
      <c r="D146" s="3"/>
      <c r="E146" s="4"/>
      <c r="F146" s="5"/>
      <c r="G146" s="5"/>
      <c r="J146" s="3"/>
      <c r="K146" s="3"/>
      <c r="L146" s="6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5"/>
      <c r="AA146" s="3"/>
      <c r="AB146" s="3"/>
      <c r="AC146" s="3"/>
      <c r="AD146" s="5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7"/>
      <c r="AX146" s="7"/>
      <c r="AY146" s="7"/>
      <c r="AZ146" s="7"/>
      <c r="BA146" s="8"/>
      <c r="BB146" s="3"/>
      <c r="BC146" s="3"/>
      <c r="BD146" s="3"/>
      <c r="BE146" s="3"/>
    </row>
    <row r="147" spans="1:57" x14ac:dyDescent="0.25">
      <c r="A147" s="2"/>
      <c r="D147" s="3"/>
      <c r="E147" s="4"/>
      <c r="F147" s="5"/>
      <c r="G147" s="5"/>
      <c r="J147" s="3"/>
      <c r="K147" s="3"/>
      <c r="L147" s="6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5"/>
      <c r="AA147" s="3"/>
      <c r="AB147" s="3"/>
      <c r="AC147" s="3"/>
      <c r="AD147" s="5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7"/>
      <c r="AX147" s="7"/>
      <c r="AY147" s="7"/>
      <c r="AZ147" s="7"/>
      <c r="BA147" s="8"/>
      <c r="BB147" s="3"/>
      <c r="BC147" s="3"/>
      <c r="BD147" s="3"/>
      <c r="BE147" s="3"/>
    </row>
    <row r="148" spans="1:57" x14ac:dyDescent="0.25">
      <c r="A148" s="2"/>
      <c r="D148" s="3"/>
      <c r="E148" s="4"/>
      <c r="F148" s="5"/>
      <c r="G148" s="5"/>
      <c r="J148" s="3"/>
      <c r="K148" s="3"/>
      <c r="L148" s="6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5"/>
      <c r="AA148" s="3"/>
      <c r="AB148" s="3"/>
      <c r="AC148" s="3"/>
      <c r="AD148" s="5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7"/>
      <c r="AX148" s="7"/>
      <c r="AY148" s="7"/>
      <c r="AZ148" s="7"/>
      <c r="BA148" s="8"/>
      <c r="BB148" s="3"/>
      <c r="BC148" s="3"/>
      <c r="BD148" s="3"/>
      <c r="BE148" s="3"/>
    </row>
    <row r="149" spans="1:57" x14ac:dyDescent="0.25">
      <c r="A149" s="2"/>
      <c r="D149" s="3"/>
      <c r="E149" s="4"/>
      <c r="F149" s="5"/>
      <c r="G149" s="5"/>
      <c r="J149" s="3"/>
      <c r="K149" s="3"/>
      <c r="L149" s="6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5"/>
      <c r="AA149" s="3"/>
      <c r="AB149" s="3"/>
      <c r="AC149" s="3"/>
      <c r="AD149" s="5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7"/>
      <c r="AX149" s="7"/>
      <c r="AY149" s="7"/>
      <c r="AZ149" s="7"/>
      <c r="BA149" s="8"/>
      <c r="BB149" s="3"/>
      <c r="BC149" s="3"/>
      <c r="BD149" s="3"/>
      <c r="BE149" s="3"/>
    </row>
    <row r="150" spans="1:57" x14ac:dyDescent="0.25">
      <c r="A150" s="2"/>
      <c r="D150" s="3"/>
      <c r="E150" s="4"/>
      <c r="F150" s="5"/>
      <c r="G150" s="5"/>
      <c r="J150" s="3"/>
      <c r="K150" s="3"/>
      <c r="L150" s="6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5"/>
      <c r="AA150" s="3"/>
      <c r="AB150" s="3"/>
      <c r="AC150" s="3"/>
      <c r="AD150" s="5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7"/>
      <c r="AX150" s="7"/>
      <c r="AY150" s="7"/>
      <c r="AZ150" s="7"/>
      <c r="BA150" s="8"/>
      <c r="BB150" s="3"/>
      <c r="BC150" s="3"/>
      <c r="BD150" s="3"/>
      <c r="BE150" s="3"/>
    </row>
    <row r="151" spans="1:57" x14ac:dyDescent="0.25">
      <c r="A151" s="2"/>
      <c r="D151" s="3"/>
      <c r="E151" s="4"/>
      <c r="F151" s="5"/>
      <c r="G151" s="5"/>
      <c r="J151" s="3"/>
      <c r="K151" s="3"/>
      <c r="L151" s="6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5"/>
      <c r="AA151" s="3"/>
      <c r="AB151" s="3"/>
      <c r="AC151" s="3"/>
      <c r="AD151" s="5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7"/>
      <c r="AX151" s="7"/>
      <c r="AY151" s="7"/>
      <c r="AZ151" s="7"/>
      <c r="BA151" s="8"/>
      <c r="BB151" s="3"/>
      <c r="BC151" s="3"/>
      <c r="BD151" s="3"/>
      <c r="BE151" s="3"/>
    </row>
    <row r="152" spans="1:57" x14ac:dyDescent="0.25">
      <c r="A152" s="2"/>
      <c r="D152" s="3"/>
      <c r="E152" s="4"/>
      <c r="F152" s="5"/>
      <c r="G152" s="5"/>
      <c r="J152" s="3"/>
      <c r="K152" s="3"/>
      <c r="L152" s="6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5"/>
      <c r="AA152" s="3"/>
      <c r="AB152" s="3"/>
      <c r="AC152" s="3"/>
      <c r="AD152" s="5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7"/>
      <c r="AX152" s="7"/>
      <c r="AY152" s="7"/>
      <c r="AZ152" s="7"/>
      <c r="BA152" s="8"/>
      <c r="BB152" s="3"/>
      <c r="BC152" s="3"/>
      <c r="BD152" s="3"/>
      <c r="BE152" s="3"/>
    </row>
    <row r="153" spans="1:57" x14ac:dyDescent="0.25">
      <c r="A153" s="2"/>
      <c r="D153" s="3"/>
      <c r="E153" s="4"/>
      <c r="F153" s="5"/>
      <c r="G153" s="5"/>
      <c r="J153" s="3"/>
      <c r="K153" s="3"/>
      <c r="L153" s="6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5"/>
      <c r="AA153" s="3"/>
      <c r="AB153" s="3"/>
      <c r="AC153" s="3"/>
      <c r="AD153" s="5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7"/>
      <c r="AX153" s="7"/>
      <c r="AY153" s="7"/>
      <c r="AZ153" s="7"/>
      <c r="BA153" s="8"/>
      <c r="BB153" s="3"/>
      <c r="BC153" s="3"/>
      <c r="BD153" s="3"/>
      <c r="BE153" s="3"/>
    </row>
    <row r="154" spans="1:57" x14ac:dyDescent="0.25">
      <c r="A154" s="2"/>
      <c r="D154" s="3"/>
      <c r="E154" s="4"/>
      <c r="F154" s="5"/>
      <c r="G154" s="5"/>
      <c r="J154" s="3"/>
      <c r="K154" s="3"/>
      <c r="L154" s="6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5"/>
      <c r="AA154" s="3"/>
      <c r="AB154" s="3"/>
      <c r="AC154" s="3"/>
      <c r="AD154" s="5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7"/>
      <c r="AX154" s="7"/>
      <c r="AY154" s="7"/>
      <c r="AZ154" s="7"/>
      <c r="BA154" s="8"/>
      <c r="BB154" s="3"/>
      <c r="BC154" s="3"/>
      <c r="BD154" s="3"/>
      <c r="BE154" s="3"/>
    </row>
    <row r="155" spans="1:57" x14ac:dyDescent="0.25">
      <c r="A155" s="2"/>
      <c r="D155" s="3"/>
      <c r="E155" s="4"/>
      <c r="F155" s="5"/>
      <c r="G155" s="5"/>
      <c r="J155" s="3"/>
      <c r="K155" s="3"/>
      <c r="L155" s="6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5"/>
      <c r="AA155" s="3"/>
      <c r="AB155" s="3"/>
      <c r="AC155" s="3"/>
      <c r="AD155" s="5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7"/>
      <c r="AX155" s="7"/>
      <c r="AY155" s="7"/>
      <c r="AZ155" s="7"/>
      <c r="BA155" s="8"/>
      <c r="BB155" s="3"/>
      <c r="BC155" s="3"/>
      <c r="BD155" s="3"/>
      <c r="BE155" s="3"/>
    </row>
    <row r="156" spans="1:57" x14ac:dyDescent="0.25">
      <c r="A156" s="2"/>
      <c r="D156" s="3"/>
      <c r="E156" s="4"/>
      <c r="F156" s="5"/>
      <c r="G156" s="5"/>
      <c r="J156" s="3"/>
      <c r="K156" s="3"/>
      <c r="L156" s="6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5"/>
      <c r="AA156" s="3"/>
      <c r="AB156" s="3"/>
      <c r="AC156" s="3"/>
      <c r="AD156" s="5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7"/>
      <c r="AX156" s="7"/>
      <c r="AY156" s="7"/>
      <c r="AZ156" s="7"/>
      <c r="BA156" s="8"/>
      <c r="BB156" s="3"/>
      <c r="BC156" s="3"/>
      <c r="BD156" s="3"/>
      <c r="BE156" s="3"/>
    </row>
    <row r="157" spans="1:57" x14ac:dyDescent="0.25">
      <c r="A157" s="2"/>
      <c r="D157" s="3"/>
      <c r="E157" s="4"/>
      <c r="F157" s="5"/>
      <c r="G157" s="5"/>
      <c r="J157" s="3"/>
      <c r="K157" s="3"/>
      <c r="L157" s="6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5"/>
      <c r="AA157" s="3"/>
      <c r="AB157" s="3"/>
      <c r="AC157" s="3"/>
      <c r="AD157" s="5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7"/>
      <c r="AX157" s="7"/>
      <c r="AY157" s="7"/>
      <c r="AZ157" s="7"/>
      <c r="BA157" s="8"/>
      <c r="BB157" s="3"/>
      <c r="BC157" s="3"/>
      <c r="BD157" s="3"/>
      <c r="BE157" s="3"/>
    </row>
    <row r="158" spans="1:57" x14ac:dyDescent="0.25">
      <c r="A158" s="2"/>
      <c r="D158" s="3"/>
      <c r="E158" s="4"/>
      <c r="F158" s="5"/>
      <c r="G158" s="5"/>
      <c r="J158" s="3"/>
      <c r="K158" s="3"/>
      <c r="L158" s="6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5"/>
      <c r="AA158" s="3"/>
      <c r="AB158" s="3"/>
      <c r="AC158" s="3"/>
      <c r="AD158" s="5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7"/>
      <c r="AX158" s="7"/>
      <c r="AY158" s="7"/>
      <c r="AZ158" s="7"/>
      <c r="BA158" s="8"/>
      <c r="BB158" s="3"/>
      <c r="BC158" s="3"/>
      <c r="BD158" s="3"/>
      <c r="BE158" s="3"/>
    </row>
    <row r="159" spans="1:57" x14ac:dyDescent="0.25">
      <c r="A159" s="2"/>
      <c r="D159" s="3"/>
      <c r="E159" s="4"/>
      <c r="F159" s="5"/>
      <c r="G159" s="5"/>
      <c r="J159" s="3"/>
      <c r="K159" s="3"/>
      <c r="L159" s="6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5"/>
      <c r="AA159" s="3"/>
      <c r="AB159" s="3"/>
      <c r="AC159" s="3"/>
      <c r="AD159" s="5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7"/>
      <c r="AX159" s="7"/>
      <c r="AY159" s="7"/>
      <c r="AZ159" s="7"/>
      <c r="BA159" s="8"/>
      <c r="BB159" s="3"/>
      <c r="BC159" s="3"/>
      <c r="BD159" s="3"/>
      <c r="BE159" s="3"/>
    </row>
    <row r="160" spans="1:57" x14ac:dyDescent="0.25">
      <c r="A160" s="2"/>
      <c r="D160" s="3"/>
      <c r="E160" s="4"/>
      <c r="F160" s="5"/>
      <c r="G160" s="5"/>
      <c r="J160" s="3"/>
      <c r="K160" s="3"/>
      <c r="L160" s="6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5"/>
      <c r="AA160" s="3"/>
      <c r="AB160" s="3"/>
      <c r="AC160" s="3"/>
      <c r="AD160" s="5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7"/>
      <c r="AX160" s="7"/>
      <c r="AY160" s="7"/>
      <c r="AZ160" s="7"/>
      <c r="BA160" s="8"/>
      <c r="BB160" s="3"/>
      <c r="BC160" s="3"/>
      <c r="BD160" s="3"/>
      <c r="BE160" s="3"/>
    </row>
    <row r="161" spans="1:57" x14ac:dyDescent="0.25">
      <c r="A161" s="2"/>
      <c r="D161" s="3"/>
      <c r="E161" s="4"/>
      <c r="F161" s="5"/>
      <c r="G161" s="5"/>
      <c r="J161" s="3"/>
      <c r="K161" s="3"/>
      <c r="L161" s="6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5"/>
      <c r="AA161" s="3"/>
      <c r="AB161" s="3"/>
      <c r="AC161" s="3"/>
      <c r="AD161" s="5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7"/>
      <c r="AX161" s="7"/>
      <c r="AY161" s="7"/>
      <c r="AZ161" s="7"/>
      <c r="BA161" s="8"/>
      <c r="BB161" s="3"/>
      <c r="BC161" s="3"/>
      <c r="BD161" s="3"/>
      <c r="BE161" s="3"/>
    </row>
    <row r="162" spans="1:57" x14ac:dyDescent="0.25">
      <c r="A162" s="2"/>
      <c r="D162" s="3"/>
      <c r="E162" s="4"/>
      <c r="F162" s="5"/>
      <c r="G162" s="5"/>
      <c r="J162" s="3"/>
      <c r="K162" s="3"/>
      <c r="L162" s="6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5"/>
      <c r="AA162" s="3"/>
      <c r="AB162" s="3"/>
      <c r="AC162" s="3"/>
      <c r="AD162" s="5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7"/>
      <c r="AX162" s="7"/>
      <c r="AY162" s="7"/>
      <c r="AZ162" s="7"/>
      <c r="BA162" s="8"/>
      <c r="BB162" s="3"/>
      <c r="BC162" s="3"/>
      <c r="BD162" s="3"/>
      <c r="BE162" s="3"/>
    </row>
    <row r="163" spans="1:57" x14ac:dyDescent="0.25">
      <c r="A163" s="2"/>
      <c r="D163" s="3"/>
      <c r="E163" s="4"/>
      <c r="F163" s="5"/>
      <c r="G163" s="5"/>
      <c r="J163" s="3"/>
      <c r="K163" s="3"/>
      <c r="L163" s="6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5"/>
      <c r="AA163" s="3"/>
      <c r="AB163" s="3"/>
      <c r="AC163" s="3"/>
      <c r="AD163" s="5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7"/>
      <c r="AX163" s="7"/>
      <c r="AY163" s="7"/>
      <c r="AZ163" s="7"/>
      <c r="BA163" s="8"/>
      <c r="BB163" s="3"/>
      <c r="BC163" s="3"/>
      <c r="BD163" s="3"/>
      <c r="BE163" s="3"/>
    </row>
    <row r="164" spans="1:57" x14ac:dyDescent="0.25">
      <c r="A164" s="2"/>
      <c r="D164" s="3"/>
      <c r="E164" s="4"/>
      <c r="F164" s="5"/>
      <c r="G164" s="5"/>
      <c r="J164" s="3"/>
      <c r="K164" s="3"/>
      <c r="L164" s="6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5"/>
      <c r="AA164" s="3"/>
      <c r="AB164" s="3"/>
      <c r="AC164" s="3"/>
      <c r="AD164" s="5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7"/>
      <c r="AX164" s="7"/>
      <c r="AY164" s="7"/>
      <c r="AZ164" s="7"/>
      <c r="BA164" s="8"/>
      <c r="BB164" s="3"/>
      <c r="BC164" s="3"/>
      <c r="BD164" s="3"/>
      <c r="BE164" s="3"/>
    </row>
    <row r="165" spans="1:57" x14ac:dyDescent="0.25">
      <c r="A165" s="2"/>
      <c r="D165" s="3"/>
      <c r="E165" s="4"/>
      <c r="F165" s="5"/>
      <c r="G165" s="5"/>
      <c r="J165" s="3"/>
      <c r="K165" s="3"/>
      <c r="L165" s="6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5"/>
      <c r="AA165" s="3"/>
      <c r="AB165" s="3"/>
      <c r="AC165" s="3"/>
      <c r="AD165" s="5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7"/>
      <c r="AX165" s="7"/>
      <c r="AY165" s="7"/>
      <c r="AZ165" s="7"/>
      <c r="BA165" s="8"/>
      <c r="BB165" s="3"/>
      <c r="BC165" s="3"/>
      <c r="BD165" s="3"/>
      <c r="BE165" s="3"/>
    </row>
    <row r="166" spans="1:57" x14ac:dyDescent="0.25">
      <c r="A166" s="2"/>
      <c r="D166" s="3"/>
      <c r="E166" s="4"/>
      <c r="F166" s="5"/>
      <c r="G166" s="5"/>
      <c r="J166" s="3"/>
      <c r="K166" s="3"/>
      <c r="L166" s="6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5"/>
      <c r="AA166" s="3"/>
      <c r="AB166" s="3"/>
      <c r="AC166" s="3"/>
      <c r="AD166" s="5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7"/>
      <c r="AX166" s="7"/>
      <c r="AY166" s="7"/>
      <c r="AZ166" s="7"/>
      <c r="BA166" s="8"/>
      <c r="BB166" s="3"/>
      <c r="BC166" s="3"/>
      <c r="BD166" s="3"/>
      <c r="BE166" s="3"/>
    </row>
    <row r="167" spans="1:57" x14ac:dyDescent="0.25">
      <c r="A167" s="2"/>
      <c r="D167" s="3"/>
      <c r="E167" s="4"/>
      <c r="F167" s="5"/>
      <c r="G167" s="5"/>
      <c r="J167" s="3"/>
      <c r="K167" s="3"/>
      <c r="L167" s="6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5"/>
      <c r="AA167" s="3"/>
      <c r="AB167" s="3"/>
      <c r="AC167" s="3"/>
      <c r="AD167" s="5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7"/>
      <c r="AX167" s="7"/>
      <c r="AY167" s="7"/>
      <c r="AZ167" s="7"/>
      <c r="BA167" s="8"/>
      <c r="BB167" s="3"/>
      <c r="BC167" s="3"/>
      <c r="BD167" s="3"/>
      <c r="BE167" s="3"/>
    </row>
    <row r="168" spans="1:57" x14ac:dyDescent="0.25">
      <c r="A168" s="2"/>
      <c r="D168" s="3"/>
      <c r="E168" s="4"/>
      <c r="F168" s="5"/>
      <c r="G168" s="5"/>
      <c r="J168" s="3"/>
      <c r="K168" s="3"/>
      <c r="L168" s="6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5"/>
      <c r="AA168" s="3"/>
      <c r="AB168" s="3"/>
      <c r="AC168" s="3"/>
      <c r="AD168" s="5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7"/>
      <c r="AX168" s="7"/>
      <c r="AY168" s="7"/>
      <c r="AZ168" s="7"/>
      <c r="BA168" s="8"/>
      <c r="BB168" s="3"/>
      <c r="BC168" s="3"/>
      <c r="BD168" s="3"/>
      <c r="BE168" s="3"/>
    </row>
    <row r="169" spans="1:57" x14ac:dyDescent="0.25">
      <c r="A169" s="2"/>
      <c r="D169" s="3"/>
      <c r="E169" s="4"/>
      <c r="F169" s="5"/>
      <c r="G169" s="5"/>
      <c r="J169" s="3"/>
      <c r="K169" s="3"/>
      <c r="L169" s="6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5"/>
      <c r="AA169" s="3"/>
      <c r="AB169" s="3"/>
      <c r="AC169" s="3"/>
      <c r="AD169" s="5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7"/>
      <c r="AX169" s="7"/>
      <c r="AY169" s="7"/>
      <c r="AZ169" s="7"/>
      <c r="BA169" s="8"/>
      <c r="BB169" s="3"/>
      <c r="BC169" s="3"/>
      <c r="BD169" s="3"/>
      <c r="BE169" s="3"/>
    </row>
    <row r="170" spans="1:57" x14ac:dyDescent="0.25">
      <c r="A170" s="2"/>
      <c r="D170" s="3"/>
      <c r="E170" s="4"/>
      <c r="F170" s="5"/>
      <c r="G170" s="5"/>
      <c r="J170" s="3"/>
      <c r="K170" s="3"/>
      <c r="L170" s="6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5"/>
      <c r="AA170" s="3"/>
      <c r="AB170" s="3"/>
      <c r="AC170" s="3"/>
      <c r="AD170" s="5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7"/>
      <c r="AX170" s="7"/>
      <c r="AY170" s="7"/>
      <c r="AZ170" s="7"/>
      <c r="BA170" s="8"/>
      <c r="BB170" s="3"/>
      <c r="BC170" s="3"/>
      <c r="BD170" s="3"/>
      <c r="BE170" s="3"/>
    </row>
    <row r="171" spans="1:57" x14ac:dyDescent="0.25">
      <c r="A171" s="2"/>
      <c r="D171" s="3"/>
      <c r="E171" s="4"/>
      <c r="F171" s="5"/>
      <c r="G171" s="5"/>
      <c r="J171" s="3"/>
      <c r="K171" s="3"/>
      <c r="L171" s="6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5"/>
      <c r="AA171" s="3"/>
      <c r="AB171" s="3"/>
      <c r="AC171" s="3"/>
      <c r="AD171" s="5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7"/>
      <c r="AX171" s="7"/>
      <c r="AY171" s="7"/>
      <c r="AZ171" s="7"/>
      <c r="BA171" s="8"/>
      <c r="BB171" s="3"/>
      <c r="BC171" s="3"/>
      <c r="BD171" s="3"/>
      <c r="BE171" s="3"/>
    </row>
    <row r="172" spans="1:57" x14ac:dyDescent="0.25">
      <c r="A172" s="2"/>
      <c r="D172" s="3"/>
      <c r="E172" s="4"/>
      <c r="F172" s="5"/>
      <c r="G172" s="5"/>
      <c r="J172" s="3"/>
      <c r="K172" s="3"/>
      <c r="L172" s="6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5"/>
      <c r="AA172" s="3"/>
      <c r="AB172" s="3"/>
      <c r="AC172" s="3"/>
      <c r="AD172" s="5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7"/>
      <c r="AX172" s="7"/>
      <c r="AY172" s="7"/>
      <c r="AZ172" s="7"/>
      <c r="BA172" s="8"/>
      <c r="BB172" s="3"/>
      <c r="BC172" s="3"/>
      <c r="BD172" s="3"/>
      <c r="BE172" s="3"/>
    </row>
    <row r="173" spans="1:57" x14ac:dyDescent="0.25">
      <c r="A173" s="2"/>
      <c r="D173" s="3"/>
      <c r="E173" s="4"/>
      <c r="F173" s="5"/>
      <c r="G173" s="5"/>
      <c r="J173" s="3"/>
      <c r="K173" s="3"/>
      <c r="L173" s="6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5"/>
      <c r="AA173" s="3"/>
      <c r="AB173" s="3"/>
      <c r="AC173" s="3"/>
      <c r="AD173" s="5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7"/>
      <c r="AX173" s="7"/>
      <c r="AY173" s="7"/>
      <c r="AZ173" s="7"/>
      <c r="BA173" s="8"/>
      <c r="BB173" s="3"/>
      <c r="BC173" s="3"/>
      <c r="BD173" s="3"/>
      <c r="BE173" s="3"/>
    </row>
    <row r="174" spans="1:57" x14ac:dyDescent="0.25">
      <c r="A174" s="2"/>
      <c r="D174" s="3"/>
      <c r="E174" s="4"/>
      <c r="F174" s="5"/>
      <c r="G174" s="5"/>
      <c r="J174" s="3"/>
      <c r="K174" s="3"/>
      <c r="L174" s="6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5"/>
      <c r="AA174" s="3"/>
      <c r="AB174" s="3"/>
      <c r="AC174" s="3"/>
      <c r="AD174" s="5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7"/>
      <c r="AX174" s="7"/>
      <c r="AY174" s="7"/>
      <c r="AZ174" s="7"/>
      <c r="BA174" s="8"/>
      <c r="BB174" s="3"/>
      <c r="BC174" s="3"/>
      <c r="BD174" s="3"/>
      <c r="BE174" s="3"/>
    </row>
    <row r="175" spans="1:57" x14ac:dyDescent="0.25">
      <c r="A175" s="2"/>
      <c r="D175" s="3"/>
      <c r="E175" s="4"/>
      <c r="F175" s="5"/>
      <c r="G175" s="5"/>
      <c r="J175" s="3"/>
      <c r="K175" s="3"/>
      <c r="L175" s="6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5"/>
      <c r="AA175" s="3"/>
      <c r="AB175" s="3"/>
      <c r="AC175" s="3"/>
      <c r="AD175" s="5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7"/>
      <c r="AX175" s="7"/>
      <c r="AY175" s="7"/>
      <c r="AZ175" s="7"/>
      <c r="BA175" s="8"/>
      <c r="BB175" s="3"/>
      <c r="BC175" s="3"/>
      <c r="BD175" s="3"/>
      <c r="BE175" s="3"/>
    </row>
    <row r="176" spans="1:57" x14ac:dyDescent="0.25">
      <c r="A176" s="2"/>
      <c r="D176" s="3"/>
      <c r="E176" s="4"/>
      <c r="F176" s="5"/>
      <c r="G176" s="5"/>
      <c r="J176" s="3"/>
      <c r="K176" s="3"/>
      <c r="L176" s="6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5"/>
      <c r="AA176" s="3"/>
      <c r="AB176" s="3"/>
      <c r="AC176" s="3"/>
      <c r="AD176" s="5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7"/>
      <c r="AX176" s="7"/>
      <c r="AY176" s="7"/>
      <c r="AZ176" s="7"/>
      <c r="BA176" s="8"/>
      <c r="BB176" s="3"/>
      <c r="BC176" s="3"/>
      <c r="BD176" s="3"/>
      <c r="BE176" s="3"/>
    </row>
    <row r="177" spans="1:57" x14ac:dyDescent="0.25">
      <c r="A177" s="2"/>
      <c r="D177" s="3"/>
      <c r="E177" s="4"/>
      <c r="F177" s="5"/>
      <c r="G177" s="5"/>
      <c r="J177" s="3"/>
      <c r="K177" s="3"/>
      <c r="L177" s="6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5"/>
      <c r="AA177" s="3"/>
      <c r="AB177" s="3"/>
      <c r="AC177" s="3"/>
      <c r="AD177" s="5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7"/>
      <c r="AX177" s="7"/>
      <c r="AY177" s="7"/>
      <c r="AZ177" s="7"/>
      <c r="BA177" s="8"/>
      <c r="BB177" s="3"/>
      <c r="BC177" s="3"/>
      <c r="BD177" s="3"/>
      <c r="BE177" s="3"/>
    </row>
    <row r="178" spans="1:57" x14ac:dyDescent="0.25">
      <c r="A178" s="2"/>
      <c r="D178" s="3"/>
      <c r="E178" s="4"/>
      <c r="F178" s="5"/>
      <c r="G178" s="5"/>
      <c r="J178" s="3"/>
      <c r="K178" s="3"/>
      <c r="L178" s="6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5"/>
      <c r="AA178" s="3"/>
      <c r="AB178" s="3"/>
      <c r="AC178" s="3"/>
      <c r="AD178" s="5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7"/>
      <c r="AX178" s="7"/>
      <c r="AY178" s="7"/>
      <c r="AZ178" s="7"/>
      <c r="BA178" s="8"/>
      <c r="BB178" s="3"/>
      <c r="BC178" s="3"/>
      <c r="BD178" s="3"/>
      <c r="BE178" s="3"/>
    </row>
    <row r="179" spans="1:57" x14ac:dyDescent="0.25">
      <c r="A179" s="2"/>
      <c r="D179" s="3"/>
      <c r="E179" s="4"/>
      <c r="F179" s="5"/>
      <c r="G179" s="5"/>
      <c r="J179" s="3"/>
      <c r="K179" s="3"/>
      <c r="L179" s="6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5"/>
      <c r="AA179" s="3"/>
      <c r="AB179" s="3"/>
      <c r="AC179" s="3"/>
      <c r="AD179" s="5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7"/>
      <c r="AX179" s="7"/>
      <c r="AY179" s="7"/>
      <c r="AZ179" s="7"/>
      <c r="BA179" s="8"/>
      <c r="BB179" s="3"/>
      <c r="BC179" s="3"/>
      <c r="BD179" s="3"/>
      <c r="BE179" s="3"/>
    </row>
    <row r="180" spans="1:57" x14ac:dyDescent="0.25">
      <c r="A180" s="2"/>
      <c r="D180" s="3"/>
      <c r="E180" s="4"/>
      <c r="F180" s="5"/>
      <c r="G180" s="5"/>
      <c r="J180" s="3"/>
      <c r="K180" s="3"/>
      <c r="L180" s="6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5"/>
      <c r="AA180" s="3"/>
      <c r="AB180" s="3"/>
      <c r="AC180" s="3"/>
      <c r="AD180" s="5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7"/>
      <c r="AX180" s="7"/>
      <c r="AY180" s="7"/>
      <c r="AZ180" s="7"/>
      <c r="BA180" s="8"/>
      <c r="BB180" s="3"/>
      <c r="BC180" s="3"/>
      <c r="BD180" s="3"/>
      <c r="BE180" s="3"/>
    </row>
    <row r="181" spans="1:57" x14ac:dyDescent="0.25">
      <c r="A181" s="2"/>
      <c r="D181" s="3"/>
      <c r="E181" s="4"/>
      <c r="F181" s="5"/>
      <c r="G181" s="5"/>
      <c r="J181" s="3"/>
      <c r="K181" s="3"/>
      <c r="L181" s="6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5"/>
      <c r="AA181" s="3"/>
      <c r="AB181" s="3"/>
      <c r="AC181" s="3"/>
      <c r="AD181" s="5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7"/>
      <c r="AX181" s="7"/>
      <c r="AY181" s="7"/>
      <c r="AZ181" s="7"/>
      <c r="BA181" s="8"/>
      <c r="BB181" s="3"/>
      <c r="BC181" s="3"/>
      <c r="BD181" s="3"/>
      <c r="BE181" s="3"/>
    </row>
    <row r="182" spans="1:57" x14ac:dyDescent="0.25">
      <c r="A182" s="2"/>
      <c r="D182" s="3"/>
      <c r="E182" s="4"/>
      <c r="F182" s="5"/>
      <c r="G182" s="5"/>
      <c r="J182" s="3"/>
      <c r="K182" s="3"/>
      <c r="L182" s="6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5"/>
      <c r="AA182" s="3"/>
      <c r="AB182" s="3"/>
      <c r="AC182" s="3"/>
      <c r="AD182" s="5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7"/>
      <c r="AX182" s="7"/>
      <c r="AY182" s="7"/>
      <c r="AZ182" s="7"/>
      <c r="BA182" s="8"/>
      <c r="BB182" s="3"/>
      <c r="BC182" s="3"/>
      <c r="BD182" s="3"/>
      <c r="BE182" s="3"/>
    </row>
    <row r="183" spans="1:57" x14ac:dyDescent="0.25">
      <c r="A183" s="2"/>
      <c r="D183" s="3"/>
      <c r="E183" s="4"/>
      <c r="F183" s="5"/>
      <c r="G183" s="5"/>
      <c r="J183" s="3"/>
      <c r="K183" s="3"/>
      <c r="L183" s="6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5"/>
      <c r="AA183" s="3"/>
      <c r="AB183" s="3"/>
      <c r="AC183" s="3"/>
      <c r="AD183" s="5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7"/>
      <c r="AX183" s="7"/>
      <c r="AY183" s="7"/>
      <c r="AZ183" s="7"/>
      <c r="BA183" s="8"/>
      <c r="BB183" s="3"/>
      <c r="BC183" s="3"/>
      <c r="BD183" s="3"/>
      <c r="BE183" s="3"/>
    </row>
    <row r="184" spans="1:57" x14ac:dyDescent="0.25">
      <c r="A184" s="2"/>
      <c r="D184" s="3"/>
      <c r="E184" s="4"/>
      <c r="F184" s="5"/>
      <c r="G184" s="5"/>
      <c r="J184" s="3"/>
      <c r="K184" s="3"/>
      <c r="L184" s="6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5"/>
      <c r="AA184" s="3"/>
      <c r="AB184" s="3"/>
      <c r="AC184" s="3"/>
      <c r="AD184" s="5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7"/>
      <c r="AX184" s="7"/>
      <c r="AY184" s="7"/>
      <c r="AZ184" s="7"/>
      <c r="BA184" s="8"/>
      <c r="BB184" s="3"/>
      <c r="BC184" s="3"/>
      <c r="BD184" s="3"/>
      <c r="BE184" s="3"/>
    </row>
    <row r="185" spans="1:57" x14ac:dyDescent="0.25">
      <c r="A185" s="2"/>
      <c r="D185" s="3"/>
      <c r="E185" s="4"/>
      <c r="F185" s="5"/>
      <c r="G185" s="5"/>
      <c r="J185" s="3"/>
      <c r="K185" s="3"/>
      <c r="L185" s="6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5"/>
      <c r="AA185" s="3"/>
      <c r="AB185" s="3"/>
      <c r="AC185" s="3"/>
      <c r="AD185" s="5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7"/>
      <c r="AX185" s="7"/>
      <c r="AY185" s="7"/>
      <c r="AZ185" s="7"/>
      <c r="BA185" s="8"/>
      <c r="BB185" s="3"/>
      <c r="BC185" s="3"/>
      <c r="BD185" s="3"/>
      <c r="BE185" s="3"/>
    </row>
    <row r="186" spans="1:57" x14ac:dyDescent="0.25">
      <c r="A186" s="2"/>
      <c r="D186" s="3"/>
      <c r="E186" s="4"/>
      <c r="F186" s="5"/>
      <c r="G186" s="5"/>
      <c r="J186" s="3"/>
      <c r="K186" s="3"/>
      <c r="L186" s="6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5"/>
      <c r="AA186" s="3"/>
      <c r="AB186" s="3"/>
      <c r="AC186" s="3"/>
      <c r="AD186" s="5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7"/>
      <c r="AX186" s="7"/>
      <c r="AY186" s="7"/>
      <c r="AZ186" s="7"/>
      <c r="BA186" s="8"/>
      <c r="BB186" s="3"/>
      <c r="BC186" s="3"/>
      <c r="BD186" s="3"/>
      <c r="BE186" s="3"/>
    </row>
    <row r="187" spans="1:57" x14ac:dyDescent="0.25">
      <c r="A187" s="2"/>
      <c r="D187" s="3"/>
      <c r="E187" s="4"/>
      <c r="F187" s="5"/>
      <c r="G187" s="5"/>
      <c r="J187" s="3"/>
      <c r="K187" s="3"/>
      <c r="L187" s="6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5"/>
      <c r="AA187" s="3"/>
      <c r="AB187" s="3"/>
      <c r="AC187" s="3"/>
      <c r="AD187" s="5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7"/>
      <c r="AX187" s="7"/>
      <c r="AY187" s="7"/>
      <c r="AZ187" s="7"/>
      <c r="BA187" s="8"/>
      <c r="BB187" s="3"/>
      <c r="BC187" s="3"/>
      <c r="BD187" s="3"/>
      <c r="BE187" s="3"/>
    </row>
    <row r="188" spans="1:57" x14ac:dyDescent="0.25">
      <c r="A188" s="2"/>
      <c r="D188" s="3"/>
      <c r="E188" s="4"/>
      <c r="F188" s="5"/>
      <c r="G188" s="5"/>
      <c r="J188" s="3"/>
      <c r="K188" s="3"/>
      <c r="L188" s="6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5"/>
      <c r="AA188" s="3"/>
      <c r="AB188" s="3"/>
      <c r="AC188" s="3"/>
      <c r="AD188" s="5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7"/>
      <c r="AX188" s="7"/>
      <c r="AY188" s="7"/>
      <c r="AZ188" s="7"/>
      <c r="BA188" s="8"/>
      <c r="BB188" s="3"/>
      <c r="BC188" s="3"/>
      <c r="BD188" s="3"/>
      <c r="BE188" s="3"/>
    </row>
    <row r="189" spans="1:57" x14ac:dyDescent="0.25">
      <c r="A189" s="2"/>
      <c r="D189" s="3"/>
      <c r="E189" s="4"/>
      <c r="F189" s="5"/>
      <c r="G189" s="5"/>
      <c r="J189" s="3"/>
      <c r="K189" s="3"/>
      <c r="L189" s="6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5"/>
      <c r="AA189" s="3"/>
      <c r="AB189" s="3"/>
      <c r="AC189" s="3"/>
      <c r="AD189" s="5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7"/>
      <c r="AX189" s="7"/>
      <c r="AY189" s="7"/>
      <c r="AZ189" s="7"/>
      <c r="BA189" s="8"/>
      <c r="BB189" s="3"/>
      <c r="BC189" s="3"/>
      <c r="BD189" s="3"/>
      <c r="BE189" s="3"/>
    </row>
    <row r="190" spans="1:57" x14ac:dyDescent="0.25">
      <c r="A190" s="2"/>
      <c r="D190" s="3"/>
      <c r="E190" s="4"/>
      <c r="F190" s="5"/>
      <c r="G190" s="5"/>
      <c r="J190" s="3"/>
      <c r="K190" s="3"/>
      <c r="L190" s="6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5"/>
      <c r="AA190" s="3"/>
      <c r="AB190" s="3"/>
      <c r="AC190" s="3"/>
      <c r="AD190" s="5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7"/>
      <c r="AX190" s="7"/>
      <c r="AY190" s="7"/>
      <c r="AZ190" s="7"/>
      <c r="BA190" s="8"/>
      <c r="BB190" s="3"/>
      <c r="BC190" s="3"/>
      <c r="BD190" s="3"/>
      <c r="BE190" s="3"/>
    </row>
    <row r="191" spans="1:57" x14ac:dyDescent="0.25">
      <c r="A191" s="2"/>
      <c r="D191" s="3"/>
      <c r="E191" s="4"/>
      <c r="F191" s="5"/>
      <c r="G191" s="5"/>
      <c r="J191" s="3"/>
      <c r="K191" s="3"/>
      <c r="L191" s="6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5"/>
      <c r="AA191" s="3"/>
      <c r="AB191" s="3"/>
      <c r="AC191" s="3"/>
      <c r="AD191" s="5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7"/>
      <c r="AX191" s="7"/>
      <c r="AY191" s="7"/>
      <c r="AZ191" s="7"/>
      <c r="BA191" s="8"/>
      <c r="BB191" s="3"/>
      <c r="BC191" s="3"/>
      <c r="BD191" s="3"/>
      <c r="BE191" s="3"/>
    </row>
    <row r="192" spans="1:57" x14ac:dyDescent="0.25">
      <c r="A192" s="2"/>
      <c r="D192" s="3"/>
      <c r="E192" s="4"/>
      <c r="F192" s="5"/>
      <c r="G192" s="5"/>
      <c r="J192" s="3"/>
      <c r="K192" s="3"/>
      <c r="L192" s="6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5"/>
      <c r="AA192" s="3"/>
      <c r="AB192" s="3"/>
      <c r="AC192" s="3"/>
      <c r="AD192" s="5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7"/>
      <c r="AX192" s="7"/>
      <c r="AY192" s="7"/>
      <c r="AZ192" s="7"/>
      <c r="BA192" s="8"/>
      <c r="BB192" s="3"/>
      <c r="BC192" s="3"/>
      <c r="BD192" s="3"/>
      <c r="BE192" s="3"/>
    </row>
    <row r="193" spans="1:57" x14ac:dyDescent="0.25">
      <c r="A193" s="2"/>
      <c r="D193" s="3"/>
      <c r="E193" s="4"/>
      <c r="F193" s="5"/>
      <c r="G193" s="5"/>
      <c r="J193" s="3"/>
      <c r="K193" s="3"/>
      <c r="L193" s="6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5"/>
      <c r="AA193" s="3"/>
      <c r="AB193" s="3"/>
      <c r="AC193" s="3"/>
      <c r="AD193" s="5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7"/>
      <c r="AX193" s="7"/>
      <c r="AY193" s="7"/>
      <c r="AZ193" s="7"/>
      <c r="BA193" s="8"/>
      <c r="BB193" s="3"/>
      <c r="BC193" s="3"/>
      <c r="BD193" s="3"/>
      <c r="BE193" s="3"/>
    </row>
    <row r="194" spans="1:57" x14ac:dyDescent="0.25">
      <c r="A194" s="2"/>
      <c r="D194" s="3"/>
      <c r="E194" s="4"/>
      <c r="F194" s="5"/>
      <c r="G194" s="5"/>
      <c r="J194" s="3"/>
      <c r="K194" s="3"/>
      <c r="L194" s="6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5"/>
      <c r="AA194" s="3"/>
      <c r="AB194" s="3"/>
      <c r="AC194" s="3"/>
      <c r="AD194" s="5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7"/>
      <c r="AX194" s="7"/>
      <c r="AY194" s="7"/>
      <c r="AZ194" s="7"/>
      <c r="BA194" s="8"/>
      <c r="BB194" s="3"/>
      <c r="BC194" s="3"/>
      <c r="BD194" s="3"/>
      <c r="BE194" s="3"/>
    </row>
    <row r="195" spans="1:57" x14ac:dyDescent="0.25">
      <c r="A195" s="2"/>
      <c r="D195" s="3"/>
      <c r="E195" s="4"/>
      <c r="F195" s="5"/>
      <c r="G195" s="5"/>
      <c r="J195" s="3"/>
      <c r="K195" s="3"/>
      <c r="L195" s="6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5"/>
      <c r="AA195" s="3"/>
      <c r="AB195" s="3"/>
      <c r="AC195" s="3"/>
      <c r="AD195" s="5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7"/>
      <c r="AX195" s="7"/>
      <c r="AY195" s="7"/>
      <c r="AZ195" s="7"/>
      <c r="BA195" s="8"/>
      <c r="BB195" s="3"/>
      <c r="BC195" s="3"/>
      <c r="BD195" s="3"/>
      <c r="BE195" s="3"/>
    </row>
    <row r="196" spans="1:57" x14ac:dyDescent="0.25">
      <c r="A196" s="2"/>
      <c r="D196" s="3"/>
      <c r="E196" s="4"/>
      <c r="F196" s="5"/>
      <c r="G196" s="5"/>
      <c r="J196" s="3"/>
      <c r="K196" s="3"/>
      <c r="L196" s="6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5"/>
      <c r="AA196" s="3"/>
      <c r="AB196" s="3"/>
      <c r="AC196" s="3"/>
      <c r="AD196" s="5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7"/>
      <c r="AX196" s="7"/>
      <c r="AY196" s="7"/>
      <c r="AZ196" s="7"/>
      <c r="BA196" s="8"/>
      <c r="BB196" s="3"/>
      <c r="BC196" s="3"/>
      <c r="BD196" s="3"/>
      <c r="BE196" s="3"/>
    </row>
    <row r="197" spans="1:57" x14ac:dyDescent="0.25">
      <c r="A197" s="2"/>
      <c r="D197" s="3"/>
      <c r="E197" s="4"/>
      <c r="F197" s="5"/>
      <c r="G197" s="5"/>
      <c r="J197" s="3"/>
      <c r="K197" s="3"/>
      <c r="L197" s="6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5"/>
      <c r="AA197" s="3"/>
      <c r="AB197" s="3"/>
      <c r="AC197" s="3"/>
      <c r="AD197" s="5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7"/>
      <c r="AX197" s="7"/>
      <c r="AY197" s="7"/>
      <c r="AZ197" s="7"/>
      <c r="BA197" s="8"/>
      <c r="BB197" s="3"/>
      <c r="BC197" s="3"/>
      <c r="BD197" s="3"/>
      <c r="BE197" s="3"/>
    </row>
    <row r="198" spans="1:57" x14ac:dyDescent="0.25">
      <c r="A198" s="2"/>
      <c r="D198" s="3"/>
      <c r="E198" s="4"/>
      <c r="F198" s="5"/>
      <c r="G198" s="5"/>
      <c r="J198" s="3"/>
      <c r="K198" s="3"/>
      <c r="L198" s="6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5"/>
      <c r="AA198" s="3"/>
      <c r="AB198" s="3"/>
      <c r="AC198" s="3"/>
      <c r="AD198" s="5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7"/>
      <c r="AX198" s="7"/>
      <c r="AY198" s="7"/>
      <c r="AZ198" s="7"/>
      <c r="BA198" s="8"/>
      <c r="BB198" s="3"/>
      <c r="BC198" s="3"/>
      <c r="BD198" s="3"/>
      <c r="BE198" s="3"/>
    </row>
    <row r="199" spans="1:57" x14ac:dyDescent="0.25">
      <c r="A199" s="2"/>
      <c r="D199" s="3"/>
      <c r="E199" s="4"/>
      <c r="F199" s="5"/>
      <c r="G199" s="5"/>
      <c r="J199" s="3"/>
      <c r="K199" s="3"/>
      <c r="L199" s="6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5"/>
      <c r="AA199" s="3"/>
      <c r="AB199" s="3"/>
      <c r="AC199" s="3"/>
      <c r="AD199" s="5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7"/>
      <c r="AX199" s="7"/>
      <c r="AY199" s="7"/>
      <c r="AZ199" s="7"/>
      <c r="BA199" s="8"/>
      <c r="BB199" s="3"/>
      <c r="BC199" s="3"/>
      <c r="BD199" s="3"/>
      <c r="BE199" s="3"/>
    </row>
    <row r="200" spans="1:57" x14ac:dyDescent="0.25">
      <c r="A200" s="2"/>
      <c r="D200" s="3"/>
      <c r="E200" s="4"/>
      <c r="F200" s="5"/>
      <c r="G200" s="5"/>
      <c r="J200" s="3"/>
      <c r="K200" s="3"/>
      <c r="L200" s="6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5"/>
      <c r="AA200" s="3"/>
      <c r="AB200" s="3"/>
      <c r="AC200" s="3"/>
      <c r="AD200" s="5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7"/>
      <c r="AX200" s="7"/>
      <c r="AY200" s="7"/>
      <c r="AZ200" s="7"/>
      <c r="BA200" s="8"/>
      <c r="BB200" s="3"/>
      <c r="BC200" s="3"/>
      <c r="BD200" s="3"/>
      <c r="BE200" s="3"/>
    </row>
    <row r="201" spans="1:57" x14ac:dyDescent="0.25">
      <c r="A201" s="2"/>
      <c r="D201" s="3"/>
      <c r="E201" s="4"/>
      <c r="F201" s="5"/>
      <c r="G201" s="5"/>
      <c r="J201" s="3"/>
      <c r="K201" s="3"/>
      <c r="L201" s="6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5"/>
      <c r="AA201" s="3"/>
      <c r="AB201" s="3"/>
      <c r="AC201" s="3"/>
      <c r="AD201" s="5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7"/>
      <c r="AX201" s="7"/>
      <c r="AY201" s="7"/>
      <c r="AZ201" s="7"/>
      <c r="BA201" s="8"/>
      <c r="BB201" s="3"/>
      <c r="BC201" s="3"/>
      <c r="BD201" s="3"/>
      <c r="BE201" s="3"/>
    </row>
    <row r="202" spans="1:57" x14ac:dyDescent="0.25">
      <c r="A202" s="2"/>
      <c r="D202" s="3"/>
      <c r="E202" s="4"/>
      <c r="F202" s="5"/>
      <c r="G202" s="5"/>
      <c r="J202" s="3"/>
      <c r="K202" s="3"/>
      <c r="L202" s="6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5"/>
      <c r="AA202" s="3"/>
      <c r="AB202" s="3"/>
      <c r="AC202" s="3"/>
      <c r="AD202" s="5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7"/>
      <c r="AX202" s="7"/>
      <c r="AY202" s="7"/>
      <c r="AZ202" s="7"/>
      <c r="BA202" s="8"/>
      <c r="BB202" s="3"/>
      <c r="BC202" s="3"/>
      <c r="BD202" s="3"/>
      <c r="BE202" s="3"/>
    </row>
    <row r="203" spans="1:57" x14ac:dyDescent="0.25">
      <c r="A203" s="2"/>
      <c r="D203" s="3"/>
      <c r="E203" s="4"/>
      <c r="F203" s="5"/>
      <c r="G203" s="5"/>
      <c r="J203" s="3"/>
      <c r="K203" s="3"/>
      <c r="L203" s="6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5"/>
      <c r="AA203" s="3"/>
      <c r="AB203" s="3"/>
      <c r="AC203" s="3"/>
      <c r="AD203" s="5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7"/>
      <c r="AX203" s="7"/>
      <c r="AY203" s="7"/>
      <c r="AZ203" s="7"/>
      <c r="BA203" s="8"/>
      <c r="BB203" s="3"/>
      <c r="BC203" s="3"/>
      <c r="BD203" s="3"/>
      <c r="BE203" s="3"/>
    </row>
    <row r="204" spans="1:57" x14ac:dyDescent="0.25">
      <c r="A204" s="2"/>
      <c r="D204" s="3"/>
      <c r="E204" s="4"/>
      <c r="F204" s="5"/>
      <c r="G204" s="5"/>
      <c r="J204" s="3"/>
      <c r="K204" s="3"/>
      <c r="L204" s="6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5"/>
      <c r="AA204" s="3"/>
      <c r="AB204" s="3"/>
      <c r="AC204" s="3"/>
      <c r="AD204" s="5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7"/>
      <c r="AX204" s="7"/>
      <c r="AY204" s="7"/>
      <c r="AZ204" s="7"/>
      <c r="BA204" s="8"/>
      <c r="BB204" s="3"/>
      <c r="BC204" s="3"/>
      <c r="BD204" s="3"/>
      <c r="BE204" s="3"/>
    </row>
    <row r="205" spans="1:57" x14ac:dyDescent="0.25">
      <c r="A205" s="2"/>
      <c r="D205" s="3"/>
      <c r="E205" s="4"/>
      <c r="F205" s="5"/>
      <c r="G205" s="5"/>
      <c r="J205" s="3"/>
      <c r="K205" s="3"/>
      <c r="L205" s="6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5"/>
      <c r="AA205" s="3"/>
      <c r="AB205" s="3"/>
      <c r="AC205" s="3"/>
      <c r="AD205" s="5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7"/>
      <c r="AX205" s="7"/>
      <c r="AY205" s="7"/>
      <c r="AZ205" s="7"/>
      <c r="BA205" s="8"/>
      <c r="BB205" s="3"/>
      <c r="BC205" s="3"/>
      <c r="BD205" s="3"/>
      <c r="BE205" s="3"/>
    </row>
    <row r="206" spans="1:57" x14ac:dyDescent="0.25">
      <c r="A206" s="2"/>
      <c r="D206" s="3"/>
      <c r="E206" s="4"/>
      <c r="F206" s="5"/>
      <c r="G206" s="5"/>
      <c r="J206" s="3"/>
      <c r="K206" s="3"/>
      <c r="L206" s="6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5"/>
      <c r="AA206" s="3"/>
      <c r="AB206" s="3"/>
      <c r="AC206" s="3"/>
      <c r="AD206" s="5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7"/>
      <c r="AX206" s="7"/>
      <c r="AY206" s="7"/>
      <c r="AZ206" s="7"/>
      <c r="BA206" s="8"/>
      <c r="BB206" s="3"/>
      <c r="BC206" s="3"/>
      <c r="BD206" s="3"/>
      <c r="BE206" s="3"/>
    </row>
    <row r="207" spans="1:57" x14ac:dyDescent="0.25">
      <c r="A207" s="2"/>
      <c r="D207" s="3"/>
      <c r="E207" s="4"/>
      <c r="F207" s="5"/>
      <c r="G207" s="5"/>
      <c r="J207" s="3"/>
      <c r="K207" s="3"/>
      <c r="L207" s="6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5"/>
      <c r="AA207" s="3"/>
      <c r="AB207" s="3"/>
      <c r="AC207" s="3"/>
      <c r="AD207" s="5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7"/>
      <c r="AX207" s="7"/>
      <c r="AY207" s="7"/>
      <c r="AZ207" s="7"/>
      <c r="BA207" s="8"/>
      <c r="BB207" s="3"/>
      <c r="BC207" s="3"/>
      <c r="BD207" s="3"/>
      <c r="BE207" s="3"/>
    </row>
    <row r="208" spans="1:57" x14ac:dyDescent="0.25">
      <c r="A208" s="2"/>
      <c r="D208" s="3"/>
      <c r="E208" s="4"/>
      <c r="F208" s="5"/>
      <c r="G208" s="5"/>
      <c r="J208" s="3"/>
      <c r="K208" s="3"/>
      <c r="L208" s="6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5"/>
      <c r="AA208" s="3"/>
      <c r="AB208" s="3"/>
      <c r="AC208" s="3"/>
      <c r="AD208" s="5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7"/>
      <c r="AX208" s="7"/>
      <c r="AY208" s="7"/>
      <c r="AZ208" s="7"/>
      <c r="BA208" s="8"/>
      <c r="BB208" s="3"/>
      <c r="BC208" s="3"/>
      <c r="BD208" s="3"/>
      <c r="BE208" s="3"/>
    </row>
    <row r="209" spans="1:57" x14ac:dyDescent="0.25">
      <c r="A209" s="2"/>
      <c r="D209" s="3"/>
      <c r="E209" s="4"/>
      <c r="F209" s="5"/>
      <c r="G209" s="5"/>
      <c r="J209" s="3"/>
      <c r="K209" s="3"/>
      <c r="L209" s="6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5"/>
      <c r="AA209" s="3"/>
      <c r="AB209" s="3"/>
      <c r="AC209" s="3"/>
      <c r="AD209" s="5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7"/>
      <c r="AX209" s="7"/>
      <c r="AY209" s="7"/>
      <c r="AZ209" s="7"/>
      <c r="BA209" s="8"/>
      <c r="BB209" s="3"/>
      <c r="BC209" s="3"/>
      <c r="BD209" s="3"/>
      <c r="BE209" s="3"/>
    </row>
    <row r="210" spans="1:57" x14ac:dyDescent="0.25">
      <c r="A210" s="2"/>
      <c r="D210" s="3"/>
      <c r="E210" s="4"/>
      <c r="F210" s="5"/>
      <c r="G210" s="5"/>
      <c r="J210" s="3"/>
      <c r="K210" s="3"/>
      <c r="L210" s="6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5"/>
      <c r="AA210" s="3"/>
      <c r="AB210" s="3"/>
      <c r="AC210" s="3"/>
      <c r="AD210" s="5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7"/>
      <c r="AX210" s="7"/>
      <c r="AY210" s="7"/>
      <c r="AZ210" s="7"/>
      <c r="BA210" s="8"/>
      <c r="BB210" s="3"/>
      <c r="BC210" s="3"/>
      <c r="BD210" s="3"/>
      <c r="BE210" s="3"/>
    </row>
    <row r="211" spans="1:57" x14ac:dyDescent="0.25">
      <c r="A211" s="2"/>
      <c r="D211" s="3"/>
      <c r="E211" s="4"/>
      <c r="F211" s="5"/>
      <c r="G211" s="5"/>
      <c r="J211" s="3"/>
      <c r="K211" s="3"/>
      <c r="L211" s="6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5"/>
      <c r="AA211" s="3"/>
      <c r="AB211" s="3"/>
      <c r="AC211" s="3"/>
      <c r="AD211" s="5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7"/>
      <c r="AX211" s="7"/>
      <c r="AY211" s="7"/>
      <c r="AZ211" s="7"/>
      <c r="BA211" s="8"/>
      <c r="BB211" s="3"/>
      <c r="BC211" s="3"/>
      <c r="BD211" s="3"/>
      <c r="BE211" s="3"/>
    </row>
    <row r="212" spans="1:57" x14ac:dyDescent="0.25">
      <c r="A212" s="2"/>
      <c r="D212" s="3"/>
      <c r="E212" s="4"/>
      <c r="F212" s="5"/>
      <c r="G212" s="5"/>
      <c r="J212" s="3"/>
      <c r="K212" s="3"/>
      <c r="L212" s="6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5"/>
      <c r="AA212" s="3"/>
      <c r="AB212" s="3"/>
      <c r="AC212" s="3"/>
      <c r="AD212" s="5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7"/>
      <c r="AX212" s="7"/>
      <c r="AY212" s="7"/>
      <c r="AZ212" s="7"/>
      <c r="BA212" s="8"/>
      <c r="BB212" s="3"/>
      <c r="BC212" s="3"/>
      <c r="BD212" s="3"/>
      <c r="BE212" s="3"/>
    </row>
    <row r="213" spans="1:57" x14ac:dyDescent="0.25">
      <c r="A213" s="2"/>
      <c r="D213" s="3"/>
      <c r="E213" s="4"/>
      <c r="F213" s="5"/>
      <c r="G213" s="5"/>
      <c r="J213" s="3"/>
      <c r="K213" s="3"/>
      <c r="L213" s="6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5"/>
      <c r="AA213" s="3"/>
      <c r="AB213" s="3"/>
      <c r="AC213" s="3"/>
      <c r="AD213" s="5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7"/>
      <c r="AX213" s="7"/>
      <c r="AY213" s="7"/>
      <c r="AZ213" s="7"/>
      <c r="BA213" s="8"/>
      <c r="BB213" s="3"/>
      <c r="BC213" s="3"/>
      <c r="BD213" s="3"/>
      <c r="BE213" s="3"/>
    </row>
    <row r="214" spans="1:57" x14ac:dyDescent="0.25">
      <c r="A214" s="2"/>
      <c r="D214" s="3"/>
      <c r="E214" s="4"/>
      <c r="F214" s="5"/>
      <c r="G214" s="5"/>
      <c r="J214" s="3"/>
      <c r="K214" s="3"/>
      <c r="L214" s="6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5"/>
      <c r="AA214" s="3"/>
      <c r="AB214" s="3"/>
      <c r="AC214" s="3"/>
      <c r="AD214" s="5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7"/>
      <c r="AX214" s="7"/>
      <c r="AY214" s="7"/>
      <c r="AZ214" s="7"/>
      <c r="BA214" s="8"/>
      <c r="BB214" s="3"/>
      <c r="BC214" s="3"/>
      <c r="BD214" s="3"/>
      <c r="BE214" s="3"/>
    </row>
    <row r="215" spans="1:57" x14ac:dyDescent="0.25">
      <c r="A215" s="2"/>
      <c r="D215" s="3"/>
      <c r="E215" s="4"/>
      <c r="F215" s="5"/>
      <c r="G215" s="5"/>
      <c r="J215" s="3"/>
      <c r="K215" s="3"/>
      <c r="L215" s="6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5"/>
      <c r="AA215" s="3"/>
      <c r="AB215" s="3"/>
      <c r="AC215" s="3"/>
      <c r="AD215" s="5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7"/>
      <c r="AX215" s="7"/>
      <c r="AY215" s="7"/>
      <c r="AZ215" s="7"/>
      <c r="BA215" s="8"/>
      <c r="BB215" s="3"/>
      <c r="BC215" s="3"/>
      <c r="BD215" s="3"/>
      <c r="BE215" s="3"/>
    </row>
    <row r="216" spans="1:57" x14ac:dyDescent="0.25">
      <c r="A216" s="2"/>
      <c r="D216" s="3"/>
      <c r="E216" s="4"/>
      <c r="F216" s="5"/>
      <c r="G216" s="5"/>
      <c r="J216" s="3"/>
      <c r="K216" s="3"/>
      <c r="L216" s="6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5"/>
      <c r="AA216" s="3"/>
      <c r="AB216" s="3"/>
      <c r="AC216" s="3"/>
      <c r="AD216" s="5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7"/>
      <c r="AX216" s="7"/>
      <c r="AY216" s="7"/>
      <c r="AZ216" s="7"/>
      <c r="BA216" s="8"/>
      <c r="BB216" s="3"/>
      <c r="BC216" s="3"/>
      <c r="BD216" s="3"/>
      <c r="BE216" s="3"/>
    </row>
    <row r="217" spans="1:57" x14ac:dyDescent="0.25">
      <c r="A217" s="2"/>
      <c r="D217" s="3"/>
      <c r="E217" s="4"/>
      <c r="F217" s="5"/>
      <c r="G217" s="5"/>
      <c r="J217" s="3"/>
      <c r="K217" s="3"/>
      <c r="L217" s="6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5"/>
      <c r="AA217" s="3"/>
      <c r="AB217" s="3"/>
      <c r="AC217" s="3"/>
      <c r="AD217" s="5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7"/>
      <c r="AX217" s="7"/>
      <c r="AY217" s="7"/>
      <c r="AZ217" s="7"/>
      <c r="BA217" s="8"/>
      <c r="BB217" s="3"/>
      <c r="BC217" s="3"/>
      <c r="BD217" s="3"/>
      <c r="BE217" s="3"/>
    </row>
    <row r="218" spans="1:57" x14ac:dyDescent="0.25">
      <c r="A218" s="2"/>
      <c r="D218" s="3"/>
      <c r="E218" s="4"/>
      <c r="F218" s="5"/>
      <c r="G218" s="5"/>
      <c r="J218" s="3"/>
      <c r="K218" s="3"/>
      <c r="L218" s="6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5"/>
      <c r="AA218" s="3"/>
      <c r="AB218" s="3"/>
      <c r="AC218" s="3"/>
      <c r="AD218" s="5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7"/>
      <c r="AX218" s="7"/>
      <c r="AY218" s="7"/>
      <c r="AZ218" s="7"/>
      <c r="BA218" s="8"/>
      <c r="BB218" s="3"/>
      <c r="BC218" s="3"/>
      <c r="BD218" s="3"/>
      <c r="BE218" s="3"/>
    </row>
    <row r="219" spans="1:57" x14ac:dyDescent="0.25">
      <c r="A219" s="2"/>
      <c r="D219" s="3"/>
      <c r="E219" s="4"/>
      <c r="F219" s="5"/>
      <c r="G219" s="5"/>
      <c r="J219" s="3"/>
      <c r="K219" s="3"/>
      <c r="L219" s="6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5"/>
      <c r="AA219" s="3"/>
      <c r="AB219" s="3"/>
      <c r="AC219" s="3"/>
      <c r="AD219" s="5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7"/>
      <c r="AX219" s="7"/>
      <c r="AY219" s="7"/>
      <c r="AZ219" s="7"/>
      <c r="BA219" s="8"/>
      <c r="BB219" s="3"/>
      <c r="BC219" s="3"/>
      <c r="BD219" s="3"/>
      <c r="BE219" s="3"/>
    </row>
    <row r="220" spans="1:57" x14ac:dyDescent="0.25">
      <c r="A220" s="2"/>
      <c r="D220" s="3"/>
      <c r="E220" s="4"/>
      <c r="F220" s="5"/>
      <c r="G220" s="5"/>
      <c r="J220" s="3"/>
      <c r="K220" s="3"/>
      <c r="L220" s="6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5"/>
      <c r="AA220" s="3"/>
      <c r="AB220" s="3"/>
      <c r="AC220" s="3"/>
      <c r="AD220" s="5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7"/>
      <c r="AX220" s="7"/>
      <c r="AY220" s="7"/>
      <c r="AZ220" s="7"/>
      <c r="BA220" s="8"/>
      <c r="BB220" s="3"/>
      <c r="BC220" s="3"/>
      <c r="BD220" s="3"/>
      <c r="BE220" s="3"/>
    </row>
    <row r="221" spans="1:57" x14ac:dyDescent="0.25">
      <c r="A221" s="2"/>
      <c r="D221" s="3"/>
      <c r="E221" s="4"/>
      <c r="F221" s="5"/>
      <c r="G221" s="5"/>
      <c r="J221" s="3"/>
      <c r="K221" s="3"/>
      <c r="L221" s="6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5"/>
      <c r="AA221" s="3"/>
      <c r="AB221" s="3"/>
      <c r="AC221" s="3"/>
      <c r="AD221" s="5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7"/>
      <c r="AX221" s="7"/>
      <c r="AY221" s="7"/>
      <c r="AZ221" s="7"/>
      <c r="BA221" s="8"/>
      <c r="BB221" s="3"/>
      <c r="BC221" s="3"/>
      <c r="BD221" s="3"/>
      <c r="BE221" s="3"/>
    </row>
    <row r="222" spans="1:57" x14ac:dyDescent="0.25">
      <c r="A222" s="2"/>
      <c r="D222" s="3"/>
      <c r="E222" s="4"/>
      <c r="F222" s="5"/>
      <c r="G222" s="5"/>
      <c r="J222" s="3"/>
      <c r="K222" s="3"/>
      <c r="L222" s="6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5"/>
      <c r="AA222" s="3"/>
      <c r="AB222" s="3"/>
      <c r="AC222" s="3"/>
      <c r="AD222" s="5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7"/>
      <c r="AX222" s="7"/>
      <c r="AY222" s="7"/>
      <c r="AZ222" s="7"/>
      <c r="BA222" s="8"/>
      <c r="BB222" s="3"/>
      <c r="BC222" s="3"/>
      <c r="BD222" s="3"/>
      <c r="BE222" s="3"/>
    </row>
    <row r="223" spans="1:57" x14ac:dyDescent="0.25">
      <c r="A223" s="2"/>
      <c r="D223" s="3"/>
      <c r="E223" s="4"/>
      <c r="F223" s="5"/>
      <c r="G223" s="5"/>
      <c r="J223" s="3"/>
      <c r="K223" s="3"/>
      <c r="L223" s="6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5"/>
      <c r="AA223" s="3"/>
      <c r="AB223" s="3"/>
      <c r="AC223" s="3"/>
      <c r="AD223" s="5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7"/>
      <c r="AX223" s="7"/>
      <c r="AY223" s="7"/>
      <c r="AZ223" s="7"/>
      <c r="BA223" s="8"/>
      <c r="BB223" s="3"/>
      <c r="BC223" s="3"/>
      <c r="BD223" s="3"/>
      <c r="BE223" s="3"/>
    </row>
    <row r="224" spans="1:57" x14ac:dyDescent="0.25">
      <c r="A224" s="2"/>
      <c r="D224" s="3"/>
      <c r="E224" s="4"/>
      <c r="F224" s="5"/>
      <c r="G224" s="5"/>
      <c r="J224" s="3"/>
      <c r="K224" s="3"/>
      <c r="L224" s="6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5"/>
      <c r="AA224" s="3"/>
      <c r="AB224" s="3"/>
      <c r="AC224" s="3"/>
      <c r="AD224" s="5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7"/>
      <c r="AX224" s="7"/>
      <c r="AY224" s="7"/>
      <c r="AZ224" s="7"/>
      <c r="BA224" s="8"/>
      <c r="BB224" s="3"/>
      <c r="BC224" s="3"/>
      <c r="BD224" s="3"/>
      <c r="BE224" s="3"/>
    </row>
    <row r="225" spans="1:57" x14ac:dyDescent="0.25">
      <c r="A225" s="2"/>
      <c r="D225" s="3"/>
      <c r="E225" s="4"/>
      <c r="F225" s="5"/>
      <c r="G225" s="5"/>
      <c r="J225" s="3"/>
      <c r="K225" s="3"/>
      <c r="L225" s="6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5"/>
      <c r="AA225" s="3"/>
      <c r="AB225" s="3"/>
      <c r="AC225" s="3"/>
      <c r="AD225" s="5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7"/>
      <c r="AX225" s="7"/>
      <c r="AY225" s="7"/>
      <c r="AZ225" s="7"/>
      <c r="BA225" s="8"/>
      <c r="BB225" s="3"/>
      <c r="BC225" s="3"/>
      <c r="BD225" s="3"/>
      <c r="BE225" s="3"/>
    </row>
    <row r="226" spans="1:57" x14ac:dyDescent="0.25">
      <c r="A226" s="2"/>
      <c r="D226" s="3"/>
      <c r="E226" s="4"/>
      <c r="F226" s="5"/>
      <c r="G226" s="5"/>
      <c r="J226" s="3"/>
      <c r="K226" s="3"/>
      <c r="L226" s="6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5"/>
      <c r="AA226" s="3"/>
      <c r="AB226" s="3"/>
      <c r="AC226" s="3"/>
      <c r="AD226" s="5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7"/>
      <c r="AX226" s="7"/>
      <c r="AY226" s="7"/>
      <c r="AZ226" s="7"/>
      <c r="BA226" s="8"/>
      <c r="BB226" s="3"/>
      <c r="BC226" s="3"/>
      <c r="BD226" s="3"/>
      <c r="BE226" s="3"/>
    </row>
    <row r="227" spans="1:57" x14ac:dyDescent="0.25">
      <c r="A227" s="2"/>
      <c r="D227" s="3"/>
      <c r="E227" s="4"/>
      <c r="F227" s="5"/>
      <c r="G227" s="5"/>
      <c r="J227" s="3"/>
      <c r="K227" s="3"/>
      <c r="L227" s="6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5"/>
      <c r="AA227" s="3"/>
      <c r="AB227" s="3"/>
      <c r="AC227" s="3"/>
      <c r="AD227" s="5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7"/>
      <c r="AX227" s="7"/>
      <c r="AY227" s="7"/>
      <c r="AZ227" s="7"/>
      <c r="BA227" s="8"/>
      <c r="BB227" s="3"/>
      <c r="BC227" s="3"/>
      <c r="BD227" s="3"/>
      <c r="BE227" s="3"/>
    </row>
    <row r="228" spans="1:57" x14ac:dyDescent="0.25">
      <c r="A228" s="2"/>
      <c r="D228" s="3"/>
      <c r="E228" s="4"/>
      <c r="F228" s="5"/>
      <c r="G228" s="5"/>
      <c r="J228" s="3"/>
      <c r="K228" s="3"/>
      <c r="L228" s="6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5"/>
      <c r="AA228" s="3"/>
      <c r="AB228" s="3"/>
      <c r="AC228" s="3"/>
      <c r="AD228" s="5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7"/>
      <c r="AX228" s="7"/>
      <c r="AY228" s="7"/>
      <c r="AZ228" s="7"/>
      <c r="BA228" s="8"/>
      <c r="BB228" s="3"/>
      <c r="BC228" s="3"/>
      <c r="BD228" s="3"/>
      <c r="BE228" s="3"/>
    </row>
    <row r="229" spans="1:57" x14ac:dyDescent="0.25">
      <c r="A229" s="2"/>
      <c r="D229" s="3"/>
      <c r="E229" s="4"/>
      <c r="F229" s="5"/>
      <c r="G229" s="5"/>
      <c r="J229" s="3"/>
      <c r="K229" s="3"/>
      <c r="L229" s="6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5"/>
      <c r="AA229" s="3"/>
      <c r="AB229" s="3"/>
      <c r="AC229" s="3"/>
      <c r="AD229" s="5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7"/>
      <c r="AX229" s="7"/>
      <c r="AY229" s="7"/>
      <c r="AZ229" s="7"/>
      <c r="BA229" s="8"/>
      <c r="BB229" s="3"/>
      <c r="BC229" s="3"/>
      <c r="BD229" s="3"/>
      <c r="BE229" s="3"/>
    </row>
    <row r="230" spans="1:57" x14ac:dyDescent="0.25">
      <c r="A230" s="2"/>
      <c r="D230" s="3"/>
      <c r="E230" s="4"/>
      <c r="F230" s="5"/>
      <c r="G230" s="5"/>
      <c r="J230" s="3"/>
      <c r="K230" s="3"/>
      <c r="L230" s="6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5"/>
      <c r="AA230" s="3"/>
      <c r="AB230" s="3"/>
      <c r="AC230" s="3"/>
      <c r="AD230" s="5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7"/>
      <c r="AX230" s="7"/>
      <c r="AY230" s="7"/>
      <c r="AZ230" s="7"/>
      <c r="BA230" s="8"/>
      <c r="BB230" s="3"/>
      <c r="BC230" s="3"/>
      <c r="BD230" s="3"/>
      <c r="BE230" s="3"/>
    </row>
    <row r="231" spans="1:57" x14ac:dyDescent="0.25">
      <c r="A231" s="2"/>
      <c r="D231" s="3"/>
      <c r="E231" s="4"/>
      <c r="F231" s="5"/>
      <c r="G231" s="5"/>
      <c r="J231" s="3"/>
      <c r="K231" s="3"/>
      <c r="L231" s="6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5"/>
      <c r="AA231" s="3"/>
      <c r="AB231" s="3"/>
      <c r="AC231" s="3"/>
      <c r="AD231" s="5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7"/>
      <c r="AX231" s="7"/>
      <c r="AY231" s="7"/>
      <c r="AZ231" s="7"/>
      <c r="BA231" s="8"/>
      <c r="BB231" s="3"/>
      <c r="BC231" s="3"/>
      <c r="BD231" s="3"/>
      <c r="BE231" s="3"/>
    </row>
    <row r="232" spans="1:57" x14ac:dyDescent="0.25">
      <c r="A232" s="2"/>
      <c r="D232" s="3"/>
      <c r="E232" s="4"/>
      <c r="F232" s="5"/>
      <c r="G232" s="5"/>
      <c r="J232" s="3"/>
      <c r="K232" s="3"/>
      <c r="L232" s="6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5"/>
      <c r="AA232" s="3"/>
      <c r="AB232" s="3"/>
      <c r="AC232" s="3"/>
      <c r="AD232" s="5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7"/>
      <c r="AX232" s="7"/>
      <c r="AY232" s="7"/>
      <c r="AZ232" s="7"/>
      <c r="BA232" s="8"/>
      <c r="BB232" s="3"/>
      <c r="BC232" s="3"/>
      <c r="BD232" s="3"/>
      <c r="BE232" s="3"/>
    </row>
    <row r="233" spans="1:57" x14ac:dyDescent="0.25">
      <c r="A233" s="2"/>
      <c r="D233" s="3"/>
      <c r="E233" s="4"/>
      <c r="F233" s="5"/>
      <c r="G233" s="5"/>
      <c r="J233" s="3"/>
      <c r="K233" s="3"/>
      <c r="L233" s="6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5"/>
      <c r="AA233" s="3"/>
      <c r="AB233" s="3"/>
      <c r="AC233" s="3"/>
      <c r="AD233" s="5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7"/>
      <c r="AX233" s="7"/>
      <c r="AY233" s="7"/>
      <c r="AZ233" s="7"/>
      <c r="BA233" s="8"/>
      <c r="BB233" s="3"/>
      <c r="BC233" s="3"/>
      <c r="BD233" s="3"/>
      <c r="BE233" s="3"/>
    </row>
    <row r="234" spans="1:57" x14ac:dyDescent="0.25">
      <c r="A234" s="2"/>
      <c r="D234" s="3"/>
      <c r="E234" s="4"/>
      <c r="F234" s="5"/>
      <c r="G234" s="5"/>
      <c r="J234" s="3"/>
      <c r="K234" s="3"/>
      <c r="L234" s="6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5"/>
      <c r="AA234" s="3"/>
      <c r="AB234" s="3"/>
      <c r="AC234" s="3"/>
      <c r="AD234" s="5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7"/>
      <c r="AX234" s="7"/>
      <c r="AY234" s="7"/>
      <c r="AZ234" s="7"/>
      <c r="BA234" s="8"/>
      <c r="BB234" s="3"/>
      <c r="BC234" s="3"/>
      <c r="BD234" s="3"/>
      <c r="BE234" s="3"/>
    </row>
    <row r="235" spans="1:57" x14ac:dyDescent="0.25">
      <c r="A235" s="2"/>
      <c r="D235" s="3"/>
      <c r="E235" s="4"/>
      <c r="F235" s="5"/>
      <c r="G235" s="5"/>
      <c r="J235" s="3"/>
      <c r="K235" s="3"/>
      <c r="L235" s="6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5"/>
      <c r="AA235" s="3"/>
      <c r="AB235" s="3"/>
      <c r="AC235" s="3"/>
      <c r="AD235" s="5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7"/>
      <c r="AX235" s="7"/>
      <c r="AY235" s="7"/>
      <c r="AZ235" s="7"/>
      <c r="BA235" s="8"/>
      <c r="BB235" s="3"/>
      <c r="BC235" s="3"/>
      <c r="BD235" s="3"/>
      <c r="BE235" s="3"/>
    </row>
    <row r="236" spans="1:57" x14ac:dyDescent="0.25">
      <c r="A236" s="2"/>
      <c r="D236" s="3"/>
      <c r="E236" s="4"/>
      <c r="F236" s="5"/>
      <c r="G236" s="5"/>
      <c r="J236" s="3"/>
      <c r="K236" s="3"/>
      <c r="L236" s="6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5"/>
      <c r="AA236" s="3"/>
      <c r="AB236" s="3"/>
      <c r="AC236" s="3"/>
      <c r="AD236" s="5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7"/>
      <c r="AX236" s="7"/>
      <c r="AY236" s="7"/>
      <c r="AZ236" s="7"/>
      <c r="BA236" s="8"/>
      <c r="BB236" s="3"/>
      <c r="BC236" s="3"/>
      <c r="BD236" s="3"/>
      <c r="BE236" s="3"/>
    </row>
    <row r="237" spans="1:57" x14ac:dyDescent="0.25">
      <c r="A237" s="2"/>
      <c r="D237" s="3"/>
      <c r="E237" s="4"/>
      <c r="F237" s="5"/>
      <c r="G237" s="5"/>
      <c r="J237" s="3"/>
      <c r="K237" s="3"/>
      <c r="L237" s="6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5"/>
      <c r="AA237" s="3"/>
      <c r="AB237" s="3"/>
      <c r="AC237" s="3"/>
      <c r="AD237" s="5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7"/>
      <c r="AX237" s="7"/>
      <c r="AY237" s="7"/>
      <c r="AZ237" s="7"/>
      <c r="BA237" s="8"/>
      <c r="BB237" s="3"/>
      <c r="BC237" s="3"/>
      <c r="BD237" s="3"/>
      <c r="BE237" s="3"/>
    </row>
    <row r="238" spans="1:57" x14ac:dyDescent="0.25">
      <c r="A238" s="2"/>
      <c r="D238" s="3"/>
      <c r="E238" s="4"/>
      <c r="F238" s="5"/>
      <c r="G238" s="5"/>
      <c r="J238" s="3"/>
      <c r="K238" s="3"/>
      <c r="L238" s="6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5"/>
      <c r="AA238" s="3"/>
      <c r="AB238" s="3"/>
      <c r="AC238" s="3"/>
      <c r="AD238" s="5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7"/>
      <c r="AX238" s="7"/>
      <c r="AY238" s="7"/>
      <c r="AZ238" s="7"/>
      <c r="BA238" s="8"/>
      <c r="BB238" s="3"/>
      <c r="BC238" s="3"/>
      <c r="BD238" s="3"/>
      <c r="BE238" s="3"/>
    </row>
    <row r="239" spans="1:57" x14ac:dyDescent="0.25">
      <c r="A239" s="2"/>
      <c r="D239" s="3"/>
      <c r="E239" s="4"/>
      <c r="F239" s="5"/>
      <c r="G239" s="5"/>
      <c r="J239" s="3"/>
      <c r="K239" s="3"/>
      <c r="L239" s="6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5"/>
      <c r="AA239" s="3"/>
      <c r="AB239" s="3"/>
      <c r="AC239" s="3"/>
      <c r="AD239" s="5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7"/>
      <c r="AX239" s="7"/>
      <c r="AY239" s="7"/>
      <c r="AZ239" s="7"/>
      <c r="BA239" s="8"/>
      <c r="BB239" s="3"/>
      <c r="BC239" s="3"/>
      <c r="BD239" s="3"/>
      <c r="BE239" s="3"/>
    </row>
    <row r="240" spans="1:57" x14ac:dyDescent="0.25">
      <c r="A240" s="2"/>
      <c r="D240" s="3"/>
      <c r="E240" s="4"/>
      <c r="F240" s="5"/>
      <c r="G240" s="5"/>
      <c r="J240" s="3"/>
      <c r="K240" s="3"/>
      <c r="L240" s="6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5"/>
      <c r="AA240" s="3"/>
      <c r="AB240" s="3"/>
      <c r="AC240" s="3"/>
      <c r="AD240" s="5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7"/>
      <c r="AX240" s="7"/>
      <c r="AY240" s="7"/>
      <c r="AZ240" s="7"/>
      <c r="BA240" s="8"/>
      <c r="BB240" s="3"/>
      <c r="BC240" s="3"/>
      <c r="BD240" s="3"/>
      <c r="BE240" s="3"/>
    </row>
    <row r="241" spans="1:57" x14ac:dyDescent="0.25">
      <c r="A241" s="2"/>
      <c r="D241" s="3"/>
      <c r="E241" s="4"/>
      <c r="F241" s="5"/>
      <c r="G241" s="5"/>
      <c r="J241" s="3"/>
      <c r="K241" s="3"/>
      <c r="L241" s="6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5"/>
      <c r="AA241" s="3"/>
      <c r="AB241" s="3"/>
      <c r="AC241" s="3"/>
      <c r="AD241" s="5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7"/>
      <c r="AX241" s="7"/>
      <c r="AY241" s="7"/>
      <c r="AZ241" s="7"/>
      <c r="BA241" s="8"/>
      <c r="BB241" s="3"/>
      <c r="BC241" s="3"/>
      <c r="BD241" s="3"/>
      <c r="BE241" s="3"/>
    </row>
    <row r="242" spans="1:57" x14ac:dyDescent="0.25">
      <c r="A242" s="2"/>
      <c r="D242" s="3"/>
      <c r="E242" s="4"/>
      <c r="F242" s="5"/>
      <c r="G242" s="5"/>
      <c r="J242" s="3"/>
      <c r="K242" s="3"/>
      <c r="L242" s="6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5"/>
      <c r="AA242" s="3"/>
      <c r="AB242" s="3"/>
      <c r="AC242" s="3"/>
      <c r="AD242" s="5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7"/>
      <c r="AX242" s="7"/>
      <c r="AY242" s="7"/>
      <c r="AZ242" s="7"/>
      <c r="BA242" s="8"/>
      <c r="BB242" s="3"/>
      <c r="BC242" s="3"/>
      <c r="BD242" s="3"/>
      <c r="BE242" s="3"/>
    </row>
    <row r="243" spans="1:57" x14ac:dyDescent="0.25">
      <c r="A243" s="2"/>
      <c r="D243" s="3"/>
      <c r="E243" s="4"/>
      <c r="F243" s="5"/>
      <c r="G243" s="5"/>
      <c r="J243" s="3"/>
      <c r="K243" s="3"/>
      <c r="L243" s="6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5"/>
      <c r="AA243" s="3"/>
      <c r="AB243" s="3"/>
      <c r="AC243" s="3"/>
      <c r="AD243" s="5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7"/>
      <c r="AX243" s="7"/>
      <c r="AY243" s="7"/>
      <c r="AZ243" s="7"/>
      <c r="BA243" s="8"/>
      <c r="BB243" s="3"/>
      <c r="BC243" s="3"/>
      <c r="BD243" s="3"/>
      <c r="BE243" s="3"/>
    </row>
    <row r="244" spans="1:57" x14ac:dyDescent="0.25">
      <c r="A244" s="2"/>
      <c r="D244" s="3"/>
      <c r="E244" s="4"/>
      <c r="F244" s="5"/>
      <c r="G244" s="5"/>
      <c r="J244" s="3"/>
      <c r="K244" s="3"/>
      <c r="L244" s="6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5"/>
      <c r="AA244" s="3"/>
      <c r="AB244" s="3"/>
      <c r="AC244" s="3"/>
      <c r="AD244" s="5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7"/>
      <c r="AX244" s="7"/>
      <c r="AY244" s="7"/>
      <c r="AZ244" s="7"/>
      <c r="BA244" s="8"/>
      <c r="BB244" s="3"/>
      <c r="BC244" s="3"/>
      <c r="BD244" s="3"/>
      <c r="BE244" s="3"/>
    </row>
    <row r="245" spans="1:57" x14ac:dyDescent="0.25">
      <c r="A245" s="2"/>
      <c r="D245" s="3"/>
      <c r="E245" s="4"/>
      <c r="F245" s="5"/>
      <c r="G245" s="5"/>
      <c r="J245" s="3"/>
      <c r="K245" s="3"/>
      <c r="L245" s="6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5"/>
      <c r="AA245" s="3"/>
      <c r="AB245" s="3"/>
      <c r="AC245" s="3"/>
      <c r="AD245" s="5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7"/>
      <c r="AX245" s="7"/>
      <c r="AY245" s="7"/>
      <c r="AZ245" s="7"/>
      <c r="BA245" s="8"/>
      <c r="BB245" s="3"/>
      <c r="BC245" s="3"/>
      <c r="BD245" s="3"/>
      <c r="BE245" s="3"/>
    </row>
    <row r="246" spans="1:57" x14ac:dyDescent="0.25">
      <c r="A246" s="2"/>
      <c r="D246" s="3"/>
      <c r="E246" s="4"/>
      <c r="F246" s="5"/>
      <c r="G246" s="5"/>
      <c r="J246" s="3"/>
      <c r="K246" s="3"/>
      <c r="L246" s="6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5"/>
      <c r="AA246" s="3"/>
      <c r="AB246" s="3"/>
      <c r="AC246" s="3"/>
      <c r="AD246" s="5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7"/>
      <c r="AX246" s="7"/>
      <c r="AY246" s="7"/>
      <c r="AZ246" s="7"/>
      <c r="BA246" s="8"/>
      <c r="BB246" s="3"/>
      <c r="BC246" s="3"/>
      <c r="BD246" s="3"/>
      <c r="BE246" s="3"/>
    </row>
    <row r="247" spans="1:57" x14ac:dyDescent="0.25">
      <c r="A247" s="2"/>
      <c r="D247" s="3"/>
      <c r="E247" s="4"/>
      <c r="F247" s="5"/>
      <c r="G247" s="5"/>
      <c r="J247" s="3"/>
      <c r="K247" s="3"/>
      <c r="L247" s="6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5"/>
      <c r="AA247" s="3"/>
      <c r="AB247" s="3"/>
      <c r="AC247" s="3"/>
      <c r="AD247" s="5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7"/>
      <c r="AX247" s="7"/>
      <c r="AY247" s="7"/>
      <c r="AZ247" s="7"/>
      <c r="BA247" s="8"/>
      <c r="BB247" s="3"/>
      <c r="BC247" s="3"/>
      <c r="BD247" s="3"/>
      <c r="BE247" s="3"/>
    </row>
    <row r="248" spans="1:57" x14ac:dyDescent="0.25">
      <c r="A248" s="2"/>
      <c r="D248" s="3"/>
      <c r="E248" s="4"/>
      <c r="F248" s="5"/>
      <c r="G248" s="5"/>
      <c r="J248" s="3"/>
      <c r="K248" s="3"/>
      <c r="L248" s="6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5"/>
      <c r="AA248" s="3"/>
      <c r="AB248" s="3"/>
      <c r="AC248" s="3"/>
      <c r="AD248" s="5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7"/>
      <c r="AX248" s="7"/>
      <c r="AY248" s="7"/>
      <c r="AZ248" s="7"/>
      <c r="BA248" s="8"/>
      <c r="BB248" s="3"/>
      <c r="BC248" s="3"/>
      <c r="BD248" s="3"/>
      <c r="BE248" s="3"/>
    </row>
    <row r="249" spans="1:57" x14ac:dyDescent="0.25">
      <c r="A249" s="2"/>
      <c r="D249" s="3"/>
      <c r="E249" s="4"/>
      <c r="F249" s="5"/>
      <c r="G249" s="5"/>
      <c r="J249" s="3"/>
      <c r="K249" s="3"/>
      <c r="L249" s="6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5"/>
      <c r="AA249" s="3"/>
      <c r="AB249" s="3"/>
      <c r="AC249" s="3"/>
      <c r="AD249" s="5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7"/>
      <c r="AX249" s="7"/>
      <c r="AY249" s="7"/>
      <c r="AZ249" s="7"/>
      <c r="BA249" s="8"/>
      <c r="BB249" s="3"/>
      <c r="BC249" s="3"/>
      <c r="BD249" s="3"/>
      <c r="BE249" s="3"/>
    </row>
    <row r="250" spans="1:57" x14ac:dyDescent="0.25">
      <c r="A250" s="2"/>
      <c r="D250" s="3"/>
      <c r="E250" s="4"/>
      <c r="F250" s="5"/>
      <c r="G250" s="5"/>
      <c r="J250" s="3"/>
      <c r="K250" s="3"/>
      <c r="L250" s="6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5"/>
      <c r="AA250" s="3"/>
      <c r="AB250" s="3"/>
      <c r="AC250" s="3"/>
      <c r="AD250" s="5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7"/>
      <c r="AX250" s="7"/>
      <c r="AY250" s="7"/>
      <c r="AZ250" s="7"/>
      <c r="BA250" s="8"/>
      <c r="BB250" s="3"/>
      <c r="BC250" s="3"/>
      <c r="BD250" s="3"/>
      <c r="BE250" s="3"/>
    </row>
    <row r="251" spans="1:57" x14ac:dyDescent="0.25">
      <c r="A251" s="2"/>
      <c r="D251" s="3"/>
      <c r="E251" s="4"/>
      <c r="F251" s="5"/>
      <c r="G251" s="5"/>
      <c r="J251" s="3"/>
      <c r="K251" s="3"/>
      <c r="L251" s="6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5"/>
      <c r="AA251" s="3"/>
      <c r="AB251" s="3"/>
      <c r="AC251" s="3"/>
      <c r="AD251" s="5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7"/>
      <c r="AX251" s="7"/>
      <c r="AY251" s="7"/>
      <c r="AZ251" s="7"/>
      <c r="BA251" s="8"/>
      <c r="BB251" s="3"/>
      <c r="BC251" s="3"/>
      <c r="BD251" s="3"/>
      <c r="BE251" s="3"/>
    </row>
    <row r="252" spans="1:57" x14ac:dyDescent="0.25">
      <c r="A252" s="2"/>
      <c r="D252" s="3"/>
      <c r="E252" s="4"/>
      <c r="F252" s="5"/>
      <c r="G252" s="5"/>
      <c r="J252" s="3"/>
      <c r="K252" s="3"/>
      <c r="L252" s="6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5"/>
      <c r="AA252" s="3"/>
      <c r="AB252" s="3"/>
      <c r="AC252" s="3"/>
      <c r="AD252" s="5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7"/>
      <c r="AX252" s="7"/>
      <c r="AY252" s="7"/>
      <c r="AZ252" s="7"/>
      <c r="BA252" s="8"/>
      <c r="BB252" s="3"/>
      <c r="BC252" s="3"/>
      <c r="BD252" s="3"/>
      <c r="BE252" s="3"/>
    </row>
    <row r="253" spans="1:57" x14ac:dyDescent="0.25">
      <c r="A253" s="2"/>
      <c r="D253" s="3"/>
      <c r="E253" s="4"/>
      <c r="F253" s="5"/>
      <c r="G253" s="5"/>
      <c r="J253" s="3"/>
      <c r="K253" s="3"/>
      <c r="L253" s="6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5"/>
      <c r="AA253" s="3"/>
      <c r="AB253" s="3"/>
      <c r="AC253" s="3"/>
      <c r="AD253" s="5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7"/>
      <c r="AX253" s="7"/>
      <c r="AY253" s="7"/>
      <c r="AZ253" s="7"/>
      <c r="BA253" s="8"/>
      <c r="BB253" s="3"/>
      <c r="BC253" s="3"/>
      <c r="BD253" s="3"/>
      <c r="BE253" s="3"/>
    </row>
    <row r="254" spans="1:57" x14ac:dyDescent="0.25">
      <c r="A254" s="2"/>
      <c r="D254" s="3"/>
      <c r="E254" s="4"/>
      <c r="F254" s="5"/>
      <c r="G254" s="5"/>
      <c r="J254" s="3"/>
      <c r="K254" s="3"/>
      <c r="L254" s="6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5"/>
      <c r="AA254" s="3"/>
      <c r="AB254" s="3"/>
      <c r="AC254" s="3"/>
      <c r="AD254" s="5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7"/>
      <c r="AX254" s="7"/>
      <c r="AY254" s="7"/>
      <c r="AZ254" s="7"/>
      <c r="BA254" s="8"/>
      <c r="BB254" s="3"/>
      <c r="BC254" s="3"/>
      <c r="BD254" s="3"/>
      <c r="BE254" s="3"/>
    </row>
    <row r="255" spans="1:57" x14ac:dyDescent="0.25">
      <c r="A255" s="2"/>
      <c r="D255" s="3"/>
      <c r="E255" s="4"/>
      <c r="F255" s="5"/>
      <c r="G255" s="5"/>
      <c r="J255" s="3"/>
      <c r="K255" s="3"/>
      <c r="L255" s="6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5"/>
      <c r="AA255" s="3"/>
      <c r="AB255" s="3"/>
      <c r="AC255" s="3"/>
      <c r="AD255" s="5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7"/>
      <c r="AX255" s="7"/>
      <c r="AY255" s="7"/>
      <c r="AZ255" s="7"/>
      <c r="BA255" s="8"/>
      <c r="BB255" s="3"/>
      <c r="BC255" s="3"/>
      <c r="BD255" s="3"/>
      <c r="BE255" s="3"/>
    </row>
    <row r="256" spans="1:57" x14ac:dyDescent="0.25">
      <c r="A256" s="2"/>
      <c r="D256" s="3"/>
      <c r="E256" s="4"/>
      <c r="F256" s="5"/>
      <c r="G256" s="5"/>
      <c r="J256" s="3"/>
      <c r="K256" s="3"/>
      <c r="L256" s="6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5"/>
      <c r="AA256" s="3"/>
      <c r="AB256" s="3"/>
      <c r="AC256" s="3"/>
      <c r="AD256" s="5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7"/>
      <c r="AX256" s="7"/>
      <c r="AY256" s="7"/>
      <c r="AZ256" s="7"/>
      <c r="BA256" s="8"/>
      <c r="BB256" s="3"/>
      <c r="BC256" s="3"/>
      <c r="BD256" s="3"/>
      <c r="BE256" s="3"/>
    </row>
    <row r="257" spans="1:57" x14ac:dyDescent="0.25">
      <c r="A257" s="2"/>
      <c r="D257" s="3"/>
      <c r="E257" s="4"/>
      <c r="F257" s="5"/>
      <c r="G257" s="5"/>
      <c r="J257" s="3"/>
      <c r="K257" s="3"/>
      <c r="L257" s="6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5"/>
      <c r="AA257" s="3"/>
      <c r="AB257" s="3"/>
      <c r="AC257" s="3"/>
      <c r="AD257" s="5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7"/>
      <c r="AX257" s="7"/>
      <c r="AY257" s="7"/>
      <c r="AZ257" s="7"/>
      <c r="BA257" s="8"/>
      <c r="BB257" s="3"/>
      <c r="BC257" s="3"/>
      <c r="BD257" s="3"/>
      <c r="BE257" s="3"/>
    </row>
    <row r="258" spans="1:57" x14ac:dyDescent="0.25">
      <c r="A258" s="2"/>
      <c r="D258" s="3"/>
      <c r="E258" s="4"/>
      <c r="F258" s="5"/>
      <c r="G258" s="5"/>
      <c r="J258" s="3"/>
      <c r="K258" s="3"/>
      <c r="L258" s="6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5"/>
      <c r="AA258" s="3"/>
      <c r="AB258" s="3"/>
      <c r="AC258" s="3"/>
      <c r="AD258" s="5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7"/>
      <c r="AX258" s="7"/>
      <c r="AY258" s="7"/>
      <c r="AZ258" s="7"/>
      <c r="BA258" s="8"/>
      <c r="BB258" s="3"/>
      <c r="BC258" s="3"/>
      <c r="BD258" s="3"/>
      <c r="BE258" s="3"/>
    </row>
    <row r="259" spans="1:57" x14ac:dyDescent="0.25">
      <c r="A259" s="2"/>
      <c r="D259" s="3"/>
      <c r="E259" s="4"/>
      <c r="F259" s="5"/>
      <c r="G259" s="5"/>
      <c r="J259" s="3"/>
      <c r="K259" s="3"/>
      <c r="L259" s="6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5"/>
      <c r="AA259" s="3"/>
      <c r="AB259" s="3"/>
      <c r="AC259" s="3"/>
      <c r="AD259" s="5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7"/>
      <c r="AX259" s="7"/>
      <c r="AY259" s="7"/>
      <c r="AZ259" s="7"/>
      <c r="BA259" s="8"/>
      <c r="BB259" s="3"/>
      <c r="BC259" s="3"/>
      <c r="BD259" s="3"/>
      <c r="BE259" s="3"/>
    </row>
    <row r="260" spans="1:57" x14ac:dyDescent="0.25">
      <c r="A260" s="2"/>
      <c r="D260" s="3"/>
      <c r="E260" s="4"/>
      <c r="F260" s="5"/>
      <c r="G260" s="5"/>
      <c r="J260" s="3"/>
      <c r="K260" s="3"/>
      <c r="L260" s="6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5"/>
      <c r="AA260" s="3"/>
      <c r="AB260" s="3"/>
      <c r="AC260" s="3"/>
      <c r="AD260" s="5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7"/>
      <c r="AX260" s="7"/>
      <c r="AY260" s="7"/>
      <c r="AZ260" s="7"/>
      <c r="BA260" s="8"/>
      <c r="BB260" s="3"/>
      <c r="BC260" s="3"/>
      <c r="BD260" s="3"/>
      <c r="BE260" s="3"/>
    </row>
    <row r="261" spans="1:57" x14ac:dyDescent="0.25">
      <c r="A261" s="2"/>
      <c r="D261" s="3"/>
      <c r="E261" s="4"/>
      <c r="F261" s="5"/>
      <c r="G261" s="5"/>
      <c r="J261" s="3"/>
      <c r="K261" s="3"/>
      <c r="L261" s="6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5"/>
      <c r="AA261" s="3"/>
      <c r="AB261" s="3"/>
      <c r="AC261" s="3"/>
      <c r="AD261" s="5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7"/>
      <c r="AX261" s="7"/>
      <c r="AY261" s="7"/>
      <c r="AZ261" s="7"/>
      <c r="BA261" s="8"/>
      <c r="BB261" s="3"/>
      <c r="BC261" s="3"/>
      <c r="BD261" s="3"/>
      <c r="BE261" s="3"/>
    </row>
    <row r="262" spans="1:57" x14ac:dyDescent="0.25">
      <c r="A262" s="2"/>
      <c r="D262" s="3"/>
      <c r="E262" s="4"/>
      <c r="F262" s="5"/>
      <c r="G262" s="5"/>
      <c r="J262" s="3"/>
      <c r="K262" s="3"/>
      <c r="L262" s="6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5"/>
      <c r="AA262" s="3"/>
      <c r="AB262" s="3"/>
      <c r="AC262" s="3"/>
      <c r="AD262" s="5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7"/>
      <c r="AX262" s="7"/>
      <c r="AY262" s="7"/>
      <c r="AZ262" s="7"/>
      <c r="BA262" s="8"/>
      <c r="BB262" s="3"/>
      <c r="BC262" s="3"/>
      <c r="BD262" s="3"/>
      <c r="BE262" s="3"/>
    </row>
    <row r="263" spans="1:57" x14ac:dyDescent="0.25">
      <c r="A263" s="2"/>
      <c r="D263" s="3"/>
      <c r="E263" s="4"/>
      <c r="F263" s="5"/>
      <c r="G263" s="5"/>
      <c r="J263" s="3"/>
      <c r="K263" s="3"/>
      <c r="L263" s="6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5"/>
      <c r="AA263" s="3"/>
      <c r="AB263" s="3"/>
      <c r="AC263" s="3"/>
      <c r="AD263" s="5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7"/>
      <c r="AX263" s="7"/>
      <c r="AY263" s="7"/>
      <c r="AZ263" s="7"/>
      <c r="BA263" s="8"/>
      <c r="BB263" s="3"/>
      <c r="BC263" s="3"/>
      <c r="BD263" s="3"/>
      <c r="BE263" s="3"/>
    </row>
    <row r="264" spans="1:57" x14ac:dyDescent="0.25">
      <c r="A264" s="2"/>
      <c r="D264" s="3"/>
      <c r="E264" s="4"/>
      <c r="F264" s="5"/>
      <c r="G264" s="5"/>
      <c r="J264" s="3"/>
      <c r="K264" s="3"/>
      <c r="L264" s="6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5"/>
      <c r="AA264" s="3"/>
      <c r="AB264" s="3"/>
      <c r="AC264" s="3"/>
      <c r="AD264" s="5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7"/>
      <c r="AX264" s="7"/>
      <c r="AY264" s="7"/>
      <c r="AZ264" s="7"/>
      <c r="BA264" s="8"/>
      <c r="BB264" s="3"/>
      <c r="BC264" s="3"/>
      <c r="BD264" s="3"/>
      <c r="BE264" s="3"/>
    </row>
    <row r="265" spans="1:57" x14ac:dyDescent="0.25">
      <c r="A265" s="2"/>
      <c r="D265" s="3"/>
      <c r="E265" s="4"/>
      <c r="F265" s="5"/>
      <c r="G265" s="5"/>
      <c r="J265" s="3"/>
      <c r="K265" s="3"/>
      <c r="L265" s="6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5"/>
      <c r="AA265" s="3"/>
      <c r="AB265" s="3"/>
      <c r="AC265" s="3"/>
      <c r="AD265" s="5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7"/>
      <c r="AX265" s="7"/>
      <c r="AY265" s="7"/>
      <c r="AZ265" s="7"/>
      <c r="BA265" s="8"/>
      <c r="BB265" s="3"/>
      <c r="BC265" s="3"/>
      <c r="BD265" s="3"/>
      <c r="BE265" s="3"/>
    </row>
    <row r="266" spans="1:57" x14ac:dyDescent="0.25">
      <c r="A266" s="2"/>
      <c r="D266" s="3"/>
      <c r="E266" s="4"/>
      <c r="F266" s="5"/>
      <c r="G266" s="5"/>
      <c r="J266" s="3"/>
      <c r="K266" s="3"/>
      <c r="L266" s="6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5"/>
      <c r="AA266" s="3"/>
      <c r="AB266" s="3"/>
      <c r="AC266" s="3"/>
      <c r="AD266" s="5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7"/>
      <c r="AX266" s="7"/>
      <c r="AY266" s="7"/>
      <c r="AZ266" s="7"/>
      <c r="BA266" s="8"/>
      <c r="BB266" s="3"/>
      <c r="BC266" s="3"/>
      <c r="BD266" s="3"/>
      <c r="BE266" s="3"/>
    </row>
    <row r="267" spans="1:57" x14ac:dyDescent="0.25">
      <c r="A267" s="2"/>
      <c r="D267" s="3"/>
      <c r="E267" s="4"/>
      <c r="F267" s="5"/>
      <c r="G267" s="5"/>
      <c r="J267" s="3"/>
      <c r="K267" s="3"/>
      <c r="L267" s="6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5"/>
      <c r="AA267" s="3"/>
      <c r="AB267" s="3"/>
      <c r="AC267" s="3"/>
      <c r="AD267" s="5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7"/>
      <c r="AX267" s="7"/>
      <c r="AY267" s="7"/>
      <c r="AZ267" s="7"/>
      <c r="BA267" s="8"/>
      <c r="BB267" s="3"/>
      <c r="BC267" s="3"/>
      <c r="BD267" s="3"/>
      <c r="BE267" s="3"/>
    </row>
    <row r="268" spans="1:57" x14ac:dyDescent="0.25">
      <c r="A268" s="2"/>
      <c r="D268" s="3"/>
      <c r="E268" s="4"/>
      <c r="F268" s="5"/>
      <c r="G268" s="5"/>
      <c r="J268" s="3"/>
      <c r="K268" s="3"/>
      <c r="L268" s="6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5"/>
      <c r="AA268" s="3"/>
      <c r="AB268" s="3"/>
      <c r="AC268" s="3"/>
      <c r="AD268" s="5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7"/>
      <c r="AX268" s="7"/>
      <c r="AY268" s="7"/>
      <c r="AZ268" s="7"/>
      <c r="BA268" s="8"/>
      <c r="BB268" s="3"/>
      <c r="BC268" s="3"/>
      <c r="BD268" s="3"/>
      <c r="BE268" s="3"/>
    </row>
    <row r="269" spans="1:57" x14ac:dyDescent="0.25">
      <c r="A269" s="2"/>
      <c r="D269" s="3"/>
      <c r="E269" s="4"/>
      <c r="F269" s="5"/>
      <c r="G269" s="5"/>
      <c r="J269" s="3"/>
      <c r="K269" s="3"/>
      <c r="L269" s="6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5"/>
      <c r="AA269" s="3"/>
      <c r="AB269" s="3"/>
      <c r="AC269" s="3"/>
      <c r="AD269" s="5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7"/>
      <c r="AX269" s="7"/>
      <c r="AY269" s="7"/>
      <c r="AZ269" s="7"/>
      <c r="BA269" s="8"/>
      <c r="BB269" s="3"/>
      <c r="BC269" s="3"/>
      <c r="BD269" s="3"/>
      <c r="BE269" s="3"/>
    </row>
    <row r="270" spans="1:57" x14ac:dyDescent="0.25">
      <c r="A270" s="2"/>
      <c r="D270" s="3"/>
      <c r="E270" s="4"/>
      <c r="F270" s="5"/>
      <c r="G270" s="5"/>
      <c r="J270" s="3"/>
      <c r="K270" s="3"/>
      <c r="L270" s="6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5"/>
      <c r="AA270" s="3"/>
      <c r="AB270" s="3"/>
      <c r="AC270" s="3"/>
      <c r="AD270" s="5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7"/>
      <c r="AX270" s="7"/>
      <c r="AY270" s="7"/>
      <c r="AZ270" s="7"/>
      <c r="BA270" s="8"/>
      <c r="BB270" s="3"/>
      <c r="BC270" s="3"/>
      <c r="BD270" s="3"/>
      <c r="BE270" s="3"/>
    </row>
    <row r="271" spans="1:57" x14ac:dyDescent="0.25">
      <c r="A271" s="2"/>
      <c r="D271" s="3"/>
      <c r="E271" s="4"/>
      <c r="F271" s="5"/>
      <c r="G271" s="5"/>
      <c r="J271" s="3"/>
      <c r="K271" s="3"/>
      <c r="L271" s="6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5"/>
      <c r="AA271" s="3"/>
      <c r="AB271" s="3"/>
      <c r="AC271" s="3"/>
      <c r="AD271" s="5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7"/>
      <c r="AX271" s="7"/>
      <c r="AY271" s="7"/>
      <c r="AZ271" s="7"/>
      <c r="BA271" s="8"/>
      <c r="BB271" s="3"/>
      <c r="BC271" s="3"/>
      <c r="BD271" s="3"/>
      <c r="BE271" s="3"/>
    </row>
    <row r="272" spans="1:57" x14ac:dyDescent="0.25">
      <c r="A272" s="2"/>
      <c r="D272" s="3"/>
      <c r="E272" s="4"/>
      <c r="F272" s="5"/>
      <c r="G272" s="5"/>
      <c r="J272" s="3"/>
      <c r="K272" s="3"/>
      <c r="L272" s="6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5"/>
      <c r="AA272" s="3"/>
      <c r="AB272" s="3"/>
      <c r="AC272" s="3"/>
      <c r="AD272" s="5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7"/>
      <c r="AX272" s="7"/>
      <c r="AY272" s="7"/>
      <c r="AZ272" s="7"/>
      <c r="BA272" s="8"/>
      <c r="BB272" s="3"/>
      <c r="BC272" s="3"/>
      <c r="BD272" s="3"/>
      <c r="BE272" s="3"/>
    </row>
    <row r="273" spans="1:57" x14ac:dyDescent="0.25">
      <c r="A273" s="2"/>
      <c r="D273" s="3"/>
      <c r="E273" s="4"/>
      <c r="F273" s="5"/>
      <c r="G273" s="5"/>
      <c r="J273" s="3"/>
      <c r="K273" s="3"/>
      <c r="L273" s="6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5"/>
      <c r="AA273" s="3"/>
      <c r="AB273" s="3"/>
      <c r="AC273" s="3"/>
      <c r="AD273" s="5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7"/>
      <c r="AX273" s="7"/>
      <c r="AY273" s="7"/>
      <c r="AZ273" s="7"/>
      <c r="BA273" s="8"/>
      <c r="BB273" s="3"/>
      <c r="BC273" s="3"/>
      <c r="BD273" s="3"/>
      <c r="BE273" s="3"/>
    </row>
    <row r="274" spans="1:57" x14ac:dyDescent="0.25">
      <c r="A274" s="2"/>
      <c r="D274" s="3"/>
      <c r="E274" s="4"/>
      <c r="F274" s="5"/>
      <c r="G274" s="5"/>
      <c r="J274" s="3"/>
      <c r="K274" s="3"/>
      <c r="L274" s="6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5"/>
      <c r="AA274" s="3"/>
      <c r="AB274" s="3"/>
      <c r="AC274" s="3"/>
      <c r="AD274" s="5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7"/>
      <c r="AX274" s="7"/>
      <c r="AY274" s="7"/>
      <c r="AZ274" s="7"/>
      <c r="BA274" s="8"/>
      <c r="BB274" s="3"/>
      <c r="BC274" s="3"/>
      <c r="BD274" s="3"/>
      <c r="BE274" s="3"/>
    </row>
    <row r="275" spans="1:57" x14ac:dyDescent="0.25">
      <c r="A275" s="2"/>
      <c r="D275" s="3"/>
      <c r="E275" s="4"/>
      <c r="F275" s="5"/>
      <c r="G275" s="5"/>
      <c r="J275" s="3"/>
      <c r="K275" s="3"/>
      <c r="L275" s="6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5"/>
      <c r="AA275" s="3"/>
      <c r="AB275" s="3"/>
      <c r="AC275" s="3"/>
      <c r="AD275" s="5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7"/>
      <c r="AX275" s="7"/>
      <c r="AY275" s="7"/>
      <c r="AZ275" s="7"/>
      <c r="BA275" s="8"/>
      <c r="BB275" s="3"/>
      <c r="BC275" s="3"/>
      <c r="BD275" s="3"/>
      <c r="BE275" s="3"/>
    </row>
    <row r="276" spans="1:57" x14ac:dyDescent="0.25">
      <c r="A276" s="2"/>
      <c r="D276" s="3"/>
      <c r="E276" s="4"/>
      <c r="F276" s="5"/>
      <c r="G276" s="5"/>
      <c r="J276" s="3"/>
      <c r="K276" s="3"/>
      <c r="L276" s="6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5"/>
      <c r="AA276" s="3"/>
      <c r="AB276" s="3"/>
      <c r="AC276" s="3"/>
      <c r="AD276" s="5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7"/>
      <c r="AX276" s="7"/>
      <c r="AY276" s="7"/>
      <c r="AZ276" s="7"/>
      <c r="BA276" s="8"/>
      <c r="BB276" s="3"/>
      <c r="BC276" s="3"/>
      <c r="BD276" s="3"/>
      <c r="BE276" s="3"/>
    </row>
    <row r="277" spans="1:57" x14ac:dyDescent="0.25">
      <c r="A277" s="2"/>
      <c r="D277" s="3"/>
      <c r="E277" s="4"/>
      <c r="F277" s="5"/>
      <c r="G277" s="5"/>
      <c r="J277" s="3"/>
      <c r="K277" s="3"/>
      <c r="L277" s="6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5"/>
      <c r="AA277" s="3"/>
      <c r="AB277" s="3"/>
      <c r="AC277" s="3"/>
      <c r="AD277" s="5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7"/>
      <c r="AX277" s="7"/>
      <c r="AY277" s="7"/>
      <c r="AZ277" s="7"/>
      <c r="BA277" s="8"/>
      <c r="BB277" s="3"/>
      <c r="BC277" s="3"/>
      <c r="BD277" s="3"/>
      <c r="BE277" s="3"/>
    </row>
    <row r="278" spans="1:57" x14ac:dyDescent="0.25">
      <c r="A278" s="2"/>
      <c r="D278" s="3"/>
      <c r="E278" s="4"/>
      <c r="F278" s="5"/>
      <c r="G278" s="5"/>
      <c r="J278" s="3"/>
      <c r="K278" s="3"/>
      <c r="L278" s="6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5"/>
      <c r="AA278" s="3"/>
      <c r="AB278" s="3"/>
      <c r="AC278" s="3"/>
      <c r="AD278" s="5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7"/>
      <c r="AX278" s="7"/>
      <c r="AY278" s="7"/>
      <c r="AZ278" s="7"/>
      <c r="BA278" s="8"/>
      <c r="BB278" s="3"/>
      <c r="BC278" s="3"/>
      <c r="BD278" s="3"/>
      <c r="BE278" s="3"/>
    </row>
    <row r="279" spans="1:57" x14ac:dyDescent="0.25">
      <c r="A279" s="2"/>
      <c r="D279" s="3"/>
      <c r="E279" s="4"/>
      <c r="F279" s="5"/>
      <c r="G279" s="5"/>
      <c r="J279" s="3"/>
      <c r="K279" s="3"/>
      <c r="L279" s="6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5"/>
      <c r="AA279" s="3"/>
      <c r="AB279" s="3"/>
      <c r="AC279" s="3"/>
      <c r="AD279" s="5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7"/>
      <c r="AX279" s="7"/>
      <c r="AY279" s="7"/>
      <c r="AZ279" s="7"/>
      <c r="BA279" s="8"/>
      <c r="BB279" s="3"/>
      <c r="BC279" s="3"/>
      <c r="BD279" s="3"/>
      <c r="BE279" s="3"/>
    </row>
    <row r="280" spans="1:57" x14ac:dyDescent="0.25">
      <c r="A280" s="2"/>
      <c r="D280" s="3"/>
      <c r="E280" s="4"/>
      <c r="F280" s="5"/>
      <c r="G280" s="5"/>
      <c r="J280" s="3"/>
      <c r="K280" s="3"/>
      <c r="L280" s="6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5"/>
      <c r="AA280" s="3"/>
      <c r="AB280" s="3"/>
      <c r="AC280" s="3"/>
      <c r="AD280" s="5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7"/>
      <c r="AX280" s="7"/>
      <c r="AY280" s="7"/>
      <c r="AZ280" s="7"/>
      <c r="BA280" s="8"/>
      <c r="BB280" s="3"/>
      <c r="BC280" s="3"/>
      <c r="BD280" s="3"/>
      <c r="BE280" s="3"/>
    </row>
    <row r="281" spans="1:57" x14ac:dyDescent="0.25">
      <c r="A281" s="2"/>
      <c r="D281" s="3"/>
      <c r="E281" s="4"/>
      <c r="F281" s="5"/>
      <c r="G281" s="5"/>
      <c r="J281" s="3"/>
      <c r="K281" s="3"/>
      <c r="L281" s="6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5"/>
      <c r="AA281" s="3"/>
      <c r="AB281" s="3"/>
      <c r="AC281" s="3"/>
      <c r="AD281" s="5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7"/>
      <c r="AX281" s="7"/>
      <c r="AY281" s="7"/>
      <c r="AZ281" s="7"/>
      <c r="BA281" s="8"/>
      <c r="BB281" s="3"/>
      <c r="BC281" s="3"/>
      <c r="BD281" s="3"/>
      <c r="BE281" s="3"/>
    </row>
    <row r="282" spans="1:57" x14ac:dyDescent="0.25">
      <c r="A282" s="2"/>
      <c r="D282" s="3"/>
      <c r="E282" s="4"/>
      <c r="F282" s="5"/>
      <c r="G282" s="5"/>
      <c r="J282" s="3"/>
      <c r="K282" s="3"/>
      <c r="L282" s="6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5"/>
      <c r="AA282" s="3"/>
      <c r="AB282" s="3"/>
      <c r="AC282" s="3"/>
      <c r="AD282" s="5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7"/>
      <c r="AX282" s="7"/>
      <c r="AY282" s="7"/>
      <c r="AZ282" s="7"/>
      <c r="BA282" s="8"/>
      <c r="BB282" s="3"/>
      <c r="BC282" s="3"/>
      <c r="BD282" s="3"/>
      <c r="BE282" s="3"/>
    </row>
    <row r="283" spans="1:57" x14ac:dyDescent="0.25">
      <c r="A283" s="2"/>
      <c r="D283" s="3"/>
      <c r="E283" s="4"/>
      <c r="F283" s="5"/>
      <c r="G283" s="5"/>
      <c r="J283" s="3"/>
      <c r="K283" s="3"/>
      <c r="L283" s="6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5"/>
      <c r="AA283" s="3"/>
      <c r="AB283" s="3"/>
      <c r="AC283" s="3"/>
      <c r="AD283" s="5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7"/>
      <c r="AX283" s="7"/>
      <c r="AY283" s="7"/>
      <c r="AZ283" s="7"/>
      <c r="BA283" s="8"/>
      <c r="BB283" s="3"/>
      <c r="BC283" s="3"/>
      <c r="BD283" s="3"/>
      <c r="BE283" s="3"/>
    </row>
    <row r="284" spans="1:57" x14ac:dyDescent="0.25">
      <c r="A284" s="2"/>
      <c r="D284" s="3"/>
      <c r="E284" s="4"/>
      <c r="F284" s="5"/>
      <c r="G284" s="5"/>
      <c r="J284" s="3"/>
      <c r="K284" s="3"/>
      <c r="L284" s="6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5"/>
      <c r="AA284" s="3"/>
      <c r="AB284" s="3"/>
      <c r="AC284" s="3"/>
      <c r="AD284" s="5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7"/>
      <c r="AX284" s="7"/>
      <c r="AY284" s="7"/>
      <c r="AZ284" s="7"/>
      <c r="BA284" s="8"/>
      <c r="BB284" s="3"/>
      <c r="BC284" s="3"/>
      <c r="BD284" s="3"/>
      <c r="BE284" s="3"/>
    </row>
    <row r="285" spans="1:57" x14ac:dyDescent="0.25">
      <c r="A285" s="2"/>
      <c r="D285" s="3"/>
      <c r="E285" s="4"/>
      <c r="F285" s="5"/>
      <c r="G285" s="5"/>
      <c r="J285" s="3"/>
      <c r="K285" s="3"/>
      <c r="L285" s="6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5"/>
      <c r="AA285" s="3"/>
      <c r="AB285" s="3"/>
      <c r="AC285" s="3"/>
      <c r="AD285" s="5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7"/>
      <c r="AX285" s="7"/>
      <c r="AY285" s="7"/>
      <c r="AZ285" s="7"/>
      <c r="BA285" s="8"/>
      <c r="BB285" s="3"/>
      <c r="BC285" s="3"/>
      <c r="BD285" s="3"/>
      <c r="BE285" s="3"/>
    </row>
    <row r="286" spans="1:57" x14ac:dyDescent="0.25">
      <c r="A286" s="2"/>
      <c r="D286" s="3"/>
      <c r="E286" s="4"/>
      <c r="F286" s="5"/>
      <c r="G286" s="5"/>
      <c r="J286" s="3"/>
      <c r="K286" s="3"/>
      <c r="L286" s="6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5"/>
      <c r="AA286" s="3"/>
      <c r="AB286" s="3"/>
      <c r="AC286" s="3"/>
      <c r="AD286" s="5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7"/>
      <c r="AX286" s="7"/>
      <c r="AY286" s="7"/>
      <c r="AZ286" s="7"/>
      <c r="BA286" s="8"/>
      <c r="BB286" s="3"/>
      <c r="BC286" s="3"/>
      <c r="BD286" s="3"/>
      <c r="BE286" s="3"/>
    </row>
    <row r="287" spans="1:57" x14ac:dyDescent="0.25">
      <c r="A287" s="2"/>
      <c r="D287" s="3"/>
      <c r="E287" s="4"/>
      <c r="F287" s="5"/>
      <c r="G287" s="5"/>
      <c r="J287" s="3"/>
      <c r="K287" s="3"/>
      <c r="L287" s="6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5"/>
      <c r="AA287" s="3"/>
      <c r="AB287" s="3"/>
      <c r="AC287" s="3"/>
      <c r="AD287" s="5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7"/>
      <c r="AX287" s="7"/>
      <c r="AY287" s="7"/>
      <c r="AZ287" s="7"/>
      <c r="BA287" s="8"/>
      <c r="BB287" s="3"/>
      <c r="BC287" s="3"/>
      <c r="BD287" s="3"/>
      <c r="BE287" s="3"/>
    </row>
    <row r="288" spans="1:57" x14ac:dyDescent="0.25">
      <c r="A288" s="2"/>
      <c r="D288" s="3"/>
      <c r="E288" s="4"/>
      <c r="F288" s="5"/>
      <c r="G288" s="5"/>
      <c r="J288" s="3"/>
      <c r="K288" s="3"/>
      <c r="L288" s="6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5"/>
      <c r="AA288" s="3"/>
      <c r="AB288" s="3"/>
      <c r="AC288" s="3"/>
      <c r="AD288" s="5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7"/>
      <c r="AX288" s="7"/>
      <c r="AY288" s="7"/>
      <c r="AZ288" s="7"/>
      <c r="BA288" s="8"/>
      <c r="BB288" s="3"/>
      <c r="BC288" s="3"/>
      <c r="BD288" s="3"/>
      <c r="BE288" s="3"/>
    </row>
    <row r="289" spans="1:57" x14ac:dyDescent="0.25">
      <c r="A289" s="2"/>
      <c r="D289" s="3"/>
      <c r="E289" s="4"/>
      <c r="F289" s="5"/>
      <c r="G289" s="5"/>
      <c r="J289" s="3"/>
      <c r="K289" s="3"/>
      <c r="L289" s="6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5"/>
      <c r="AA289" s="3"/>
      <c r="AB289" s="3"/>
      <c r="AC289" s="3"/>
      <c r="AD289" s="5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7"/>
      <c r="AX289" s="7"/>
      <c r="AY289" s="7"/>
      <c r="AZ289" s="7"/>
      <c r="BA289" s="8"/>
      <c r="BB289" s="3"/>
      <c r="BC289" s="3"/>
      <c r="BD289" s="3"/>
      <c r="BE289" s="3"/>
    </row>
    <row r="290" spans="1:57" x14ac:dyDescent="0.25">
      <c r="A290" s="2"/>
      <c r="D290" s="3"/>
      <c r="E290" s="4"/>
      <c r="F290" s="5"/>
      <c r="G290" s="5"/>
      <c r="J290" s="3"/>
      <c r="K290" s="3"/>
      <c r="L290" s="6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5"/>
      <c r="AA290" s="3"/>
      <c r="AB290" s="3"/>
      <c r="AC290" s="3"/>
      <c r="AD290" s="5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7"/>
      <c r="AX290" s="7"/>
      <c r="AY290" s="7"/>
      <c r="AZ290" s="7"/>
      <c r="BA290" s="8"/>
      <c r="BB290" s="3"/>
      <c r="BC290" s="3"/>
      <c r="BD290" s="3"/>
      <c r="BE290" s="3"/>
    </row>
    <row r="291" spans="1:57" x14ac:dyDescent="0.25">
      <c r="A291" s="2"/>
      <c r="D291" s="3"/>
      <c r="E291" s="4"/>
      <c r="F291" s="5"/>
      <c r="G291" s="5"/>
      <c r="J291" s="3"/>
      <c r="K291" s="3"/>
      <c r="L291" s="6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5"/>
      <c r="AA291" s="3"/>
      <c r="AB291" s="3"/>
      <c r="AC291" s="3"/>
      <c r="AD291" s="5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7"/>
      <c r="AX291" s="7"/>
      <c r="AY291" s="7"/>
      <c r="AZ291" s="7"/>
      <c r="BA291" s="8"/>
      <c r="BB291" s="3"/>
      <c r="BC291" s="3"/>
      <c r="BD291" s="3"/>
      <c r="BE291" s="3"/>
    </row>
    <row r="292" spans="1:57" x14ac:dyDescent="0.25">
      <c r="A292" s="2"/>
      <c r="D292" s="3"/>
      <c r="E292" s="4"/>
      <c r="F292" s="5"/>
      <c r="G292" s="5"/>
      <c r="J292" s="3"/>
      <c r="K292" s="3"/>
      <c r="L292" s="6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5"/>
      <c r="AA292" s="3"/>
      <c r="AB292" s="3"/>
      <c r="AC292" s="3"/>
      <c r="AD292" s="5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7"/>
      <c r="AX292" s="7"/>
      <c r="AY292" s="7"/>
      <c r="AZ292" s="7"/>
      <c r="BA292" s="8"/>
      <c r="BB292" s="3"/>
      <c r="BC292" s="3"/>
      <c r="BD292" s="3"/>
      <c r="BE292" s="3"/>
    </row>
    <row r="293" spans="1:57" x14ac:dyDescent="0.25">
      <c r="A293" s="2"/>
      <c r="D293" s="3"/>
      <c r="E293" s="4"/>
      <c r="F293" s="5"/>
      <c r="G293" s="5"/>
      <c r="J293" s="3"/>
      <c r="K293" s="3"/>
      <c r="L293" s="6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5"/>
      <c r="AA293" s="3"/>
      <c r="AB293" s="3"/>
      <c r="AC293" s="3"/>
      <c r="AD293" s="5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7"/>
      <c r="AX293" s="7"/>
      <c r="AY293" s="7"/>
      <c r="AZ293" s="7"/>
      <c r="BA293" s="8"/>
      <c r="BB293" s="3"/>
      <c r="BC293" s="3"/>
      <c r="BD293" s="3"/>
      <c r="BE293" s="3"/>
    </row>
    <row r="294" spans="1:57" x14ac:dyDescent="0.25">
      <c r="A294" s="2"/>
      <c r="D294" s="3"/>
      <c r="E294" s="4"/>
      <c r="F294" s="5"/>
      <c r="G294" s="5"/>
      <c r="J294" s="3"/>
      <c r="K294" s="3"/>
      <c r="L294" s="6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5"/>
      <c r="AA294" s="3"/>
      <c r="AB294" s="3"/>
      <c r="AC294" s="3"/>
      <c r="AD294" s="5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7"/>
      <c r="AX294" s="7"/>
      <c r="AY294" s="7"/>
      <c r="AZ294" s="7"/>
      <c r="BA294" s="8"/>
      <c r="BB294" s="3"/>
      <c r="BC294" s="3"/>
      <c r="BD294" s="3"/>
      <c r="BE294" s="3"/>
    </row>
    <row r="295" spans="1:57" x14ac:dyDescent="0.25">
      <c r="A295" s="2"/>
      <c r="D295" s="3"/>
      <c r="E295" s="4"/>
      <c r="F295" s="5"/>
      <c r="G295" s="5"/>
      <c r="J295" s="3"/>
      <c r="K295" s="3"/>
      <c r="L295" s="6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5"/>
      <c r="AA295" s="3"/>
      <c r="AB295" s="3"/>
      <c r="AC295" s="3"/>
      <c r="AD295" s="5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7"/>
      <c r="AX295" s="7"/>
      <c r="AY295" s="7"/>
      <c r="AZ295" s="7"/>
      <c r="BA295" s="8"/>
      <c r="BB295" s="3"/>
      <c r="BC295" s="3"/>
      <c r="BD295" s="3"/>
      <c r="BE295" s="3"/>
    </row>
    <row r="296" spans="1:57" x14ac:dyDescent="0.25">
      <c r="A296" s="2"/>
      <c r="D296" s="3"/>
      <c r="E296" s="4"/>
      <c r="F296" s="5"/>
      <c r="G296" s="5"/>
      <c r="J296" s="3"/>
      <c r="K296" s="3"/>
      <c r="L296" s="6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5"/>
      <c r="AA296" s="3"/>
      <c r="AB296" s="3"/>
      <c r="AC296" s="3"/>
      <c r="AD296" s="5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7"/>
      <c r="AX296" s="7"/>
      <c r="AY296" s="7"/>
      <c r="AZ296" s="7"/>
      <c r="BA296" s="8"/>
      <c r="BB296" s="3"/>
      <c r="BC296" s="3"/>
      <c r="BD296" s="3"/>
      <c r="BE296" s="3"/>
    </row>
    <row r="297" spans="1:57" x14ac:dyDescent="0.25">
      <c r="A297" s="2"/>
      <c r="D297" s="3"/>
      <c r="E297" s="4"/>
      <c r="F297" s="5"/>
      <c r="G297" s="5"/>
      <c r="J297" s="3"/>
      <c r="K297" s="3"/>
      <c r="L297" s="6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5"/>
      <c r="AA297" s="3"/>
      <c r="AB297" s="3"/>
      <c r="AC297" s="3"/>
      <c r="AD297" s="5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7"/>
      <c r="AX297" s="7"/>
      <c r="AY297" s="7"/>
      <c r="AZ297" s="7"/>
      <c r="BA297" s="8"/>
      <c r="BB297" s="3"/>
      <c r="BC297" s="3"/>
      <c r="BD297" s="3"/>
      <c r="BE297" s="3"/>
    </row>
    <row r="298" spans="1:57" x14ac:dyDescent="0.25">
      <c r="A298" s="2"/>
      <c r="D298" s="3"/>
      <c r="E298" s="4"/>
      <c r="F298" s="5"/>
      <c r="G298" s="5"/>
      <c r="J298" s="3"/>
      <c r="K298" s="3"/>
      <c r="L298" s="6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5"/>
      <c r="AA298" s="3"/>
      <c r="AB298" s="3"/>
      <c r="AC298" s="3"/>
      <c r="AD298" s="5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7"/>
      <c r="AX298" s="7"/>
      <c r="AY298" s="7"/>
      <c r="AZ298" s="7"/>
      <c r="BA298" s="8"/>
      <c r="BB298" s="3"/>
      <c r="BC298" s="3"/>
      <c r="BD298" s="3"/>
      <c r="BE298" s="3"/>
    </row>
    <row r="299" spans="1:57" x14ac:dyDescent="0.25">
      <c r="A299" s="2"/>
      <c r="D299" s="3"/>
      <c r="E299" s="4"/>
      <c r="F299" s="5"/>
      <c r="G299" s="5"/>
      <c r="J299" s="3"/>
      <c r="K299" s="3"/>
      <c r="L299" s="6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5"/>
      <c r="AA299" s="3"/>
      <c r="AB299" s="3"/>
      <c r="AC299" s="3"/>
      <c r="AD299" s="5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7"/>
      <c r="AX299" s="7"/>
      <c r="AY299" s="7"/>
      <c r="AZ299" s="7"/>
      <c r="BA299" s="8"/>
      <c r="BB299" s="3"/>
      <c r="BC299" s="3"/>
      <c r="BD299" s="3"/>
      <c r="BE299" s="3"/>
    </row>
    <row r="300" spans="1:57" x14ac:dyDescent="0.25">
      <c r="A300" s="2"/>
      <c r="D300" s="3"/>
      <c r="E300" s="4"/>
      <c r="F300" s="5"/>
      <c r="G300" s="5"/>
      <c r="J300" s="3"/>
      <c r="K300" s="3"/>
      <c r="L300" s="6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5"/>
      <c r="AA300" s="3"/>
      <c r="AB300" s="3"/>
      <c r="AC300" s="3"/>
      <c r="AD300" s="5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7"/>
      <c r="AX300" s="7"/>
      <c r="AY300" s="7"/>
      <c r="AZ300" s="7"/>
      <c r="BA300" s="8"/>
      <c r="BB300" s="3"/>
      <c r="BC300" s="3"/>
      <c r="BD300" s="3"/>
      <c r="BE300" s="3"/>
    </row>
    <row r="301" spans="1:57" x14ac:dyDescent="0.25">
      <c r="A301" s="2"/>
      <c r="D301" s="3"/>
      <c r="E301" s="4"/>
      <c r="F301" s="5"/>
      <c r="G301" s="5"/>
      <c r="J301" s="3"/>
      <c r="K301" s="3"/>
      <c r="L301" s="6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5"/>
      <c r="AA301" s="3"/>
      <c r="AB301" s="3"/>
      <c r="AC301" s="3"/>
      <c r="AD301" s="5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7"/>
      <c r="AX301" s="7"/>
      <c r="AY301" s="7"/>
      <c r="AZ301" s="7"/>
      <c r="BA301" s="8"/>
      <c r="BB301" s="3"/>
      <c r="BC301" s="3"/>
      <c r="BD301" s="3"/>
      <c r="BE301" s="3"/>
    </row>
    <row r="302" spans="1:57" x14ac:dyDescent="0.25">
      <c r="A302" s="2"/>
      <c r="D302" s="3"/>
      <c r="E302" s="4"/>
      <c r="F302" s="5"/>
      <c r="G302" s="5"/>
      <c r="J302" s="3"/>
      <c r="K302" s="3"/>
      <c r="L302" s="6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5"/>
      <c r="AA302" s="3"/>
      <c r="AB302" s="3"/>
      <c r="AC302" s="3"/>
      <c r="AD302" s="5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7"/>
      <c r="AX302" s="7"/>
      <c r="AY302" s="7"/>
      <c r="AZ302" s="7"/>
      <c r="BA302" s="8"/>
      <c r="BB302" s="3"/>
      <c r="BC302" s="3"/>
      <c r="BD302" s="3"/>
      <c r="BE302" s="3"/>
    </row>
    <row r="303" spans="1:57" x14ac:dyDescent="0.25">
      <c r="A303" s="2"/>
      <c r="D303" s="3"/>
      <c r="E303" s="4"/>
      <c r="F303" s="5"/>
      <c r="G303" s="5"/>
      <c r="J303" s="3"/>
      <c r="K303" s="3"/>
      <c r="L303" s="6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5"/>
      <c r="AA303" s="3"/>
      <c r="AB303" s="3"/>
      <c r="AC303" s="3"/>
      <c r="AD303" s="5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7"/>
      <c r="AX303" s="7"/>
      <c r="AY303" s="7"/>
      <c r="AZ303" s="7"/>
      <c r="BA303" s="8"/>
      <c r="BB303" s="3"/>
      <c r="BC303" s="3"/>
      <c r="BD303" s="3"/>
      <c r="BE303" s="3"/>
    </row>
    <row r="304" spans="1:57" x14ac:dyDescent="0.25">
      <c r="A304" s="2"/>
      <c r="D304" s="3"/>
      <c r="E304" s="4"/>
      <c r="F304" s="5"/>
      <c r="G304" s="5"/>
      <c r="J304" s="3"/>
      <c r="K304" s="3"/>
      <c r="L304" s="6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5"/>
      <c r="AA304" s="3"/>
      <c r="AB304" s="3"/>
      <c r="AC304" s="3"/>
      <c r="AD304" s="5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7"/>
      <c r="AX304" s="7"/>
      <c r="AY304" s="7"/>
      <c r="AZ304" s="7"/>
      <c r="BA304" s="8"/>
      <c r="BB304" s="3"/>
      <c r="BC304" s="3"/>
      <c r="BD304" s="3"/>
      <c r="BE304" s="3"/>
    </row>
    <row r="305" spans="1:57" x14ac:dyDescent="0.25">
      <c r="A305" s="2"/>
      <c r="D305" s="3"/>
      <c r="E305" s="4"/>
      <c r="F305" s="5"/>
      <c r="G305" s="5"/>
      <c r="J305" s="3"/>
      <c r="K305" s="3"/>
      <c r="L305" s="6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5"/>
      <c r="AA305" s="3"/>
      <c r="AB305" s="3"/>
      <c r="AC305" s="3"/>
      <c r="AD305" s="5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7"/>
      <c r="AX305" s="7"/>
      <c r="AY305" s="7"/>
      <c r="AZ305" s="7"/>
      <c r="BA305" s="8"/>
      <c r="BB305" s="3"/>
      <c r="BC305" s="3"/>
      <c r="BD305" s="3"/>
      <c r="BE305" s="3"/>
    </row>
    <row r="306" spans="1:57" x14ac:dyDescent="0.25">
      <c r="A306" s="2"/>
      <c r="D306" s="3"/>
      <c r="E306" s="4"/>
      <c r="F306" s="5"/>
      <c r="G306" s="5"/>
      <c r="J306" s="3"/>
      <c r="K306" s="3"/>
      <c r="L306" s="6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5"/>
      <c r="AA306" s="3"/>
      <c r="AB306" s="3"/>
      <c r="AC306" s="3"/>
      <c r="AD306" s="5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7"/>
      <c r="AX306" s="7"/>
      <c r="AY306" s="7"/>
      <c r="AZ306" s="7"/>
      <c r="BA306" s="8"/>
      <c r="BB306" s="3"/>
      <c r="BC306" s="3"/>
      <c r="BD306" s="3"/>
      <c r="BE306" s="3"/>
    </row>
    <row r="307" spans="1:57" x14ac:dyDescent="0.25">
      <c r="A307" s="2"/>
      <c r="D307" s="3"/>
      <c r="E307" s="4"/>
      <c r="F307" s="5"/>
      <c r="G307" s="5"/>
      <c r="J307" s="3"/>
      <c r="K307" s="3"/>
      <c r="L307" s="6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5"/>
      <c r="AA307" s="3"/>
      <c r="AB307" s="3"/>
      <c r="AC307" s="3"/>
      <c r="AD307" s="5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7"/>
      <c r="AX307" s="7"/>
      <c r="AY307" s="7"/>
      <c r="AZ307" s="7"/>
      <c r="BA307" s="8"/>
      <c r="BB307" s="3"/>
      <c r="BC307" s="3"/>
      <c r="BD307" s="3"/>
      <c r="BE307" s="3"/>
    </row>
    <row r="308" spans="1:57" x14ac:dyDescent="0.25">
      <c r="A308" s="2"/>
      <c r="D308" s="3"/>
      <c r="E308" s="4"/>
      <c r="F308" s="5"/>
      <c r="G308" s="5"/>
      <c r="J308" s="3"/>
      <c r="K308" s="3"/>
      <c r="L308" s="6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5"/>
      <c r="AA308" s="3"/>
      <c r="AB308" s="3"/>
      <c r="AC308" s="3"/>
      <c r="AD308" s="5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7"/>
      <c r="AX308" s="7"/>
      <c r="AY308" s="7"/>
      <c r="AZ308" s="7"/>
      <c r="BA308" s="8"/>
      <c r="BB308" s="3"/>
      <c r="BC308" s="3"/>
      <c r="BD308" s="3"/>
      <c r="BE308" s="3"/>
    </row>
    <row r="309" spans="1:57" x14ac:dyDescent="0.25">
      <c r="A309" s="2"/>
      <c r="D309" s="3"/>
      <c r="E309" s="4"/>
      <c r="F309" s="5"/>
      <c r="G309" s="5"/>
      <c r="J309" s="3"/>
      <c r="K309" s="3"/>
      <c r="L309" s="6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5"/>
      <c r="AA309" s="3"/>
      <c r="AB309" s="3"/>
      <c r="AC309" s="3"/>
      <c r="AD309" s="5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7"/>
      <c r="AX309" s="7"/>
      <c r="AY309" s="7"/>
      <c r="AZ309" s="7"/>
      <c r="BA309" s="8"/>
      <c r="BB309" s="3"/>
      <c r="BC309" s="3"/>
      <c r="BD309" s="3"/>
      <c r="BE309" s="3"/>
    </row>
    <row r="310" spans="1:57" x14ac:dyDescent="0.25">
      <c r="A310" s="2"/>
      <c r="D310" s="3"/>
      <c r="E310" s="4"/>
      <c r="F310" s="5"/>
      <c r="G310" s="5"/>
      <c r="J310" s="3"/>
      <c r="K310" s="3"/>
      <c r="L310" s="6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5"/>
      <c r="AA310" s="3"/>
      <c r="AB310" s="3"/>
      <c r="AC310" s="3"/>
      <c r="AD310" s="5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7"/>
      <c r="AX310" s="7"/>
      <c r="AY310" s="7"/>
      <c r="AZ310" s="7"/>
      <c r="BA310" s="8"/>
      <c r="BB310" s="3"/>
      <c r="BC310" s="3"/>
      <c r="BD310" s="3"/>
      <c r="BE310" s="3"/>
    </row>
    <row r="311" spans="1:57" x14ac:dyDescent="0.25">
      <c r="A311" s="2"/>
      <c r="D311" s="3"/>
      <c r="E311" s="4"/>
      <c r="F311" s="5"/>
      <c r="G311" s="5"/>
      <c r="J311" s="3"/>
      <c r="K311" s="3"/>
      <c r="L311" s="6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5"/>
      <c r="AA311" s="3"/>
      <c r="AB311" s="3"/>
      <c r="AC311" s="3"/>
      <c r="AD311" s="5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7"/>
      <c r="AX311" s="7"/>
      <c r="AY311" s="7"/>
      <c r="AZ311" s="7"/>
      <c r="BA311" s="8"/>
      <c r="BB311" s="3"/>
      <c r="BC311" s="3"/>
      <c r="BD311" s="3"/>
      <c r="BE311" s="3"/>
    </row>
    <row r="312" spans="1:57" x14ac:dyDescent="0.25">
      <c r="A312" s="2"/>
      <c r="D312" s="3"/>
      <c r="E312" s="4"/>
      <c r="F312" s="5"/>
      <c r="G312" s="5"/>
      <c r="J312" s="3"/>
      <c r="K312" s="3"/>
      <c r="L312" s="6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5"/>
      <c r="AA312" s="3"/>
      <c r="AB312" s="3"/>
      <c r="AC312" s="3"/>
      <c r="AD312" s="5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7"/>
      <c r="AX312" s="7"/>
      <c r="AY312" s="7"/>
      <c r="AZ312" s="7"/>
      <c r="BA312" s="8"/>
      <c r="BB312" s="3"/>
      <c r="BC312" s="3"/>
      <c r="BD312" s="3"/>
      <c r="BE312" s="3"/>
    </row>
    <row r="313" spans="1:57" x14ac:dyDescent="0.25">
      <c r="A313" s="2"/>
      <c r="D313" s="3"/>
      <c r="E313" s="4"/>
      <c r="F313" s="5"/>
      <c r="G313" s="5"/>
      <c r="J313" s="3"/>
      <c r="K313" s="3"/>
      <c r="L313" s="6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5"/>
      <c r="AA313" s="3"/>
      <c r="AB313" s="3"/>
      <c r="AC313" s="3"/>
      <c r="AD313" s="5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7"/>
      <c r="AX313" s="7"/>
      <c r="AY313" s="7"/>
      <c r="AZ313" s="7"/>
      <c r="BA313" s="8"/>
      <c r="BB313" s="3"/>
      <c r="BC313" s="3"/>
      <c r="BD313" s="3"/>
      <c r="BE313" s="3"/>
    </row>
    <row r="314" spans="1:57" x14ac:dyDescent="0.25">
      <c r="A314" s="2"/>
      <c r="D314" s="3"/>
      <c r="E314" s="4"/>
      <c r="F314" s="5"/>
      <c r="G314" s="5"/>
      <c r="J314" s="3"/>
      <c r="K314" s="3"/>
      <c r="L314" s="6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5"/>
      <c r="AA314" s="3"/>
      <c r="AB314" s="3"/>
      <c r="AC314" s="3"/>
      <c r="AD314" s="5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7"/>
      <c r="AX314" s="7"/>
      <c r="AY314" s="7"/>
      <c r="AZ314" s="7"/>
      <c r="BA314" s="8"/>
      <c r="BB314" s="3"/>
      <c r="BC314" s="3"/>
      <c r="BD314" s="3"/>
      <c r="BE314" s="3"/>
    </row>
    <row r="315" spans="1:57" x14ac:dyDescent="0.25">
      <c r="A315" s="2"/>
      <c r="D315" s="3"/>
      <c r="E315" s="4"/>
      <c r="F315" s="5"/>
      <c r="G315" s="5"/>
      <c r="J315" s="3"/>
      <c r="K315" s="3"/>
      <c r="L315" s="6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5"/>
      <c r="AA315" s="3"/>
      <c r="AB315" s="3"/>
      <c r="AC315" s="3"/>
      <c r="AD315" s="5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7"/>
      <c r="AX315" s="7"/>
      <c r="AY315" s="7"/>
      <c r="AZ315" s="7"/>
      <c r="BA315" s="8"/>
      <c r="BB315" s="3"/>
      <c r="BC315" s="3"/>
      <c r="BD315" s="3"/>
      <c r="BE315" s="3"/>
    </row>
    <row r="316" spans="1:57" x14ac:dyDescent="0.25">
      <c r="A316" s="2"/>
      <c r="D316" s="3"/>
      <c r="E316" s="4"/>
      <c r="F316" s="5"/>
      <c r="G316" s="5"/>
      <c r="J316" s="3"/>
      <c r="K316" s="3"/>
      <c r="L316" s="6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5"/>
      <c r="AA316" s="3"/>
      <c r="AB316" s="3"/>
      <c r="AC316" s="3"/>
      <c r="AD316" s="5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7"/>
      <c r="AX316" s="7"/>
      <c r="AY316" s="7"/>
      <c r="AZ316" s="7"/>
      <c r="BA316" s="8"/>
      <c r="BB316" s="3"/>
      <c r="BC316" s="3"/>
      <c r="BD316" s="3"/>
      <c r="BE316" s="3"/>
    </row>
    <row r="317" spans="1:57" x14ac:dyDescent="0.25">
      <c r="A317" s="2"/>
      <c r="D317" s="3"/>
      <c r="E317" s="4"/>
      <c r="F317" s="5"/>
      <c r="G317" s="5"/>
      <c r="J317" s="3"/>
      <c r="K317" s="3"/>
      <c r="L317" s="6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5"/>
      <c r="AA317" s="3"/>
      <c r="AB317" s="3"/>
      <c r="AC317" s="3"/>
      <c r="AD317" s="5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7"/>
      <c r="AX317" s="7"/>
      <c r="AY317" s="7"/>
      <c r="AZ317" s="7"/>
      <c r="BA317" s="8"/>
      <c r="BB317" s="3"/>
      <c r="BC317" s="3"/>
      <c r="BD317" s="3"/>
      <c r="BE317" s="3"/>
    </row>
    <row r="318" spans="1:57" x14ac:dyDescent="0.25">
      <c r="A318" s="2"/>
      <c r="D318" s="3"/>
      <c r="E318" s="4"/>
      <c r="F318" s="5"/>
      <c r="G318" s="5"/>
      <c r="J318" s="3"/>
      <c r="K318" s="3"/>
      <c r="L318" s="6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5"/>
      <c r="AA318" s="3"/>
      <c r="AB318" s="3"/>
      <c r="AC318" s="3"/>
      <c r="AD318" s="5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7"/>
      <c r="AX318" s="7"/>
      <c r="AY318" s="7"/>
      <c r="AZ318" s="7"/>
      <c r="BA318" s="8"/>
      <c r="BB318" s="3"/>
      <c r="BC318" s="3"/>
      <c r="BD318" s="3"/>
      <c r="BE318" s="3"/>
    </row>
    <row r="319" spans="1:57" x14ac:dyDescent="0.25">
      <c r="A319" s="2"/>
      <c r="D319" s="3"/>
      <c r="E319" s="4"/>
      <c r="F319" s="5"/>
      <c r="G319" s="5"/>
      <c r="J319" s="3"/>
      <c r="K319" s="3"/>
      <c r="L319" s="6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5"/>
      <c r="AA319" s="3"/>
      <c r="AB319" s="3"/>
      <c r="AC319" s="3"/>
      <c r="AD319" s="5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7"/>
      <c r="AX319" s="7"/>
      <c r="AY319" s="7"/>
      <c r="AZ319" s="7"/>
      <c r="BA319" s="8"/>
      <c r="BB319" s="3"/>
      <c r="BC319" s="3"/>
      <c r="BD319" s="3"/>
      <c r="BE319" s="3"/>
    </row>
    <row r="320" spans="1:57" x14ac:dyDescent="0.25">
      <c r="A320" s="2"/>
      <c r="D320" s="3"/>
      <c r="E320" s="4"/>
      <c r="F320" s="5"/>
      <c r="G320" s="5"/>
      <c r="J320" s="3"/>
      <c r="K320" s="3"/>
      <c r="L320" s="6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5"/>
      <c r="AA320" s="3"/>
      <c r="AB320" s="3"/>
      <c r="AC320" s="3"/>
      <c r="AD320" s="5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7"/>
      <c r="AX320" s="7"/>
      <c r="AY320" s="7"/>
      <c r="AZ320" s="7"/>
      <c r="BA320" s="8"/>
      <c r="BB320" s="3"/>
      <c r="BC320" s="3"/>
      <c r="BD320" s="3"/>
      <c r="BE320" s="3"/>
    </row>
    <row r="321" spans="1:57" x14ac:dyDescent="0.25">
      <c r="A321" s="2"/>
      <c r="D321" s="3"/>
      <c r="E321" s="4"/>
      <c r="F321" s="5"/>
      <c r="G321" s="5"/>
      <c r="J321" s="3"/>
      <c r="K321" s="3"/>
      <c r="L321" s="6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5"/>
      <c r="AA321" s="3"/>
      <c r="AB321" s="3"/>
      <c r="AC321" s="3"/>
      <c r="AD321" s="5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7"/>
      <c r="AX321" s="7"/>
      <c r="AY321" s="7"/>
      <c r="AZ321" s="7"/>
      <c r="BA321" s="8"/>
      <c r="BB321" s="3"/>
      <c r="BC321" s="3"/>
      <c r="BD321" s="3"/>
      <c r="BE321" s="3"/>
    </row>
    <row r="322" spans="1:57" x14ac:dyDescent="0.25">
      <c r="A322" s="2"/>
      <c r="D322" s="3"/>
      <c r="E322" s="4"/>
      <c r="F322" s="5"/>
      <c r="G322" s="5"/>
      <c r="J322" s="3"/>
      <c r="K322" s="3"/>
      <c r="L322" s="6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5"/>
      <c r="AA322" s="3"/>
      <c r="AB322" s="3"/>
      <c r="AC322" s="3"/>
      <c r="AD322" s="5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7"/>
      <c r="AX322" s="7"/>
      <c r="AY322" s="7"/>
      <c r="AZ322" s="7"/>
      <c r="BA322" s="8"/>
      <c r="BB322" s="3"/>
      <c r="BC322" s="3"/>
      <c r="BD322" s="3"/>
      <c r="BE322" s="3"/>
    </row>
    <row r="323" spans="1:57" x14ac:dyDescent="0.25">
      <c r="A323" s="2"/>
      <c r="D323" s="3"/>
      <c r="E323" s="4"/>
      <c r="F323" s="5"/>
      <c r="G323" s="5"/>
      <c r="J323" s="3"/>
      <c r="K323" s="3"/>
      <c r="L323" s="6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5"/>
      <c r="AA323" s="3"/>
      <c r="AB323" s="3"/>
      <c r="AC323" s="3"/>
      <c r="AD323" s="5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7"/>
      <c r="AX323" s="7"/>
      <c r="AY323" s="7"/>
      <c r="AZ323" s="7"/>
      <c r="BA323" s="8"/>
      <c r="BB323" s="3"/>
      <c r="BC323" s="3"/>
      <c r="BD323" s="3"/>
      <c r="BE323" s="3"/>
    </row>
    <row r="324" spans="1:57" x14ac:dyDescent="0.25">
      <c r="A324" s="2"/>
      <c r="D324" s="3"/>
      <c r="E324" s="4"/>
      <c r="F324" s="5"/>
      <c r="G324" s="5"/>
      <c r="J324" s="3"/>
      <c r="K324" s="3"/>
      <c r="L324" s="6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5"/>
      <c r="AA324" s="3"/>
      <c r="AB324" s="3"/>
      <c r="AC324" s="3"/>
      <c r="AD324" s="5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7"/>
      <c r="AX324" s="7"/>
      <c r="AY324" s="7"/>
      <c r="AZ324" s="7"/>
      <c r="BA324" s="8"/>
      <c r="BB324" s="3"/>
      <c r="BC324" s="3"/>
      <c r="BD324" s="3"/>
      <c r="BE324" s="3"/>
    </row>
    <row r="325" spans="1:57" x14ac:dyDescent="0.25">
      <c r="A325" s="2"/>
      <c r="D325" s="3"/>
      <c r="E325" s="4"/>
      <c r="F325" s="5"/>
      <c r="G325" s="5"/>
      <c r="J325" s="3"/>
      <c r="K325" s="3"/>
      <c r="L325" s="6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5"/>
      <c r="AA325" s="3"/>
      <c r="AB325" s="3"/>
      <c r="AC325" s="3"/>
      <c r="AD325" s="5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7"/>
      <c r="AX325" s="7"/>
      <c r="AY325" s="7"/>
      <c r="AZ325" s="7"/>
      <c r="BA325" s="8"/>
      <c r="BB325" s="3"/>
      <c r="BC325" s="3"/>
      <c r="BD325" s="3"/>
      <c r="BE325" s="3"/>
    </row>
    <row r="326" spans="1:57" x14ac:dyDescent="0.25">
      <c r="A326" s="2"/>
      <c r="D326" s="3"/>
      <c r="E326" s="4"/>
      <c r="F326" s="5"/>
      <c r="G326" s="5"/>
      <c r="J326" s="3"/>
      <c r="K326" s="3"/>
      <c r="L326" s="6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5"/>
      <c r="AA326" s="3"/>
      <c r="AB326" s="3"/>
      <c r="AC326" s="3"/>
      <c r="AD326" s="5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7"/>
      <c r="AX326" s="7"/>
      <c r="AY326" s="7"/>
      <c r="AZ326" s="7"/>
      <c r="BA326" s="8"/>
      <c r="BB326" s="3"/>
      <c r="BC326" s="3"/>
      <c r="BD326" s="3"/>
      <c r="BE326" s="3"/>
    </row>
    <row r="327" spans="1:57" x14ac:dyDescent="0.25">
      <c r="A327" s="2"/>
      <c r="D327" s="3"/>
      <c r="E327" s="4"/>
      <c r="F327" s="5"/>
      <c r="G327" s="5"/>
      <c r="J327" s="3"/>
      <c r="K327" s="3"/>
      <c r="L327" s="6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5"/>
      <c r="AA327" s="3"/>
      <c r="AB327" s="3"/>
      <c r="AC327" s="3"/>
      <c r="AD327" s="5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7"/>
      <c r="AX327" s="7"/>
      <c r="AY327" s="7"/>
      <c r="AZ327" s="7"/>
      <c r="BA327" s="8"/>
      <c r="BB327" s="3"/>
      <c r="BC327" s="3"/>
      <c r="BD327" s="3"/>
      <c r="BE327" s="3"/>
    </row>
    <row r="328" spans="1:57" x14ac:dyDescent="0.25">
      <c r="A328" s="2"/>
      <c r="D328" s="3"/>
      <c r="E328" s="4"/>
      <c r="F328" s="5"/>
      <c r="G328" s="5"/>
      <c r="J328" s="3"/>
      <c r="K328" s="3"/>
      <c r="L328" s="6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5"/>
      <c r="AA328" s="3"/>
      <c r="AB328" s="3"/>
      <c r="AC328" s="3"/>
      <c r="AD328" s="5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7"/>
      <c r="AX328" s="7"/>
      <c r="AY328" s="7"/>
      <c r="AZ328" s="7"/>
      <c r="BA328" s="8"/>
      <c r="BB328" s="3"/>
      <c r="BC328" s="3"/>
      <c r="BD328" s="3"/>
      <c r="BE328" s="3"/>
    </row>
    <row r="329" spans="1:57" x14ac:dyDescent="0.25">
      <c r="A329" s="2"/>
      <c r="D329" s="3"/>
      <c r="E329" s="4"/>
      <c r="F329" s="5"/>
      <c r="G329" s="5"/>
      <c r="J329" s="3"/>
      <c r="K329" s="3"/>
      <c r="L329" s="6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5"/>
      <c r="AA329" s="3"/>
      <c r="AB329" s="3"/>
      <c r="AC329" s="3"/>
      <c r="AD329" s="5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7"/>
      <c r="AX329" s="7"/>
      <c r="AY329" s="7"/>
      <c r="AZ329" s="7"/>
      <c r="BA329" s="8"/>
      <c r="BB329" s="3"/>
      <c r="BC329" s="3"/>
      <c r="BD329" s="3"/>
      <c r="BE329" s="3"/>
    </row>
    <row r="330" spans="1:57" x14ac:dyDescent="0.25">
      <c r="A330" s="2"/>
      <c r="D330" s="3"/>
      <c r="E330" s="4"/>
      <c r="F330" s="5"/>
      <c r="G330" s="5"/>
      <c r="J330" s="3"/>
      <c r="K330" s="3"/>
      <c r="L330" s="6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5"/>
      <c r="AA330" s="3"/>
      <c r="AB330" s="3"/>
      <c r="AC330" s="3"/>
      <c r="AD330" s="5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7"/>
      <c r="AX330" s="7"/>
      <c r="AY330" s="7"/>
      <c r="AZ330" s="7"/>
      <c r="BA330" s="8"/>
      <c r="BB330" s="3"/>
      <c r="BC330" s="3"/>
      <c r="BD330" s="3"/>
      <c r="BE330" s="3"/>
    </row>
    <row r="331" spans="1:57" x14ac:dyDescent="0.25">
      <c r="A331" s="2"/>
      <c r="D331" s="3"/>
      <c r="E331" s="4"/>
      <c r="F331" s="5"/>
      <c r="G331" s="5"/>
      <c r="J331" s="3"/>
      <c r="K331" s="3"/>
      <c r="L331" s="6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5"/>
      <c r="AA331" s="3"/>
      <c r="AB331" s="3"/>
      <c r="AC331" s="3"/>
      <c r="AD331" s="5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7"/>
      <c r="AX331" s="7"/>
      <c r="AY331" s="7"/>
      <c r="AZ331" s="7"/>
      <c r="BA331" s="8"/>
      <c r="BB331" s="3"/>
      <c r="BC331" s="3"/>
      <c r="BD331" s="3"/>
      <c r="BE331" s="3"/>
    </row>
    <row r="332" spans="1:57" x14ac:dyDescent="0.25">
      <c r="A332" s="2"/>
      <c r="D332" s="3"/>
      <c r="E332" s="4"/>
      <c r="F332" s="5"/>
      <c r="G332" s="5"/>
      <c r="J332" s="3"/>
      <c r="K332" s="3"/>
      <c r="L332" s="6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5"/>
      <c r="AA332" s="3"/>
      <c r="AB332" s="3"/>
      <c r="AC332" s="3"/>
      <c r="AD332" s="5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7"/>
      <c r="AX332" s="7"/>
      <c r="AY332" s="7"/>
      <c r="AZ332" s="7"/>
      <c r="BA332" s="8"/>
      <c r="BB332" s="3"/>
      <c r="BC332" s="3"/>
      <c r="BD332" s="3"/>
      <c r="BE332" s="3"/>
    </row>
    <row r="333" spans="1:57" x14ac:dyDescent="0.25">
      <c r="A333" s="2"/>
      <c r="D333" s="3"/>
      <c r="E333" s="4"/>
      <c r="F333" s="5"/>
      <c r="G333" s="5"/>
      <c r="J333" s="3"/>
      <c r="K333" s="3"/>
      <c r="L333" s="6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5"/>
      <c r="AA333" s="3"/>
      <c r="AB333" s="3"/>
      <c r="AC333" s="3"/>
      <c r="AD333" s="5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7"/>
      <c r="AX333" s="7"/>
      <c r="AY333" s="7"/>
      <c r="AZ333" s="7"/>
      <c r="BA333" s="8"/>
      <c r="BB333" s="3"/>
      <c r="BC333" s="3"/>
      <c r="BD333" s="3"/>
      <c r="BE333" s="3"/>
    </row>
    <row r="334" spans="1:57" x14ac:dyDescent="0.25">
      <c r="A334" s="2"/>
      <c r="D334" s="3"/>
      <c r="E334" s="4"/>
      <c r="F334" s="5"/>
      <c r="G334" s="5"/>
      <c r="J334" s="3"/>
      <c r="K334" s="3"/>
      <c r="L334" s="6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5"/>
      <c r="AA334" s="3"/>
      <c r="AB334" s="3"/>
      <c r="AC334" s="3"/>
      <c r="AD334" s="5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7"/>
      <c r="AX334" s="7"/>
      <c r="AY334" s="7"/>
      <c r="AZ334" s="7"/>
      <c r="BA334" s="8"/>
      <c r="BB334" s="3"/>
      <c r="BC334" s="3"/>
      <c r="BD334" s="3"/>
      <c r="BE334" s="3"/>
    </row>
    <row r="335" spans="1:57" x14ac:dyDescent="0.25">
      <c r="A335" s="2"/>
      <c r="D335" s="3"/>
      <c r="E335" s="4"/>
      <c r="F335" s="5"/>
      <c r="G335" s="5"/>
      <c r="J335" s="3"/>
      <c r="K335" s="3"/>
      <c r="L335" s="6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5"/>
      <c r="AA335" s="3"/>
      <c r="AB335" s="3"/>
      <c r="AC335" s="3"/>
      <c r="AD335" s="5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7"/>
      <c r="AX335" s="7"/>
      <c r="AY335" s="7"/>
      <c r="AZ335" s="7"/>
      <c r="BA335" s="8"/>
      <c r="BB335" s="3"/>
      <c r="BC335" s="3"/>
      <c r="BD335" s="3"/>
      <c r="BE335" s="3"/>
    </row>
    <row r="336" spans="1:57" x14ac:dyDescent="0.25">
      <c r="A336" s="2"/>
      <c r="D336" s="3"/>
      <c r="E336" s="4"/>
      <c r="F336" s="5"/>
      <c r="G336" s="5"/>
      <c r="J336" s="3"/>
      <c r="K336" s="3"/>
      <c r="L336" s="6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5"/>
      <c r="AA336" s="3"/>
      <c r="AB336" s="3"/>
      <c r="AC336" s="3"/>
      <c r="AD336" s="5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7"/>
      <c r="AX336" s="7"/>
      <c r="AY336" s="7"/>
      <c r="AZ336" s="7"/>
      <c r="BA336" s="8"/>
      <c r="BB336" s="3"/>
      <c r="BC336" s="3"/>
      <c r="BD336" s="3"/>
      <c r="BE336" s="3"/>
    </row>
    <row r="337" spans="1:57" x14ac:dyDescent="0.25">
      <c r="A337" s="2"/>
      <c r="D337" s="3"/>
      <c r="E337" s="4"/>
      <c r="F337" s="5"/>
      <c r="G337" s="5"/>
      <c r="J337" s="3"/>
      <c r="K337" s="3"/>
      <c r="L337" s="6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5"/>
      <c r="AA337" s="3"/>
      <c r="AB337" s="3"/>
      <c r="AC337" s="3"/>
      <c r="AD337" s="5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7"/>
      <c r="AX337" s="7"/>
      <c r="AY337" s="7"/>
      <c r="AZ337" s="7"/>
      <c r="BA337" s="8"/>
      <c r="BB337" s="3"/>
      <c r="BC337" s="3"/>
      <c r="BD337" s="3"/>
      <c r="BE337" s="3"/>
    </row>
    <row r="338" spans="1:57" x14ac:dyDescent="0.25">
      <c r="A338" s="2"/>
      <c r="D338" s="3"/>
      <c r="E338" s="4"/>
      <c r="F338" s="5"/>
      <c r="G338" s="5"/>
      <c r="J338" s="3"/>
      <c r="K338" s="3"/>
      <c r="L338" s="6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5"/>
      <c r="AA338" s="3"/>
      <c r="AB338" s="3"/>
      <c r="AC338" s="3"/>
      <c r="AD338" s="5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7"/>
      <c r="AX338" s="7"/>
      <c r="AY338" s="7"/>
      <c r="AZ338" s="7"/>
      <c r="BA338" s="8"/>
      <c r="BB338" s="3"/>
      <c r="BC338" s="3"/>
      <c r="BD338" s="3"/>
      <c r="BE338" s="3"/>
    </row>
    <row r="339" spans="1:57" x14ac:dyDescent="0.25">
      <c r="A339" s="2"/>
      <c r="D339" s="3"/>
      <c r="E339" s="4"/>
      <c r="F339" s="5"/>
      <c r="G339" s="5"/>
      <c r="J339" s="3"/>
      <c r="K339" s="3"/>
      <c r="L339" s="6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5"/>
      <c r="AA339" s="3"/>
      <c r="AB339" s="3"/>
      <c r="AC339" s="3"/>
      <c r="AD339" s="5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7"/>
      <c r="AX339" s="7"/>
      <c r="AY339" s="7"/>
      <c r="AZ339" s="7"/>
      <c r="BA339" s="8"/>
      <c r="BB339" s="3"/>
      <c r="BC339" s="3"/>
      <c r="BD339" s="3"/>
      <c r="BE339" s="3"/>
    </row>
    <row r="340" spans="1:57" x14ac:dyDescent="0.25">
      <c r="A340" s="2"/>
      <c r="D340" s="3"/>
      <c r="E340" s="4"/>
      <c r="F340" s="5"/>
      <c r="G340" s="5"/>
      <c r="J340" s="3"/>
      <c r="K340" s="3"/>
      <c r="L340" s="6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5"/>
      <c r="AA340" s="3"/>
      <c r="AB340" s="3"/>
      <c r="AC340" s="3"/>
      <c r="AD340" s="5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7"/>
      <c r="AX340" s="7"/>
      <c r="AY340" s="7"/>
      <c r="AZ340" s="7"/>
      <c r="BA340" s="8"/>
      <c r="BB340" s="3"/>
      <c r="BC340" s="3"/>
      <c r="BD340" s="3"/>
      <c r="BE340" s="3"/>
    </row>
    <row r="341" spans="1:57" x14ac:dyDescent="0.25">
      <c r="A341" s="2"/>
      <c r="D341" s="3"/>
      <c r="E341" s="4"/>
      <c r="F341" s="5"/>
      <c r="G341" s="5"/>
      <c r="J341" s="3"/>
      <c r="K341" s="3"/>
      <c r="L341" s="6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5"/>
      <c r="AA341" s="3"/>
      <c r="AB341" s="3"/>
      <c r="AC341" s="3"/>
      <c r="AD341" s="5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7"/>
      <c r="AX341" s="7"/>
      <c r="AY341" s="7"/>
      <c r="AZ341" s="7"/>
      <c r="BA341" s="8"/>
      <c r="BB341" s="3"/>
      <c r="BC341" s="3"/>
      <c r="BD341" s="3"/>
      <c r="BE341" s="3"/>
    </row>
    <row r="342" spans="1:57" x14ac:dyDescent="0.25">
      <c r="A342" s="2"/>
      <c r="D342" s="3"/>
      <c r="E342" s="4"/>
      <c r="F342" s="5"/>
      <c r="G342" s="5"/>
      <c r="J342" s="3"/>
      <c r="K342" s="3"/>
      <c r="L342" s="6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5"/>
      <c r="AA342" s="3"/>
      <c r="AB342" s="3"/>
      <c r="AC342" s="3"/>
      <c r="AD342" s="5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7"/>
      <c r="AX342" s="7"/>
      <c r="AY342" s="7"/>
      <c r="AZ342" s="7"/>
      <c r="BA342" s="8"/>
      <c r="BB342" s="3"/>
      <c r="BC342" s="3"/>
      <c r="BD342" s="3"/>
      <c r="BE342" s="3"/>
    </row>
    <row r="343" spans="1:57" x14ac:dyDescent="0.25">
      <c r="A343" s="2"/>
      <c r="D343" s="3"/>
      <c r="E343" s="4"/>
      <c r="F343" s="5"/>
      <c r="G343" s="5"/>
      <c r="J343" s="3"/>
      <c r="K343" s="3"/>
      <c r="L343" s="6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5"/>
      <c r="AA343" s="3"/>
      <c r="AB343" s="3"/>
      <c r="AC343" s="3"/>
      <c r="AD343" s="5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7"/>
      <c r="AX343" s="7"/>
      <c r="AY343" s="7"/>
      <c r="AZ343" s="7"/>
      <c r="BA343" s="8"/>
      <c r="BB343" s="3"/>
      <c r="BC343" s="3"/>
      <c r="BD343" s="3"/>
      <c r="BE343" s="3"/>
    </row>
    <row r="344" spans="1:57" x14ac:dyDescent="0.25">
      <c r="A344" s="2"/>
      <c r="D344" s="3"/>
      <c r="E344" s="4"/>
      <c r="F344" s="5"/>
      <c r="G344" s="5"/>
      <c r="J344" s="3"/>
      <c r="K344" s="3"/>
      <c r="L344" s="6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5"/>
      <c r="AA344" s="3"/>
      <c r="AB344" s="3"/>
      <c r="AC344" s="3"/>
      <c r="AD344" s="5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7"/>
      <c r="AX344" s="7"/>
      <c r="AY344" s="7"/>
      <c r="AZ344" s="7"/>
      <c r="BA344" s="8"/>
      <c r="BB344" s="3"/>
      <c r="BC344" s="3"/>
      <c r="BD344" s="3"/>
      <c r="BE344" s="3"/>
    </row>
    <row r="345" spans="1:57" x14ac:dyDescent="0.25">
      <c r="A345" s="2"/>
      <c r="D345" s="3"/>
      <c r="E345" s="4"/>
      <c r="F345" s="5"/>
      <c r="G345" s="5"/>
      <c r="J345" s="3"/>
      <c r="K345" s="3"/>
      <c r="L345" s="6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5"/>
      <c r="AA345" s="3"/>
      <c r="AB345" s="3"/>
      <c r="AC345" s="3"/>
      <c r="AD345" s="5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7"/>
      <c r="AX345" s="7"/>
      <c r="AY345" s="7"/>
      <c r="AZ345" s="7"/>
      <c r="BA345" s="8"/>
      <c r="BB345" s="3"/>
      <c r="BC345" s="3"/>
      <c r="BD345" s="3"/>
      <c r="BE345" s="3"/>
    </row>
    <row r="346" spans="1:57" x14ac:dyDescent="0.25">
      <c r="A346" s="2"/>
      <c r="D346" s="3"/>
      <c r="E346" s="4"/>
      <c r="F346" s="5"/>
      <c r="G346" s="5"/>
      <c r="J346" s="3"/>
      <c r="K346" s="3"/>
      <c r="L346" s="6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5"/>
      <c r="AA346" s="3"/>
      <c r="AB346" s="3"/>
      <c r="AC346" s="3"/>
      <c r="AD346" s="5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7"/>
      <c r="AX346" s="7"/>
      <c r="AY346" s="7"/>
      <c r="AZ346" s="7"/>
      <c r="BA346" s="8"/>
      <c r="BB346" s="3"/>
      <c r="BC346" s="3"/>
      <c r="BD346" s="3"/>
      <c r="BE346" s="3"/>
    </row>
    <row r="347" spans="1:57" x14ac:dyDescent="0.25">
      <c r="A347" s="2"/>
      <c r="D347" s="3"/>
      <c r="E347" s="4"/>
      <c r="F347" s="5"/>
      <c r="G347" s="5"/>
      <c r="J347" s="3"/>
      <c r="K347" s="3"/>
      <c r="L347" s="6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5"/>
      <c r="AA347" s="3"/>
      <c r="AB347" s="3"/>
      <c r="AC347" s="3"/>
      <c r="AD347" s="5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7"/>
      <c r="AX347" s="7"/>
      <c r="AY347" s="7"/>
      <c r="AZ347" s="7"/>
      <c r="BA347" s="8"/>
      <c r="BB347" s="3"/>
      <c r="BC347" s="3"/>
      <c r="BD347" s="3"/>
      <c r="BE347" s="3"/>
    </row>
    <row r="348" spans="1:57" x14ac:dyDescent="0.25">
      <c r="A348" s="2"/>
      <c r="D348" s="3"/>
      <c r="E348" s="4"/>
      <c r="F348" s="5"/>
      <c r="G348" s="5"/>
      <c r="J348" s="3"/>
      <c r="K348" s="3"/>
      <c r="L348" s="6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5"/>
      <c r="AA348" s="3"/>
      <c r="AB348" s="3"/>
      <c r="AC348" s="3"/>
      <c r="AD348" s="5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7"/>
      <c r="AX348" s="7"/>
      <c r="AY348" s="7"/>
      <c r="AZ348" s="7"/>
      <c r="BA348" s="8"/>
      <c r="BB348" s="3"/>
      <c r="BC348" s="3"/>
      <c r="BD348" s="3"/>
      <c r="BE348" s="3"/>
    </row>
    <row r="349" spans="1:57" x14ac:dyDescent="0.25">
      <c r="A349" s="2"/>
      <c r="D349" s="3"/>
      <c r="E349" s="4"/>
      <c r="F349" s="5"/>
      <c r="G349" s="5"/>
      <c r="J349" s="3"/>
      <c r="K349" s="3"/>
      <c r="L349" s="6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5"/>
      <c r="AA349" s="3"/>
      <c r="AB349" s="3"/>
      <c r="AC349" s="3"/>
      <c r="AD349" s="5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7"/>
      <c r="AX349" s="7"/>
      <c r="AY349" s="7"/>
      <c r="AZ349" s="7"/>
      <c r="BA349" s="8"/>
      <c r="BB349" s="3"/>
      <c r="BC349" s="3"/>
      <c r="BD349" s="3"/>
      <c r="BE349" s="3"/>
    </row>
    <row r="350" spans="1:57" x14ac:dyDescent="0.25">
      <c r="A350" s="2"/>
      <c r="D350" s="3"/>
      <c r="E350" s="4"/>
      <c r="F350" s="5"/>
      <c r="G350" s="5"/>
      <c r="J350" s="3"/>
      <c r="K350" s="3"/>
      <c r="L350" s="6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5"/>
      <c r="AA350" s="3"/>
      <c r="AB350" s="3"/>
      <c r="AC350" s="3"/>
      <c r="AD350" s="5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7"/>
      <c r="AX350" s="7"/>
      <c r="AY350" s="7"/>
      <c r="AZ350" s="7"/>
      <c r="BA350" s="8"/>
      <c r="BB350" s="3"/>
      <c r="BC350" s="3"/>
      <c r="BD350" s="3"/>
      <c r="BE350" s="3"/>
    </row>
    <row r="351" spans="1:57" x14ac:dyDescent="0.25">
      <c r="A351" s="2"/>
      <c r="D351" s="3"/>
      <c r="E351" s="4"/>
      <c r="F351" s="5"/>
      <c r="G351" s="5"/>
      <c r="J351" s="3"/>
      <c r="K351" s="3"/>
      <c r="L351" s="6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5"/>
      <c r="AA351" s="3"/>
      <c r="AB351" s="3"/>
      <c r="AC351" s="3"/>
      <c r="AD351" s="5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7"/>
      <c r="AX351" s="7"/>
      <c r="AY351" s="7"/>
      <c r="AZ351" s="7"/>
      <c r="BA351" s="8"/>
      <c r="BB351" s="3"/>
      <c r="BC351" s="3"/>
      <c r="BD351" s="3"/>
      <c r="BE351" s="3"/>
    </row>
    <row r="352" spans="1:57" x14ac:dyDescent="0.25">
      <c r="A352" s="2"/>
      <c r="D352" s="3"/>
      <c r="E352" s="4"/>
      <c r="F352" s="5"/>
      <c r="G352" s="5"/>
      <c r="J352" s="3"/>
      <c r="K352" s="3"/>
      <c r="L352" s="6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5"/>
      <c r="AA352" s="3"/>
      <c r="AB352" s="3"/>
      <c r="AC352" s="3"/>
      <c r="AD352" s="5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7"/>
      <c r="AX352" s="7"/>
      <c r="AY352" s="7"/>
      <c r="AZ352" s="7"/>
      <c r="BA352" s="8"/>
      <c r="BB352" s="3"/>
      <c r="BC352" s="3"/>
      <c r="BD352" s="3"/>
      <c r="BE352" s="3"/>
    </row>
    <row r="353" spans="1:57" x14ac:dyDescent="0.25">
      <c r="A353" s="2"/>
      <c r="D353" s="3"/>
      <c r="E353" s="4"/>
      <c r="F353" s="5"/>
      <c r="G353" s="5"/>
      <c r="J353" s="3"/>
      <c r="K353" s="3"/>
      <c r="L353" s="6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5"/>
      <c r="AA353" s="3"/>
      <c r="AB353" s="3"/>
      <c r="AC353" s="3"/>
      <c r="AD353" s="5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7"/>
      <c r="AX353" s="7"/>
      <c r="AY353" s="7"/>
      <c r="AZ353" s="7"/>
      <c r="BA353" s="8"/>
      <c r="BB353" s="3"/>
      <c r="BC353" s="3"/>
      <c r="BD353" s="3"/>
      <c r="BE353" s="3"/>
    </row>
    <row r="354" spans="1:57" x14ac:dyDescent="0.25">
      <c r="A354" s="2"/>
      <c r="D354" s="3"/>
      <c r="E354" s="4"/>
      <c r="F354" s="5"/>
      <c r="G354" s="5"/>
      <c r="J354" s="3"/>
      <c r="K354" s="3"/>
      <c r="L354" s="6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5"/>
      <c r="AA354" s="3"/>
      <c r="AB354" s="3"/>
      <c r="AC354" s="3"/>
      <c r="AD354" s="5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7"/>
      <c r="AX354" s="7"/>
      <c r="AY354" s="7"/>
      <c r="AZ354" s="7"/>
      <c r="BA354" s="8"/>
      <c r="BB354" s="3"/>
      <c r="BC354" s="3"/>
      <c r="BD354" s="3"/>
      <c r="BE354" s="3"/>
    </row>
    <row r="355" spans="1:57" x14ac:dyDescent="0.25">
      <c r="A355" s="2"/>
      <c r="D355" s="3"/>
      <c r="E355" s="4"/>
      <c r="F355" s="5"/>
      <c r="G355" s="5"/>
      <c r="J355" s="3"/>
      <c r="K355" s="3"/>
      <c r="L355" s="6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5"/>
      <c r="AA355" s="3"/>
      <c r="AB355" s="3"/>
      <c r="AC355" s="3"/>
      <c r="AD355" s="5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7"/>
      <c r="AX355" s="7"/>
      <c r="AY355" s="7"/>
      <c r="AZ355" s="7"/>
      <c r="BA355" s="8"/>
      <c r="BB355" s="3"/>
      <c r="BC355" s="3"/>
      <c r="BD355" s="3"/>
      <c r="BE355" s="3"/>
    </row>
    <row r="356" spans="1:57" x14ac:dyDescent="0.25">
      <c r="A356" s="2"/>
      <c r="D356" s="3"/>
      <c r="E356" s="4"/>
      <c r="F356" s="5"/>
      <c r="G356" s="5"/>
      <c r="J356" s="3"/>
      <c r="K356" s="3"/>
      <c r="L356" s="6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5"/>
      <c r="AA356" s="3"/>
      <c r="AB356" s="3"/>
      <c r="AC356" s="3"/>
      <c r="AD356" s="5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7"/>
      <c r="AX356" s="7"/>
      <c r="AY356" s="7"/>
      <c r="AZ356" s="7"/>
      <c r="BA356" s="8"/>
      <c r="BB356" s="3"/>
      <c r="BC356" s="3"/>
      <c r="BD356" s="3"/>
      <c r="BE356" s="3"/>
    </row>
    <row r="357" spans="1:57" x14ac:dyDescent="0.25">
      <c r="A357" s="2"/>
      <c r="D357" s="3"/>
      <c r="E357" s="4"/>
      <c r="F357" s="5"/>
      <c r="G357" s="5"/>
      <c r="J357" s="3"/>
      <c r="K357" s="3"/>
      <c r="L357" s="6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5"/>
      <c r="AA357" s="3"/>
      <c r="AB357" s="3"/>
      <c r="AC357" s="3"/>
      <c r="AD357" s="5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7"/>
      <c r="AX357" s="7"/>
      <c r="AY357" s="7"/>
      <c r="AZ357" s="7"/>
      <c r="BA357" s="8"/>
      <c r="BB357" s="3"/>
      <c r="BC357" s="3"/>
      <c r="BD357" s="3"/>
      <c r="BE357" s="3"/>
    </row>
    <row r="358" spans="1:57" x14ac:dyDescent="0.25">
      <c r="A358" s="2"/>
      <c r="D358" s="3"/>
      <c r="E358" s="4"/>
      <c r="F358" s="5"/>
      <c r="G358" s="5"/>
      <c r="J358" s="3"/>
      <c r="K358" s="3"/>
      <c r="L358" s="6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5"/>
      <c r="AA358" s="3"/>
      <c r="AB358" s="3"/>
      <c r="AC358" s="3"/>
      <c r="AD358" s="5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7"/>
      <c r="AX358" s="7"/>
      <c r="AY358" s="7"/>
      <c r="AZ358" s="7"/>
      <c r="BA358" s="8"/>
      <c r="BB358" s="3"/>
      <c r="BC358" s="3"/>
      <c r="BD358" s="3"/>
      <c r="BE358" s="3"/>
    </row>
    <row r="359" spans="1:57" x14ac:dyDescent="0.25">
      <c r="A359" s="2"/>
      <c r="D359" s="3"/>
      <c r="E359" s="4"/>
      <c r="F359" s="5"/>
      <c r="G359" s="5"/>
      <c r="J359" s="3"/>
      <c r="K359" s="3"/>
      <c r="L359" s="6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5"/>
      <c r="AA359" s="3"/>
      <c r="AB359" s="3"/>
      <c r="AC359" s="3"/>
      <c r="AD359" s="5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7"/>
      <c r="AX359" s="7"/>
      <c r="AY359" s="7"/>
      <c r="AZ359" s="7"/>
      <c r="BA359" s="8"/>
      <c r="BB359" s="3"/>
      <c r="BC359" s="3"/>
      <c r="BD359" s="3"/>
      <c r="BE359" s="3"/>
    </row>
    <row r="360" spans="1:57" x14ac:dyDescent="0.25">
      <c r="A360" s="2"/>
      <c r="D360" s="3"/>
      <c r="E360" s="4"/>
      <c r="F360" s="5"/>
      <c r="G360" s="5"/>
      <c r="J360" s="3"/>
      <c r="K360" s="3"/>
      <c r="L360" s="6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5"/>
      <c r="AA360" s="3"/>
      <c r="AB360" s="3"/>
      <c r="AC360" s="3"/>
      <c r="AD360" s="5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7"/>
      <c r="AX360" s="7"/>
      <c r="AY360" s="7"/>
      <c r="AZ360" s="7"/>
      <c r="BA360" s="8"/>
      <c r="BB360" s="3"/>
      <c r="BC360" s="3"/>
      <c r="BD360" s="3"/>
      <c r="BE360" s="3"/>
    </row>
    <row r="361" spans="1:57" x14ac:dyDescent="0.25">
      <c r="A361" s="2"/>
      <c r="D361" s="3"/>
      <c r="E361" s="4"/>
      <c r="F361" s="5"/>
      <c r="G361" s="5"/>
      <c r="J361" s="3"/>
      <c r="K361" s="3"/>
      <c r="L361" s="6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5"/>
      <c r="AA361" s="3"/>
      <c r="AB361" s="3"/>
      <c r="AC361" s="3"/>
      <c r="AD361" s="5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7"/>
      <c r="AX361" s="7"/>
      <c r="AY361" s="7"/>
      <c r="AZ361" s="7"/>
      <c r="BA361" s="8"/>
      <c r="BB361" s="3"/>
      <c r="BC361" s="3"/>
      <c r="BD361" s="3"/>
      <c r="BE361" s="3"/>
    </row>
    <row r="362" spans="1:57" x14ac:dyDescent="0.25">
      <c r="A362" s="2"/>
      <c r="D362" s="3"/>
      <c r="E362" s="4"/>
      <c r="F362" s="5"/>
      <c r="G362" s="5"/>
      <c r="J362" s="3"/>
      <c r="K362" s="3"/>
      <c r="L362" s="6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5"/>
      <c r="AA362" s="3"/>
      <c r="AB362" s="3"/>
      <c r="AC362" s="3"/>
      <c r="AD362" s="5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7"/>
      <c r="AX362" s="7"/>
      <c r="AY362" s="7"/>
      <c r="AZ362" s="7"/>
      <c r="BA362" s="8"/>
      <c r="BB362" s="3"/>
      <c r="BC362" s="3"/>
      <c r="BD362" s="3"/>
      <c r="BE362" s="3"/>
    </row>
    <row r="363" spans="1:57" x14ac:dyDescent="0.25">
      <c r="A363" s="2"/>
      <c r="D363" s="3"/>
      <c r="E363" s="4"/>
      <c r="F363" s="5"/>
      <c r="G363" s="5"/>
      <c r="J363" s="3"/>
      <c r="K363" s="3"/>
      <c r="L363" s="6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5"/>
      <c r="AA363" s="3"/>
      <c r="AB363" s="3"/>
      <c r="AC363" s="3"/>
      <c r="AD363" s="5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7"/>
      <c r="AX363" s="7"/>
      <c r="AY363" s="7"/>
      <c r="AZ363" s="7"/>
      <c r="BA363" s="8"/>
      <c r="BB363" s="3"/>
      <c r="BC363" s="3"/>
      <c r="BD363" s="3"/>
      <c r="BE363" s="3"/>
    </row>
    <row r="364" spans="1:57" x14ac:dyDescent="0.25">
      <c r="A364" s="2"/>
      <c r="D364" s="3"/>
      <c r="E364" s="4"/>
      <c r="F364" s="5"/>
      <c r="G364" s="5"/>
      <c r="J364" s="3"/>
      <c r="K364" s="3"/>
      <c r="L364" s="6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5"/>
      <c r="AA364" s="3"/>
      <c r="AB364" s="3"/>
      <c r="AC364" s="3"/>
      <c r="AD364" s="5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7"/>
      <c r="AX364" s="7"/>
      <c r="AY364" s="7"/>
      <c r="AZ364" s="7"/>
      <c r="BA364" s="8"/>
      <c r="BB364" s="3"/>
      <c r="BC364" s="3"/>
      <c r="BD364" s="3"/>
      <c r="BE364" s="3"/>
    </row>
    <row r="365" spans="1:57" x14ac:dyDescent="0.25">
      <c r="A365" s="2"/>
      <c r="D365" s="3"/>
      <c r="E365" s="4"/>
      <c r="F365" s="5"/>
      <c r="G365" s="5"/>
      <c r="J365" s="3"/>
      <c r="K365" s="3"/>
      <c r="L365" s="6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5"/>
      <c r="AA365" s="3"/>
      <c r="AB365" s="3"/>
      <c r="AC365" s="3"/>
      <c r="AD365" s="5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7"/>
      <c r="AX365" s="7"/>
      <c r="AY365" s="7"/>
      <c r="AZ365" s="7"/>
      <c r="BA365" s="8"/>
      <c r="BB365" s="3"/>
      <c r="BC365" s="3"/>
      <c r="BD365" s="3"/>
      <c r="BE365" s="3"/>
    </row>
    <row r="366" spans="1:57" x14ac:dyDescent="0.25">
      <c r="A366" s="2"/>
      <c r="D366" s="3"/>
      <c r="E366" s="4"/>
      <c r="F366" s="5"/>
      <c r="G366" s="5"/>
      <c r="J366" s="3"/>
      <c r="K366" s="3"/>
      <c r="L366" s="6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5"/>
      <c r="AA366" s="3"/>
      <c r="AB366" s="3"/>
      <c r="AC366" s="3"/>
      <c r="AD366" s="5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7"/>
      <c r="AX366" s="7"/>
      <c r="AY366" s="7"/>
      <c r="AZ366" s="7"/>
      <c r="BA366" s="8"/>
      <c r="BB366" s="3"/>
      <c r="BC366" s="3"/>
      <c r="BD366" s="3"/>
      <c r="BE366" s="3"/>
    </row>
    <row r="367" spans="1:57" x14ac:dyDescent="0.25">
      <c r="A367" s="2"/>
      <c r="D367" s="3"/>
      <c r="E367" s="4"/>
      <c r="F367" s="5"/>
      <c r="G367" s="5"/>
      <c r="J367" s="3"/>
      <c r="K367" s="3"/>
      <c r="L367" s="6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5"/>
      <c r="AA367" s="3"/>
      <c r="AB367" s="3"/>
      <c r="AC367" s="3"/>
      <c r="AD367" s="5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7"/>
      <c r="AX367" s="7"/>
      <c r="AY367" s="7"/>
      <c r="AZ367" s="7"/>
      <c r="BA367" s="8"/>
      <c r="BB367" s="3"/>
      <c r="BC367" s="3"/>
      <c r="BD367" s="3"/>
      <c r="BE367" s="3"/>
    </row>
    <row r="368" spans="1:57" x14ac:dyDescent="0.25">
      <c r="A368" s="2"/>
      <c r="D368" s="3"/>
      <c r="E368" s="4"/>
      <c r="F368" s="5"/>
      <c r="G368" s="5"/>
      <c r="J368" s="3"/>
      <c r="K368" s="3"/>
      <c r="L368" s="6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5"/>
      <c r="AA368" s="3"/>
      <c r="AB368" s="3"/>
      <c r="AC368" s="3"/>
      <c r="AD368" s="5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7"/>
      <c r="AX368" s="7"/>
      <c r="AY368" s="7"/>
      <c r="AZ368" s="7"/>
      <c r="BA368" s="8"/>
      <c r="BB368" s="3"/>
      <c r="BC368" s="3"/>
      <c r="BD368" s="3"/>
      <c r="BE368" s="3"/>
    </row>
    <row r="369" spans="1:57" x14ac:dyDescent="0.25">
      <c r="A369" s="2"/>
      <c r="D369" s="3"/>
      <c r="E369" s="4"/>
      <c r="F369" s="5"/>
      <c r="G369" s="5"/>
      <c r="J369" s="3"/>
      <c r="K369" s="3"/>
      <c r="L369" s="6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5"/>
      <c r="AA369" s="3"/>
      <c r="AB369" s="3"/>
      <c r="AC369" s="3"/>
      <c r="AD369" s="5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7"/>
      <c r="AX369" s="7"/>
      <c r="AY369" s="7"/>
      <c r="AZ369" s="7"/>
      <c r="BA369" s="8"/>
      <c r="BB369" s="3"/>
      <c r="BC369" s="3"/>
      <c r="BD369" s="3"/>
      <c r="BE369" s="3"/>
    </row>
    <row r="370" spans="1:57" x14ac:dyDescent="0.25">
      <c r="A370" s="2"/>
      <c r="D370" s="3"/>
      <c r="E370" s="4"/>
      <c r="F370" s="5"/>
      <c r="G370" s="5"/>
      <c r="J370" s="3"/>
      <c r="K370" s="3"/>
      <c r="L370" s="6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5"/>
      <c r="AA370" s="3"/>
      <c r="AB370" s="3"/>
      <c r="AC370" s="3"/>
      <c r="AD370" s="5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7"/>
      <c r="AX370" s="7"/>
      <c r="AY370" s="7"/>
      <c r="AZ370" s="7"/>
      <c r="BA370" s="8"/>
      <c r="BB370" s="3"/>
      <c r="BC370" s="3"/>
      <c r="BD370" s="3"/>
      <c r="BE370" s="3"/>
    </row>
    <row r="371" spans="1:57" x14ac:dyDescent="0.25">
      <c r="A371" s="2"/>
      <c r="D371" s="3"/>
      <c r="E371" s="4"/>
      <c r="F371" s="5"/>
      <c r="G371" s="5"/>
      <c r="J371" s="3"/>
      <c r="K371" s="3"/>
      <c r="L371" s="6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5"/>
      <c r="AA371" s="3"/>
      <c r="AB371" s="3"/>
      <c r="AC371" s="3"/>
      <c r="AD371" s="5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7"/>
      <c r="AX371" s="7"/>
      <c r="AY371" s="7"/>
      <c r="AZ371" s="7"/>
      <c r="BA371" s="8"/>
      <c r="BB371" s="3"/>
      <c r="BC371" s="3"/>
      <c r="BD371" s="3"/>
      <c r="BE371" s="3"/>
    </row>
    <row r="372" spans="1:57" x14ac:dyDescent="0.25">
      <c r="A372" s="2"/>
      <c r="D372" s="3"/>
      <c r="E372" s="4"/>
      <c r="F372" s="5"/>
      <c r="G372" s="5"/>
      <c r="J372" s="3"/>
      <c r="K372" s="3"/>
      <c r="L372" s="6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5"/>
      <c r="AA372" s="3"/>
      <c r="AB372" s="3"/>
      <c r="AC372" s="3"/>
      <c r="AD372" s="5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7"/>
      <c r="AX372" s="7"/>
      <c r="AY372" s="7"/>
      <c r="AZ372" s="7"/>
      <c r="BA372" s="8"/>
      <c r="BB372" s="3"/>
      <c r="BC372" s="3"/>
      <c r="BD372" s="3"/>
      <c r="BE372" s="3"/>
    </row>
    <row r="373" spans="1:57" x14ac:dyDescent="0.25">
      <c r="A373" s="2"/>
      <c r="D373" s="3"/>
      <c r="E373" s="4"/>
      <c r="F373" s="5"/>
      <c r="G373" s="5"/>
      <c r="J373" s="3"/>
      <c r="K373" s="3"/>
      <c r="L373" s="6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5"/>
      <c r="AA373" s="3"/>
      <c r="AB373" s="3"/>
      <c r="AC373" s="3"/>
      <c r="AD373" s="5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7"/>
      <c r="AX373" s="7"/>
      <c r="AY373" s="7"/>
      <c r="AZ373" s="7"/>
      <c r="BA373" s="8"/>
      <c r="BB373" s="3"/>
      <c r="BC373" s="3"/>
      <c r="BD373" s="3"/>
      <c r="BE373" s="3"/>
    </row>
    <row r="374" spans="1:57" x14ac:dyDescent="0.25">
      <c r="A374" s="2"/>
      <c r="D374" s="3"/>
      <c r="E374" s="4"/>
      <c r="F374" s="5"/>
      <c r="G374" s="5"/>
      <c r="J374" s="3"/>
      <c r="K374" s="3"/>
      <c r="L374" s="6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5"/>
      <c r="AA374" s="3"/>
      <c r="AB374" s="3"/>
      <c r="AC374" s="3"/>
      <c r="AD374" s="5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7"/>
      <c r="AX374" s="7"/>
      <c r="AY374" s="7"/>
      <c r="AZ374" s="7"/>
      <c r="BA374" s="8"/>
      <c r="BB374" s="3"/>
      <c r="BC374" s="3"/>
      <c r="BD374" s="3"/>
      <c r="BE374" s="3"/>
    </row>
    <row r="375" spans="1:57" x14ac:dyDescent="0.25">
      <c r="A375" s="2"/>
      <c r="D375" s="3"/>
      <c r="E375" s="4"/>
      <c r="F375" s="5"/>
      <c r="G375" s="5"/>
      <c r="J375" s="3"/>
      <c r="K375" s="3"/>
      <c r="L375" s="6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5"/>
      <c r="AA375" s="3"/>
      <c r="AB375" s="3"/>
      <c r="AC375" s="3"/>
      <c r="AD375" s="5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7"/>
      <c r="AX375" s="7"/>
      <c r="AY375" s="7"/>
      <c r="AZ375" s="7"/>
      <c r="BA375" s="8"/>
      <c r="BB375" s="3"/>
      <c r="BC375" s="3"/>
      <c r="BD375" s="3"/>
      <c r="BE375" s="3"/>
    </row>
    <row r="376" spans="1:57" x14ac:dyDescent="0.25">
      <c r="A376" s="2"/>
      <c r="D376" s="3"/>
      <c r="E376" s="4"/>
      <c r="F376" s="5"/>
      <c r="G376" s="5"/>
      <c r="J376" s="3"/>
      <c r="K376" s="3"/>
      <c r="L376" s="6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5"/>
      <c r="AA376" s="3"/>
      <c r="AB376" s="3"/>
      <c r="AC376" s="3"/>
      <c r="AD376" s="5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7"/>
      <c r="AX376" s="7"/>
      <c r="AY376" s="7"/>
      <c r="AZ376" s="7"/>
      <c r="BA376" s="8"/>
      <c r="BB376" s="3"/>
      <c r="BC376" s="3"/>
      <c r="BD376" s="3"/>
      <c r="BE376" s="3"/>
    </row>
    <row r="377" spans="1:57" x14ac:dyDescent="0.25">
      <c r="A377" s="2"/>
      <c r="D377" s="3"/>
      <c r="E377" s="4"/>
      <c r="F377" s="5"/>
      <c r="G377" s="5"/>
      <c r="J377" s="3"/>
      <c r="K377" s="3"/>
      <c r="L377" s="6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5"/>
      <c r="AA377" s="3"/>
      <c r="AB377" s="3"/>
      <c r="AC377" s="3"/>
      <c r="AD377" s="5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7"/>
      <c r="AX377" s="7"/>
      <c r="AY377" s="7"/>
      <c r="AZ377" s="7"/>
      <c r="BA377" s="8"/>
      <c r="BB377" s="3"/>
      <c r="BC377" s="3"/>
      <c r="BD377" s="3"/>
      <c r="BE377" s="3"/>
    </row>
    <row r="378" spans="1:57" x14ac:dyDescent="0.25">
      <c r="A378" s="2"/>
      <c r="D378" s="3"/>
      <c r="E378" s="4"/>
      <c r="F378" s="5"/>
      <c r="G378" s="5"/>
      <c r="J378" s="3"/>
      <c r="K378" s="3"/>
      <c r="L378" s="6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5"/>
      <c r="AA378" s="3"/>
      <c r="AB378" s="3"/>
      <c r="AC378" s="3"/>
      <c r="AD378" s="5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7"/>
      <c r="AX378" s="7"/>
      <c r="AY378" s="7"/>
      <c r="AZ378" s="7"/>
      <c r="BA378" s="8"/>
      <c r="BB378" s="3"/>
      <c r="BC378" s="3"/>
      <c r="BD378" s="3"/>
      <c r="BE378" s="3"/>
    </row>
    <row r="379" spans="1:57" x14ac:dyDescent="0.25">
      <c r="A379" s="2"/>
      <c r="D379" s="3"/>
      <c r="E379" s="4"/>
      <c r="F379" s="5"/>
      <c r="G379" s="5"/>
      <c r="J379" s="3"/>
      <c r="K379" s="3"/>
      <c r="L379" s="6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5"/>
      <c r="AA379" s="3"/>
      <c r="AB379" s="3"/>
      <c r="AC379" s="3"/>
      <c r="AD379" s="5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7"/>
      <c r="AX379" s="7"/>
      <c r="AY379" s="7"/>
      <c r="AZ379" s="7"/>
      <c r="BA379" s="8"/>
      <c r="BB379" s="3"/>
      <c r="BC379" s="3"/>
      <c r="BD379" s="3"/>
      <c r="BE379" s="3"/>
    </row>
    <row r="380" spans="1:57" x14ac:dyDescent="0.25">
      <c r="A380" s="2"/>
      <c r="D380" s="3"/>
      <c r="E380" s="4"/>
      <c r="F380" s="5"/>
      <c r="G380" s="5"/>
      <c r="J380" s="3"/>
      <c r="K380" s="3"/>
      <c r="L380" s="6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5"/>
      <c r="AA380" s="3"/>
      <c r="AB380" s="3"/>
      <c r="AC380" s="3"/>
      <c r="AD380" s="5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7"/>
      <c r="AX380" s="7"/>
      <c r="AY380" s="7"/>
      <c r="AZ380" s="7"/>
      <c r="BA380" s="8"/>
      <c r="BB380" s="3"/>
      <c r="BC380" s="3"/>
      <c r="BD380" s="3"/>
      <c r="BE380" s="3"/>
    </row>
    <row r="381" spans="1:57" x14ac:dyDescent="0.25">
      <c r="A381" s="2"/>
      <c r="D381" s="3"/>
      <c r="E381" s="4"/>
      <c r="F381" s="5"/>
      <c r="G381" s="5"/>
      <c r="J381" s="3"/>
      <c r="K381" s="3"/>
      <c r="L381" s="6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5"/>
      <c r="AA381" s="3"/>
      <c r="AB381" s="3"/>
      <c r="AC381" s="3"/>
      <c r="AD381" s="5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7"/>
      <c r="AX381" s="7"/>
      <c r="AY381" s="7"/>
      <c r="AZ381" s="7"/>
      <c r="BA381" s="8"/>
      <c r="BB381" s="3"/>
      <c r="BC381" s="3"/>
      <c r="BD381" s="3"/>
      <c r="BE381" s="3"/>
    </row>
    <row r="382" spans="1:57" x14ac:dyDescent="0.25">
      <c r="A382" s="2"/>
      <c r="D382" s="3"/>
      <c r="E382" s="4"/>
      <c r="F382" s="5"/>
      <c r="G382" s="5"/>
      <c r="J382" s="3"/>
      <c r="K382" s="3"/>
      <c r="L382" s="6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5"/>
      <c r="AA382" s="3"/>
      <c r="AB382" s="3"/>
      <c r="AC382" s="3"/>
      <c r="AD382" s="5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7"/>
      <c r="AX382" s="7"/>
      <c r="AY382" s="7"/>
      <c r="AZ382" s="7"/>
      <c r="BA382" s="8"/>
      <c r="BB382" s="3"/>
      <c r="BC382" s="3"/>
      <c r="BD382" s="3"/>
      <c r="BE382" s="3"/>
    </row>
    <row r="383" spans="1:57" x14ac:dyDescent="0.25">
      <c r="A383" s="2"/>
      <c r="D383" s="3"/>
      <c r="E383" s="4"/>
      <c r="F383" s="5"/>
      <c r="G383" s="5"/>
      <c r="J383" s="3"/>
      <c r="K383" s="3"/>
      <c r="L383" s="6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5"/>
      <c r="AA383" s="3"/>
      <c r="AB383" s="3"/>
      <c r="AC383" s="3"/>
      <c r="AD383" s="5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7"/>
      <c r="AX383" s="7"/>
      <c r="AY383" s="7"/>
      <c r="AZ383" s="7"/>
      <c r="BA383" s="8"/>
      <c r="BB383" s="3"/>
      <c r="BC383" s="3"/>
      <c r="BD383" s="3"/>
      <c r="BE383" s="3"/>
    </row>
    <row r="384" spans="1:57" x14ac:dyDescent="0.25">
      <c r="A384" s="2"/>
      <c r="D384" s="3"/>
      <c r="E384" s="4"/>
      <c r="F384" s="5"/>
      <c r="G384" s="5"/>
      <c r="J384" s="3"/>
      <c r="K384" s="3"/>
      <c r="L384" s="6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5"/>
      <c r="AA384" s="3"/>
      <c r="AB384" s="3"/>
      <c r="AC384" s="3"/>
      <c r="AD384" s="5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7"/>
      <c r="AX384" s="7"/>
      <c r="AY384" s="7"/>
      <c r="AZ384" s="7"/>
      <c r="BA384" s="8"/>
      <c r="BB384" s="3"/>
      <c r="BC384" s="3"/>
      <c r="BD384" s="3"/>
      <c r="BE384" s="3"/>
    </row>
    <row r="385" spans="1:57" x14ac:dyDescent="0.25">
      <c r="A385" s="2"/>
      <c r="D385" s="3"/>
      <c r="E385" s="4"/>
      <c r="F385" s="5"/>
      <c r="G385" s="5"/>
      <c r="J385" s="3"/>
      <c r="K385" s="3"/>
      <c r="L385" s="6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5"/>
      <c r="AA385" s="3"/>
      <c r="AB385" s="3"/>
      <c r="AC385" s="3"/>
      <c r="AD385" s="5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7"/>
      <c r="AX385" s="7"/>
      <c r="AY385" s="7"/>
      <c r="AZ385" s="7"/>
      <c r="BA385" s="8"/>
      <c r="BB385" s="3"/>
      <c r="BC385" s="3"/>
      <c r="BD385" s="3"/>
      <c r="BE385" s="3"/>
    </row>
    <row r="386" spans="1:57" x14ac:dyDescent="0.25">
      <c r="A386" s="2"/>
      <c r="D386" s="3"/>
      <c r="E386" s="4"/>
      <c r="F386" s="5"/>
      <c r="G386" s="5"/>
      <c r="J386" s="3"/>
      <c r="K386" s="3"/>
      <c r="L386" s="6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5"/>
      <c r="AA386" s="3"/>
      <c r="AB386" s="3"/>
      <c r="AC386" s="3"/>
      <c r="AD386" s="5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7"/>
      <c r="AX386" s="7"/>
      <c r="AY386" s="7"/>
      <c r="AZ386" s="7"/>
      <c r="BA386" s="8"/>
      <c r="BB386" s="3"/>
      <c r="BC386" s="3"/>
      <c r="BD386" s="3"/>
      <c r="BE386" s="3"/>
    </row>
    <row r="387" spans="1:57" x14ac:dyDescent="0.25">
      <c r="A387" s="2"/>
      <c r="D387" s="3"/>
      <c r="E387" s="4"/>
      <c r="F387" s="5"/>
      <c r="G387" s="5"/>
      <c r="J387" s="3"/>
      <c r="K387" s="3"/>
      <c r="L387" s="6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5"/>
      <c r="AA387" s="3"/>
      <c r="AB387" s="3"/>
      <c r="AC387" s="3"/>
      <c r="AD387" s="5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7"/>
      <c r="AX387" s="7"/>
      <c r="AY387" s="7"/>
      <c r="AZ387" s="7"/>
      <c r="BA387" s="8"/>
      <c r="BB387" s="3"/>
      <c r="BC387" s="3"/>
      <c r="BD387" s="3"/>
      <c r="BE387" s="3"/>
    </row>
    <row r="388" spans="1:57" x14ac:dyDescent="0.25">
      <c r="A388" s="2"/>
      <c r="D388" s="3"/>
      <c r="E388" s="4"/>
      <c r="F388" s="5"/>
      <c r="G388" s="5"/>
      <c r="J388" s="3"/>
      <c r="K388" s="3"/>
      <c r="L388" s="6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5"/>
      <c r="AA388" s="3"/>
      <c r="AB388" s="3"/>
      <c r="AC388" s="3"/>
      <c r="AD388" s="5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7"/>
      <c r="AX388" s="7"/>
      <c r="AY388" s="7"/>
      <c r="AZ388" s="7"/>
      <c r="BA388" s="8"/>
      <c r="BB388" s="3"/>
      <c r="BC388" s="3"/>
      <c r="BD388" s="3"/>
      <c r="BE388" s="3"/>
    </row>
    <row r="389" spans="1:57" x14ac:dyDescent="0.25">
      <c r="A389" s="2"/>
      <c r="D389" s="3"/>
      <c r="E389" s="4"/>
      <c r="F389" s="5"/>
      <c r="G389" s="5"/>
      <c r="J389" s="3"/>
      <c r="K389" s="3"/>
      <c r="L389" s="6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5"/>
      <c r="AA389" s="3"/>
      <c r="AB389" s="3"/>
      <c r="AC389" s="3"/>
      <c r="AD389" s="5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7"/>
      <c r="AX389" s="7"/>
      <c r="AY389" s="7"/>
      <c r="AZ389" s="7"/>
      <c r="BA389" s="8"/>
      <c r="BB389" s="3"/>
      <c r="BC389" s="3"/>
      <c r="BD389" s="3"/>
      <c r="BE389" s="3"/>
    </row>
    <row r="390" spans="1:57" x14ac:dyDescent="0.25">
      <c r="A390" s="2"/>
      <c r="D390" s="3"/>
      <c r="E390" s="4"/>
      <c r="F390" s="5"/>
      <c r="G390" s="5"/>
      <c r="J390" s="3"/>
      <c r="K390" s="3"/>
      <c r="L390" s="6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5"/>
      <c r="AA390" s="3"/>
      <c r="AB390" s="3"/>
      <c r="AC390" s="3"/>
      <c r="AD390" s="5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7"/>
      <c r="AX390" s="7"/>
      <c r="AY390" s="7"/>
      <c r="AZ390" s="7"/>
      <c r="BA390" s="8"/>
      <c r="BB390" s="3"/>
      <c r="BC390" s="3"/>
      <c r="BD390" s="3"/>
      <c r="BE390" s="3"/>
    </row>
    <row r="391" spans="1:57" x14ac:dyDescent="0.25">
      <c r="A391" s="2"/>
      <c r="D391" s="3"/>
      <c r="E391" s="4"/>
      <c r="F391" s="5"/>
      <c r="G391" s="5"/>
      <c r="J391" s="3"/>
      <c r="K391" s="3"/>
      <c r="L391" s="6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5"/>
      <c r="AA391" s="3"/>
      <c r="AB391" s="3"/>
      <c r="AC391" s="3"/>
      <c r="AD391" s="5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7"/>
      <c r="AX391" s="7"/>
      <c r="AY391" s="7"/>
      <c r="AZ391" s="7"/>
      <c r="BA391" s="8"/>
      <c r="BB391" s="3"/>
      <c r="BC391" s="3"/>
      <c r="BD391" s="3"/>
      <c r="BE391" s="3"/>
    </row>
    <row r="392" spans="1:57" x14ac:dyDescent="0.25">
      <c r="A392" s="2"/>
      <c r="D392" s="3"/>
      <c r="E392" s="4"/>
      <c r="F392" s="5"/>
      <c r="G392" s="5"/>
      <c r="J392" s="3"/>
      <c r="K392" s="3"/>
      <c r="L392" s="6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5"/>
      <c r="AA392" s="3"/>
      <c r="AB392" s="3"/>
      <c r="AC392" s="3"/>
      <c r="AD392" s="5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7"/>
      <c r="AX392" s="7"/>
      <c r="AY392" s="7"/>
      <c r="AZ392" s="7"/>
      <c r="BA392" s="8"/>
      <c r="BB392" s="3"/>
      <c r="BC392" s="3"/>
      <c r="BD392" s="3"/>
      <c r="BE392" s="3"/>
    </row>
    <row r="393" spans="1:57" x14ac:dyDescent="0.25">
      <c r="A393" s="2"/>
      <c r="D393" s="3"/>
      <c r="E393" s="4"/>
      <c r="F393" s="5"/>
      <c r="G393" s="5"/>
      <c r="J393" s="3"/>
      <c r="K393" s="3"/>
      <c r="L393" s="6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5"/>
      <c r="AA393" s="3"/>
      <c r="AB393" s="3"/>
      <c r="AC393" s="3"/>
      <c r="AD393" s="5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7"/>
      <c r="AX393" s="7"/>
      <c r="AY393" s="7"/>
      <c r="AZ393" s="7"/>
      <c r="BA393" s="8"/>
      <c r="BB393" s="3"/>
      <c r="BC393" s="3"/>
      <c r="BD393" s="3"/>
      <c r="BE393" s="3"/>
    </row>
    <row r="394" spans="1:57" x14ac:dyDescent="0.25">
      <c r="A394" s="2"/>
      <c r="D394" s="3"/>
      <c r="E394" s="4"/>
      <c r="F394" s="5"/>
      <c r="G394" s="5"/>
      <c r="J394" s="3"/>
      <c r="K394" s="3"/>
      <c r="L394" s="6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5"/>
      <c r="AA394" s="3"/>
      <c r="AB394" s="3"/>
      <c r="AC394" s="3"/>
      <c r="AD394" s="5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7"/>
      <c r="AX394" s="7"/>
      <c r="AY394" s="7"/>
      <c r="AZ394" s="7"/>
      <c r="BA394" s="8"/>
      <c r="BB394" s="3"/>
      <c r="BC394" s="3"/>
      <c r="BD394" s="3"/>
      <c r="BE394" s="3"/>
    </row>
    <row r="395" spans="1:57" x14ac:dyDescent="0.25">
      <c r="A395" s="2"/>
      <c r="D395" s="3"/>
      <c r="E395" s="4"/>
      <c r="F395" s="5"/>
      <c r="G395" s="5"/>
      <c r="J395" s="3"/>
      <c r="K395" s="3"/>
      <c r="L395" s="6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5"/>
      <c r="AA395" s="3"/>
      <c r="AB395" s="3"/>
      <c r="AC395" s="3"/>
      <c r="AD395" s="5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7"/>
      <c r="AX395" s="7"/>
      <c r="AY395" s="7"/>
      <c r="AZ395" s="7"/>
      <c r="BA395" s="8"/>
      <c r="BB395" s="3"/>
      <c r="BC395" s="3"/>
      <c r="BD395" s="3"/>
      <c r="BE395" s="3"/>
    </row>
    <row r="396" spans="1:57" x14ac:dyDescent="0.25">
      <c r="A396" s="2"/>
      <c r="D396" s="3"/>
      <c r="E396" s="4"/>
      <c r="F396" s="5"/>
      <c r="G396" s="5"/>
      <c r="J396" s="3"/>
      <c r="K396" s="3"/>
      <c r="L396" s="6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5"/>
      <c r="AA396" s="3"/>
      <c r="AB396" s="3"/>
      <c r="AC396" s="3"/>
      <c r="AD396" s="5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7"/>
      <c r="AX396" s="7"/>
      <c r="AY396" s="7"/>
      <c r="AZ396" s="7"/>
      <c r="BA396" s="8"/>
      <c r="BB396" s="3"/>
      <c r="BC396" s="3"/>
      <c r="BD396" s="3"/>
      <c r="BE396" s="3"/>
    </row>
    <row r="397" spans="1:57" x14ac:dyDescent="0.25">
      <c r="A397" s="2"/>
      <c r="D397" s="3"/>
      <c r="E397" s="4"/>
      <c r="F397" s="5"/>
      <c r="G397" s="5"/>
      <c r="J397" s="3"/>
      <c r="K397" s="3"/>
      <c r="L397" s="6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5"/>
      <c r="AA397" s="3"/>
      <c r="AB397" s="3"/>
      <c r="AC397" s="3"/>
      <c r="AD397" s="5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7"/>
      <c r="AX397" s="7"/>
      <c r="AY397" s="7"/>
      <c r="AZ397" s="7"/>
      <c r="BA397" s="8"/>
      <c r="BB397" s="3"/>
      <c r="BC397" s="3"/>
      <c r="BD397" s="3"/>
      <c r="BE397" s="3"/>
    </row>
    <row r="398" spans="1:57" x14ac:dyDescent="0.25">
      <c r="A398" s="2"/>
      <c r="D398" s="3"/>
      <c r="E398" s="4"/>
      <c r="F398" s="5"/>
      <c r="G398" s="5"/>
      <c r="J398" s="3"/>
      <c r="K398" s="3"/>
      <c r="L398" s="6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5"/>
      <c r="AA398" s="3"/>
      <c r="AB398" s="3"/>
      <c r="AC398" s="3"/>
      <c r="AD398" s="5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7"/>
      <c r="AX398" s="7"/>
      <c r="AY398" s="7"/>
      <c r="AZ398" s="7"/>
      <c r="BA398" s="8"/>
      <c r="BB398" s="3"/>
      <c r="BC398" s="3"/>
      <c r="BD398" s="3"/>
      <c r="BE398" s="3"/>
    </row>
    <row r="399" spans="1:57" x14ac:dyDescent="0.25">
      <c r="A399" s="2"/>
      <c r="D399" s="3"/>
      <c r="E399" s="4"/>
      <c r="F399" s="5"/>
      <c r="G399" s="5"/>
      <c r="J399" s="3"/>
      <c r="K399" s="3"/>
      <c r="L399" s="6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5"/>
      <c r="AA399" s="3"/>
      <c r="AB399" s="3"/>
      <c r="AC399" s="3"/>
      <c r="AD399" s="5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7"/>
      <c r="AX399" s="7"/>
      <c r="AY399" s="7"/>
      <c r="AZ399" s="7"/>
      <c r="BA399" s="8"/>
      <c r="BB399" s="3"/>
      <c r="BC399" s="3"/>
      <c r="BD399" s="3"/>
      <c r="BE399" s="3"/>
    </row>
    <row r="400" spans="1:57" x14ac:dyDescent="0.25">
      <c r="A400" s="2"/>
      <c r="D400" s="3"/>
      <c r="E400" s="4"/>
      <c r="F400" s="5"/>
      <c r="G400" s="5"/>
      <c r="J400" s="3"/>
      <c r="K400" s="3"/>
      <c r="L400" s="6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5"/>
      <c r="AA400" s="3"/>
      <c r="AB400" s="3"/>
      <c r="AC400" s="3"/>
      <c r="AD400" s="5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7"/>
      <c r="AX400" s="7"/>
      <c r="AY400" s="7"/>
      <c r="AZ400" s="7"/>
      <c r="BA400" s="8"/>
      <c r="BB400" s="3"/>
      <c r="BC400" s="3"/>
      <c r="BD400" s="3"/>
      <c r="BE400" s="3"/>
    </row>
    <row r="401" spans="1:57" x14ac:dyDescent="0.25">
      <c r="A401" s="2"/>
      <c r="D401" s="3"/>
      <c r="E401" s="4"/>
      <c r="F401" s="5"/>
      <c r="G401" s="5"/>
      <c r="J401" s="3"/>
      <c r="K401" s="3"/>
      <c r="L401" s="6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5"/>
      <c r="AA401" s="3"/>
      <c r="AB401" s="3"/>
      <c r="AC401" s="3"/>
      <c r="AD401" s="5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7"/>
      <c r="AX401" s="7"/>
      <c r="AY401" s="7"/>
      <c r="AZ401" s="7"/>
      <c r="BA401" s="8"/>
      <c r="BB401" s="3"/>
      <c r="BC401" s="3"/>
      <c r="BD401" s="3"/>
      <c r="BE401" s="3"/>
    </row>
    <row r="402" spans="1:57" x14ac:dyDescent="0.25">
      <c r="A402" s="2"/>
      <c r="D402" s="3"/>
      <c r="E402" s="4"/>
      <c r="F402" s="5"/>
      <c r="G402" s="5"/>
      <c r="J402" s="3"/>
      <c r="K402" s="3"/>
      <c r="L402" s="6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5"/>
      <c r="AA402" s="3"/>
      <c r="AB402" s="3"/>
      <c r="AC402" s="3"/>
      <c r="AD402" s="5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7"/>
      <c r="AX402" s="7"/>
      <c r="AY402" s="7"/>
      <c r="AZ402" s="7"/>
      <c r="BA402" s="8"/>
      <c r="BB402" s="3"/>
      <c r="BC402" s="3"/>
      <c r="BD402" s="3"/>
      <c r="BE402" s="3"/>
    </row>
    <row r="403" spans="1:57" x14ac:dyDescent="0.25">
      <c r="A403" s="2"/>
      <c r="D403" s="3"/>
      <c r="E403" s="4"/>
      <c r="F403" s="5"/>
      <c r="G403" s="5"/>
      <c r="J403" s="3"/>
      <c r="K403" s="3"/>
      <c r="L403" s="6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5"/>
      <c r="AA403" s="3"/>
      <c r="AB403" s="3"/>
      <c r="AC403" s="3"/>
      <c r="AD403" s="5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7"/>
      <c r="AX403" s="7"/>
      <c r="AY403" s="7"/>
      <c r="AZ403" s="7"/>
      <c r="BA403" s="8"/>
      <c r="BB403" s="3"/>
      <c r="BC403" s="3"/>
      <c r="BD403" s="3"/>
      <c r="BE403" s="3"/>
    </row>
    <row r="404" spans="1:57" x14ac:dyDescent="0.25">
      <c r="A404" s="2"/>
      <c r="D404" s="3"/>
      <c r="E404" s="4"/>
      <c r="F404" s="5"/>
      <c r="G404" s="5"/>
      <c r="J404" s="3"/>
      <c r="K404" s="3"/>
      <c r="L404" s="6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5"/>
      <c r="AA404" s="3"/>
      <c r="AB404" s="3"/>
      <c r="AC404" s="3"/>
      <c r="AD404" s="5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7"/>
      <c r="AX404" s="7"/>
      <c r="AY404" s="7"/>
      <c r="AZ404" s="7"/>
      <c r="BA404" s="8"/>
      <c r="BB404" s="3"/>
      <c r="BC404" s="3"/>
      <c r="BD404" s="3"/>
      <c r="BE404" s="3"/>
    </row>
    <row r="405" spans="1:57" x14ac:dyDescent="0.25">
      <c r="A405" s="2"/>
      <c r="D405" s="3"/>
      <c r="E405" s="4"/>
      <c r="F405" s="5"/>
      <c r="G405" s="5"/>
      <c r="J405" s="3"/>
      <c r="K405" s="3"/>
      <c r="L405" s="6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5"/>
      <c r="AA405" s="3"/>
      <c r="AB405" s="3"/>
      <c r="AC405" s="3"/>
      <c r="AD405" s="5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7"/>
      <c r="AX405" s="7"/>
      <c r="AY405" s="7"/>
      <c r="AZ405" s="7"/>
      <c r="BA405" s="8"/>
      <c r="BB405" s="3"/>
      <c r="BC405" s="3"/>
      <c r="BD405" s="3"/>
      <c r="BE405" s="3"/>
    </row>
    <row r="406" spans="1:57" x14ac:dyDescent="0.25">
      <c r="A406" s="2"/>
      <c r="D406" s="3"/>
      <c r="E406" s="4"/>
      <c r="F406" s="5"/>
      <c r="G406" s="5"/>
      <c r="J406" s="3"/>
      <c r="K406" s="3"/>
      <c r="L406" s="6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5"/>
      <c r="AA406" s="3"/>
      <c r="AB406" s="3"/>
      <c r="AC406" s="3"/>
      <c r="AD406" s="5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7"/>
      <c r="AX406" s="7"/>
      <c r="AY406" s="7"/>
      <c r="AZ406" s="7"/>
      <c r="BA406" s="8"/>
      <c r="BB406" s="3"/>
      <c r="BC406" s="3"/>
      <c r="BD406" s="3"/>
      <c r="BE406" s="3"/>
    </row>
    <row r="407" spans="1:57" x14ac:dyDescent="0.25">
      <c r="A407" s="2"/>
      <c r="D407" s="3"/>
      <c r="E407" s="4"/>
      <c r="F407" s="5"/>
      <c r="G407" s="5"/>
      <c r="J407" s="3"/>
      <c r="K407" s="3"/>
      <c r="L407" s="6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5"/>
      <c r="AA407" s="3"/>
      <c r="AB407" s="3"/>
      <c r="AC407" s="3"/>
      <c r="AD407" s="5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7"/>
      <c r="AX407" s="7"/>
      <c r="AY407" s="7"/>
      <c r="AZ407" s="7"/>
      <c r="BA407" s="8"/>
      <c r="BB407" s="3"/>
      <c r="BC407" s="3"/>
      <c r="BD407" s="3"/>
      <c r="BE407" s="3"/>
    </row>
    <row r="408" spans="1:57" x14ac:dyDescent="0.25">
      <c r="A408" s="2"/>
      <c r="D408" s="3"/>
      <c r="E408" s="4"/>
      <c r="F408" s="5"/>
      <c r="G408" s="5"/>
      <c r="J408" s="3"/>
      <c r="K408" s="3"/>
      <c r="L408" s="6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5"/>
      <c r="AA408" s="3"/>
      <c r="AB408" s="3"/>
      <c r="AC408" s="3"/>
      <c r="AD408" s="5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7"/>
      <c r="AX408" s="7"/>
      <c r="AY408" s="7"/>
      <c r="AZ408" s="7"/>
      <c r="BA408" s="8"/>
      <c r="BB408" s="3"/>
      <c r="BC408" s="3"/>
      <c r="BD408" s="3"/>
      <c r="BE408" s="3"/>
    </row>
    <row r="409" spans="1:57" x14ac:dyDescent="0.25">
      <c r="A409" s="2"/>
      <c r="D409" s="3"/>
      <c r="E409" s="4"/>
      <c r="F409" s="5"/>
      <c r="G409" s="5"/>
      <c r="J409" s="3"/>
      <c r="K409" s="3"/>
      <c r="L409" s="6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5"/>
      <c r="AA409" s="3"/>
      <c r="AB409" s="3"/>
      <c r="AC409" s="3"/>
      <c r="AD409" s="5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7"/>
      <c r="AX409" s="7"/>
      <c r="AY409" s="7"/>
      <c r="AZ409" s="7"/>
      <c r="BA409" s="8"/>
      <c r="BB409" s="3"/>
      <c r="BC409" s="3"/>
      <c r="BD409" s="3"/>
      <c r="BE409" s="3"/>
    </row>
    <row r="410" spans="1:57" x14ac:dyDescent="0.25">
      <c r="A410" s="2"/>
      <c r="D410" s="3"/>
      <c r="E410" s="4"/>
      <c r="F410" s="5"/>
      <c r="G410" s="5"/>
      <c r="J410" s="3"/>
      <c r="K410" s="3"/>
      <c r="L410" s="6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5"/>
      <c r="AA410" s="3"/>
      <c r="AB410" s="3"/>
      <c r="AC410" s="3"/>
      <c r="AD410" s="5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7"/>
      <c r="AX410" s="7"/>
      <c r="AY410" s="7"/>
      <c r="AZ410" s="7"/>
      <c r="BA410" s="8"/>
      <c r="BB410" s="3"/>
      <c r="BC410" s="3"/>
      <c r="BD410" s="3"/>
      <c r="BE410" s="3"/>
    </row>
    <row r="411" spans="1:57" x14ac:dyDescent="0.25">
      <c r="A411" s="2"/>
      <c r="D411" s="3"/>
      <c r="E411" s="4"/>
      <c r="F411" s="5"/>
      <c r="G411" s="5"/>
      <c r="J411" s="3"/>
      <c r="K411" s="3"/>
      <c r="L411" s="6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5"/>
      <c r="AA411" s="3"/>
      <c r="AB411" s="3"/>
      <c r="AC411" s="3"/>
      <c r="AD411" s="5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7"/>
      <c r="AX411" s="7"/>
      <c r="AY411" s="7"/>
      <c r="AZ411" s="7"/>
      <c r="BA411" s="8"/>
      <c r="BB411" s="3"/>
      <c r="BC411" s="3"/>
      <c r="BD411" s="3"/>
      <c r="BE411" s="3"/>
    </row>
    <row r="412" spans="1:57" x14ac:dyDescent="0.25">
      <c r="A412" s="2"/>
      <c r="D412" s="3"/>
      <c r="E412" s="4"/>
      <c r="F412" s="5"/>
      <c r="G412" s="5"/>
      <c r="J412" s="3"/>
      <c r="K412" s="3"/>
      <c r="L412" s="6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5"/>
      <c r="AA412" s="3"/>
      <c r="AB412" s="3"/>
      <c r="AC412" s="3"/>
      <c r="AD412" s="5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7"/>
      <c r="AX412" s="7"/>
      <c r="AY412" s="7"/>
      <c r="AZ412" s="7"/>
      <c r="BA412" s="8"/>
      <c r="BB412" s="3"/>
      <c r="BC412" s="3"/>
      <c r="BD412" s="3"/>
      <c r="BE412" s="3"/>
    </row>
    <row r="413" spans="1:57" x14ac:dyDescent="0.25">
      <c r="A413" s="2"/>
      <c r="D413" s="3"/>
      <c r="E413" s="4"/>
      <c r="F413" s="5"/>
      <c r="G413" s="5"/>
      <c r="J413" s="3"/>
      <c r="K413" s="3"/>
      <c r="L413" s="6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5"/>
      <c r="AA413" s="3"/>
      <c r="AB413" s="3"/>
      <c r="AC413" s="3"/>
      <c r="AD413" s="5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7"/>
      <c r="AX413" s="7"/>
      <c r="AY413" s="7"/>
      <c r="AZ413" s="7"/>
      <c r="BA413" s="8"/>
      <c r="BB413" s="3"/>
      <c r="BC413" s="3"/>
      <c r="BD413" s="3"/>
      <c r="BE413" s="3"/>
    </row>
    <row r="414" spans="1:57" x14ac:dyDescent="0.25">
      <c r="A414" s="2"/>
      <c r="D414" s="3"/>
      <c r="E414" s="4"/>
      <c r="F414" s="5"/>
      <c r="G414" s="5"/>
      <c r="J414" s="3"/>
      <c r="K414" s="3"/>
      <c r="L414" s="6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5"/>
      <c r="AA414" s="3"/>
      <c r="AB414" s="3"/>
      <c r="AC414" s="3"/>
      <c r="AD414" s="5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7"/>
      <c r="AX414" s="7"/>
      <c r="AY414" s="7"/>
      <c r="AZ414" s="7"/>
      <c r="BA414" s="8"/>
      <c r="BB414" s="3"/>
      <c r="BC414" s="3"/>
      <c r="BD414" s="3"/>
      <c r="BE414" s="3"/>
    </row>
    <row r="415" spans="1:57" x14ac:dyDescent="0.25">
      <c r="A415" s="2"/>
      <c r="D415" s="3"/>
      <c r="E415" s="4"/>
      <c r="F415" s="5"/>
      <c r="G415" s="5"/>
      <c r="J415" s="3"/>
      <c r="K415" s="3"/>
      <c r="L415" s="6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5"/>
      <c r="AA415" s="3"/>
      <c r="AB415" s="3"/>
      <c r="AC415" s="3"/>
      <c r="AD415" s="5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7"/>
      <c r="AX415" s="7"/>
      <c r="AY415" s="7"/>
      <c r="AZ415" s="7"/>
      <c r="BA415" s="8"/>
      <c r="BB415" s="3"/>
      <c r="BC415" s="3"/>
      <c r="BD415" s="3"/>
      <c r="BE415" s="3"/>
    </row>
    <row r="416" spans="1:57" x14ac:dyDescent="0.25">
      <c r="A416" s="2"/>
      <c r="D416" s="3"/>
      <c r="E416" s="4"/>
      <c r="F416" s="5"/>
      <c r="G416" s="5"/>
      <c r="J416" s="3"/>
      <c r="K416" s="3"/>
      <c r="L416" s="6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5"/>
      <c r="AA416" s="3"/>
      <c r="AB416" s="3"/>
      <c r="AC416" s="3"/>
      <c r="AD416" s="5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7"/>
      <c r="AX416" s="7"/>
      <c r="AY416" s="7"/>
      <c r="AZ416" s="7"/>
      <c r="BA416" s="8"/>
      <c r="BB416" s="3"/>
      <c r="BC416" s="3"/>
      <c r="BD416" s="3"/>
      <c r="BE416" s="3"/>
    </row>
    <row r="417" spans="1:57" x14ac:dyDescent="0.25">
      <c r="A417" s="2"/>
      <c r="D417" s="3"/>
      <c r="E417" s="4"/>
      <c r="F417" s="5"/>
      <c r="G417" s="5"/>
      <c r="J417" s="3"/>
      <c r="K417" s="3"/>
      <c r="L417" s="6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5"/>
      <c r="AA417" s="3"/>
      <c r="AB417" s="3"/>
      <c r="AC417" s="3"/>
      <c r="AD417" s="5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7"/>
      <c r="AX417" s="7"/>
      <c r="AY417" s="7"/>
      <c r="AZ417" s="7"/>
      <c r="BA417" s="8"/>
      <c r="BB417" s="3"/>
      <c r="BC417" s="3"/>
      <c r="BD417" s="3"/>
      <c r="BE417" s="3"/>
    </row>
    <row r="418" spans="1:57" x14ac:dyDescent="0.25">
      <c r="A418" s="2"/>
      <c r="D418" s="3"/>
      <c r="E418" s="4"/>
      <c r="F418" s="5"/>
      <c r="G418" s="5"/>
      <c r="J418" s="3"/>
      <c r="K418" s="3"/>
      <c r="L418" s="6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5"/>
      <c r="AA418" s="3"/>
      <c r="AB418" s="3"/>
      <c r="AC418" s="3"/>
      <c r="AD418" s="5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7"/>
      <c r="AX418" s="7"/>
      <c r="AY418" s="7"/>
      <c r="AZ418" s="7"/>
      <c r="BA418" s="8"/>
      <c r="BB418" s="3"/>
      <c r="BC418" s="3"/>
      <c r="BD418" s="3"/>
      <c r="BE418" s="3"/>
    </row>
    <row r="419" spans="1:57" x14ac:dyDescent="0.25">
      <c r="A419" s="2"/>
      <c r="D419" s="3"/>
      <c r="E419" s="4"/>
      <c r="F419" s="5"/>
      <c r="G419" s="5"/>
      <c r="J419" s="3"/>
      <c r="K419" s="3"/>
      <c r="L419" s="6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5"/>
      <c r="AA419" s="3"/>
      <c r="AB419" s="3"/>
      <c r="AC419" s="3"/>
      <c r="AD419" s="5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7"/>
      <c r="AX419" s="7"/>
      <c r="AY419" s="7"/>
      <c r="AZ419" s="7"/>
      <c r="BA419" s="8"/>
      <c r="BB419" s="3"/>
      <c r="BC419" s="3"/>
      <c r="BD419" s="3"/>
      <c r="BE419" s="3"/>
    </row>
    <row r="420" spans="1:57" x14ac:dyDescent="0.25">
      <c r="A420" s="2"/>
      <c r="D420" s="3"/>
      <c r="E420" s="4"/>
      <c r="F420" s="5"/>
      <c r="G420" s="5"/>
      <c r="J420" s="3"/>
      <c r="K420" s="3"/>
      <c r="L420" s="6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5"/>
      <c r="AA420" s="3"/>
      <c r="AB420" s="3"/>
      <c r="AC420" s="3"/>
      <c r="AD420" s="5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7"/>
      <c r="AX420" s="7"/>
      <c r="AY420" s="7"/>
      <c r="AZ420" s="7"/>
      <c r="BA420" s="8"/>
      <c r="BB420" s="3"/>
      <c r="BC420" s="3"/>
      <c r="BD420" s="3"/>
      <c r="BE420" s="3"/>
    </row>
    <row r="421" spans="1:57" x14ac:dyDescent="0.25">
      <c r="A421" s="2"/>
      <c r="D421" s="3"/>
      <c r="E421" s="4"/>
      <c r="F421" s="5"/>
      <c r="G421" s="5"/>
      <c r="J421" s="3"/>
      <c r="K421" s="3"/>
      <c r="L421" s="6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5"/>
      <c r="AA421" s="3"/>
      <c r="AB421" s="3"/>
      <c r="AC421" s="3"/>
      <c r="AD421" s="5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7"/>
      <c r="AX421" s="7"/>
      <c r="AY421" s="7"/>
      <c r="AZ421" s="7"/>
      <c r="BA421" s="8"/>
      <c r="BB421" s="3"/>
      <c r="BC421" s="3"/>
      <c r="BD421" s="3"/>
      <c r="BE421" s="3"/>
    </row>
    <row r="422" spans="1:57" x14ac:dyDescent="0.25">
      <c r="A422" s="2"/>
      <c r="D422" s="3"/>
      <c r="E422" s="4"/>
      <c r="F422" s="5"/>
      <c r="G422" s="5"/>
      <c r="J422" s="3"/>
      <c r="K422" s="3"/>
      <c r="L422" s="6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5"/>
      <c r="AA422" s="3"/>
      <c r="AB422" s="3"/>
      <c r="AC422" s="3"/>
      <c r="AD422" s="5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7"/>
      <c r="AX422" s="7"/>
      <c r="AY422" s="7"/>
      <c r="AZ422" s="7"/>
      <c r="BA422" s="8"/>
      <c r="BB422" s="3"/>
      <c r="BC422" s="3"/>
      <c r="BD422" s="3"/>
      <c r="BE422" s="3"/>
    </row>
    <row r="423" spans="1:57" x14ac:dyDescent="0.25">
      <c r="A423" s="2"/>
      <c r="D423" s="3"/>
      <c r="E423" s="4"/>
      <c r="F423" s="5"/>
      <c r="G423" s="5"/>
      <c r="J423" s="3"/>
      <c r="K423" s="3"/>
      <c r="L423" s="6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5"/>
      <c r="AA423" s="3"/>
      <c r="AB423" s="3"/>
      <c r="AC423" s="3"/>
      <c r="AD423" s="5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7"/>
      <c r="AX423" s="7"/>
      <c r="AY423" s="7"/>
      <c r="AZ423" s="7"/>
      <c r="BA423" s="8"/>
      <c r="BB423" s="3"/>
      <c r="BC423" s="3"/>
      <c r="BD423" s="3"/>
      <c r="BE423" s="3"/>
    </row>
    <row r="424" spans="1:57" x14ac:dyDescent="0.25">
      <c r="A424" s="2"/>
      <c r="D424" s="3"/>
      <c r="E424" s="4"/>
      <c r="F424" s="5"/>
      <c r="G424" s="5"/>
      <c r="J424" s="3"/>
      <c r="K424" s="3"/>
      <c r="L424" s="6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5"/>
      <c r="AA424" s="3"/>
      <c r="AB424" s="3"/>
      <c r="AC424" s="3"/>
      <c r="AD424" s="5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7"/>
      <c r="AX424" s="7"/>
      <c r="AY424" s="7"/>
      <c r="AZ424" s="7"/>
      <c r="BA424" s="8"/>
      <c r="BB424" s="3"/>
      <c r="BC424" s="3"/>
      <c r="BD424" s="3"/>
      <c r="BE424" s="3"/>
    </row>
    <row r="425" spans="1:57" x14ac:dyDescent="0.25">
      <c r="A425" s="2"/>
      <c r="D425" s="3"/>
      <c r="E425" s="4"/>
      <c r="F425" s="5"/>
      <c r="G425" s="5"/>
      <c r="J425" s="3"/>
      <c r="K425" s="3"/>
      <c r="L425" s="6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5"/>
      <c r="AA425" s="3"/>
      <c r="AB425" s="3"/>
      <c r="AC425" s="3"/>
      <c r="AD425" s="5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7"/>
      <c r="AX425" s="7"/>
      <c r="AY425" s="7"/>
      <c r="AZ425" s="7"/>
      <c r="BA425" s="8"/>
      <c r="BB425" s="3"/>
      <c r="BC425" s="3"/>
      <c r="BD425" s="3"/>
      <c r="BE425" s="3"/>
    </row>
    <row r="426" spans="1:57" x14ac:dyDescent="0.25">
      <c r="A426" s="2"/>
      <c r="D426" s="3"/>
      <c r="E426" s="4"/>
      <c r="F426" s="5"/>
      <c r="G426" s="5"/>
      <c r="J426" s="3"/>
      <c r="K426" s="3"/>
      <c r="L426" s="6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5"/>
      <c r="AA426" s="3"/>
      <c r="AB426" s="3"/>
      <c r="AC426" s="3"/>
      <c r="AD426" s="5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7"/>
      <c r="AX426" s="7"/>
      <c r="AY426" s="7"/>
      <c r="AZ426" s="7"/>
      <c r="BA426" s="8"/>
      <c r="BB426" s="3"/>
      <c r="BC426" s="3"/>
      <c r="BD426" s="3"/>
      <c r="BE426" s="3"/>
    </row>
    <row r="427" spans="1:57" x14ac:dyDescent="0.25">
      <c r="A427" s="2"/>
      <c r="D427" s="3"/>
      <c r="E427" s="4"/>
      <c r="F427" s="5"/>
      <c r="G427" s="5"/>
      <c r="J427" s="3"/>
      <c r="K427" s="3"/>
      <c r="L427" s="6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5"/>
      <c r="AA427" s="3"/>
      <c r="AB427" s="3"/>
      <c r="AC427" s="3"/>
      <c r="AD427" s="5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7"/>
      <c r="AX427" s="7"/>
      <c r="AY427" s="7"/>
      <c r="AZ427" s="7"/>
      <c r="BA427" s="8"/>
      <c r="BB427" s="3"/>
      <c r="BC427" s="3"/>
      <c r="BD427" s="3"/>
      <c r="BE427" s="3"/>
    </row>
    <row r="428" spans="1:57" x14ac:dyDescent="0.25">
      <c r="A428" s="2"/>
      <c r="D428" s="3"/>
      <c r="E428" s="4"/>
      <c r="F428" s="5"/>
      <c r="G428" s="5"/>
      <c r="J428" s="3"/>
      <c r="K428" s="3"/>
      <c r="L428" s="6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5"/>
      <c r="AA428" s="3"/>
      <c r="AB428" s="3"/>
      <c r="AC428" s="3"/>
      <c r="AD428" s="5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7"/>
      <c r="AX428" s="7"/>
      <c r="AY428" s="7"/>
      <c r="AZ428" s="7"/>
      <c r="BA428" s="8"/>
      <c r="BB428" s="3"/>
      <c r="BC428" s="3"/>
      <c r="BD428" s="3"/>
      <c r="BE428" s="3"/>
    </row>
    <row r="429" spans="1:57" x14ac:dyDescent="0.25">
      <c r="A429" s="2"/>
      <c r="D429" s="3"/>
      <c r="E429" s="4"/>
      <c r="F429" s="5"/>
      <c r="G429" s="5"/>
      <c r="J429" s="3"/>
      <c r="K429" s="3"/>
      <c r="L429" s="6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5"/>
      <c r="AA429" s="3"/>
      <c r="AB429" s="3"/>
      <c r="AC429" s="3"/>
      <c r="AD429" s="5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7"/>
      <c r="AX429" s="7"/>
      <c r="AY429" s="7"/>
      <c r="AZ429" s="7"/>
      <c r="BA429" s="8"/>
      <c r="BB429" s="3"/>
      <c r="BC429" s="3"/>
      <c r="BD429" s="3"/>
      <c r="BE429" s="3"/>
    </row>
    <row r="430" spans="1:57" x14ac:dyDescent="0.25">
      <c r="A430" s="2"/>
      <c r="D430" s="3"/>
      <c r="E430" s="4"/>
      <c r="F430" s="5"/>
      <c r="G430" s="5"/>
      <c r="J430" s="3"/>
      <c r="K430" s="3"/>
      <c r="L430" s="6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5"/>
      <c r="AA430" s="3"/>
      <c r="AB430" s="3"/>
      <c r="AC430" s="3"/>
      <c r="AD430" s="5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7"/>
      <c r="AX430" s="7"/>
      <c r="AY430" s="7"/>
      <c r="AZ430" s="7"/>
      <c r="BA430" s="8"/>
      <c r="BB430" s="3"/>
      <c r="BC430" s="3"/>
      <c r="BD430" s="3"/>
      <c r="BE430" s="3"/>
    </row>
    <row r="431" spans="1:57" x14ac:dyDescent="0.25">
      <c r="A431" s="2"/>
      <c r="D431" s="3"/>
      <c r="E431" s="4"/>
      <c r="F431" s="5"/>
      <c r="G431" s="5"/>
      <c r="J431" s="3"/>
      <c r="K431" s="3"/>
      <c r="L431" s="6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5"/>
      <c r="AA431" s="3"/>
      <c r="AB431" s="3"/>
      <c r="AC431" s="3"/>
      <c r="AD431" s="5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7"/>
      <c r="AX431" s="7"/>
      <c r="AY431" s="7"/>
      <c r="AZ431" s="7"/>
      <c r="BA431" s="8"/>
      <c r="BB431" s="3"/>
      <c r="BC431" s="3"/>
      <c r="BD431" s="3"/>
      <c r="BE431" s="3"/>
    </row>
    <row r="432" spans="1:57" x14ac:dyDescent="0.25">
      <c r="A432" s="2"/>
      <c r="D432" s="3"/>
      <c r="E432" s="4"/>
      <c r="F432" s="5"/>
      <c r="G432" s="5"/>
      <c r="J432" s="3"/>
      <c r="K432" s="3"/>
      <c r="L432" s="6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5"/>
      <c r="AA432" s="3"/>
      <c r="AB432" s="3"/>
      <c r="AC432" s="3"/>
      <c r="AD432" s="5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7"/>
      <c r="AX432" s="7"/>
      <c r="AY432" s="7"/>
      <c r="AZ432" s="7"/>
      <c r="BA432" s="8"/>
      <c r="BB432" s="3"/>
      <c r="BC432" s="3"/>
      <c r="BD432" s="3"/>
      <c r="BE432" s="3"/>
    </row>
    <row r="433" spans="1:57" x14ac:dyDescent="0.25">
      <c r="A433" s="2"/>
      <c r="D433" s="3"/>
      <c r="E433" s="4"/>
      <c r="F433" s="5"/>
      <c r="G433" s="5"/>
      <c r="J433" s="3"/>
      <c r="K433" s="3"/>
      <c r="L433" s="6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5"/>
      <c r="AA433" s="3"/>
      <c r="AB433" s="3"/>
      <c r="AC433" s="3"/>
      <c r="AD433" s="5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7"/>
      <c r="AX433" s="7"/>
      <c r="AY433" s="7"/>
      <c r="AZ433" s="7"/>
      <c r="BA433" s="8"/>
      <c r="BB433" s="3"/>
      <c r="BC433" s="3"/>
      <c r="BD433" s="3"/>
      <c r="BE433" s="3"/>
    </row>
    <row r="434" spans="1:57" x14ac:dyDescent="0.25">
      <c r="A434" s="2"/>
      <c r="D434" s="3"/>
      <c r="E434" s="4"/>
      <c r="F434" s="5"/>
      <c r="G434" s="5"/>
      <c r="J434" s="3"/>
      <c r="K434" s="3"/>
      <c r="L434" s="6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5"/>
      <c r="AA434" s="3"/>
      <c r="AB434" s="3"/>
      <c r="AC434" s="3"/>
      <c r="AD434" s="5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7"/>
      <c r="AX434" s="7"/>
      <c r="AY434" s="7"/>
      <c r="AZ434" s="7"/>
      <c r="BA434" s="8"/>
      <c r="BB434" s="3"/>
      <c r="BC434" s="3"/>
      <c r="BD434" s="3"/>
      <c r="BE434" s="3"/>
    </row>
    <row r="435" spans="1:57" x14ac:dyDescent="0.25">
      <c r="A435" s="2"/>
      <c r="D435" s="3"/>
      <c r="E435" s="4"/>
      <c r="F435" s="5"/>
      <c r="G435" s="5"/>
      <c r="J435" s="3"/>
      <c r="K435" s="3"/>
      <c r="L435" s="6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5"/>
      <c r="AA435" s="3"/>
      <c r="AB435" s="3"/>
      <c r="AC435" s="3"/>
      <c r="AD435" s="5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7"/>
      <c r="AX435" s="7"/>
      <c r="AY435" s="7"/>
      <c r="AZ435" s="7"/>
      <c r="BA435" s="8"/>
      <c r="BB435" s="3"/>
      <c r="BC435" s="3"/>
      <c r="BD435" s="3"/>
      <c r="BE435" s="3"/>
    </row>
    <row r="436" spans="1:57" x14ac:dyDescent="0.25">
      <c r="A436" s="2"/>
      <c r="D436" s="3"/>
      <c r="E436" s="4"/>
      <c r="F436" s="5"/>
      <c r="G436" s="5"/>
      <c r="J436" s="3"/>
      <c r="K436" s="3"/>
      <c r="L436" s="6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5"/>
      <c r="AA436" s="3"/>
      <c r="AB436" s="3"/>
      <c r="AC436" s="3"/>
      <c r="AD436" s="5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7"/>
      <c r="AX436" s="7"/>
      <c r="AY436" s="7"/>
      <c r="AZ436" s="7"/>
      <c r="BA436" s="8"/>
      <c r="BB436" s="3"/>
      <c r="BC436" s="3"/>
      <c r="BD436" s="3"/>
      <c r="BE436" s="3"/>
    </row>
    <row r="437" spans="1:57" x14ac:dyDescent="0.25">
      <c r="A437" s="2"/>
      <c r="D437" s="3"/>
      <c r="E437" s="4"/>
      <c r="F437" s="5"/>
      <c r="G437" s="5"/>
      <c r="J437" s="3"/>
      <c r="K437" s="3"/>
      <c r="L437" s="6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5"/>
      <c r="AA437" s="3"/>
      <c r="AB437" s="3"/>
      <c r="AC437" s="3"/>
      <c r="AD437" s="5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7"/>
      <c r="AX437" s="7"/>
      <c r="AY437" s="7"/>
      <c r="AZ437" s="7"/>
      <c r="BA437" s="8"/>
      <c r="BB437" s="3"/>
      <c r="BC437" s="3"/>
      <c r="BD437" s="3"/>
      <c r="BE437" s="3"/>
    </row>
    <row r="438" spans="1:57" x14ac:dyDescent="0.25">
      <c r="A438" s="2"/>
      <c r="D438" s="3"/>
      <c r="E438" s="4"/>
      <c r="F438" s="5"/>
      <c r="G438" s="5"/>
      <c r="J438" s="3"/>
      <c r="K438" s="3"/>
      <c r="L438" s="6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5"/>
      <c r="AA438" s="3"/>
      <c r="AB438" s="3"/>
      <c r="AC438" s="3"/>
      <c r="AD438" s="5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7"/>
      <c r="AX438" s="7"/>
      <c r="AY438" s="7"/>
      <c r="AZ438" s="7"/>
      <c r="BA438" s="8"/>
      <c r="BB438" s="3"/>
      <c r="BC438" s="3"/>
      <c r="BD438" s="3"/>
      <c r="BE438" s="3"/>
    </row>
    <row r="439" spans="1:57" x14ac:dyDescent="0.25">
      <c r="A439" s="2"/>
      <c r="D439" s="3"/>
      <c r="E439" s="4"/>
      <c r="F439" s="5"/>
      <c r="G439" s="5"/>
      <c r="J439" s="3"/>
      <c r="K439" s="3"/>
      <c r="L439" s="6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5"/>
      <c r="AA439" s="3"/>
      <c r="AB439" s="3"/>
      <c r="AC439" s="3"/>
      <c r="AD439" s="5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7"/>
      <c r="AX439" s="7"/>
      <c r="AY439" s="7"/>
      <c r="AZ439" s="7"/>
      <c r="BA439" s="8"/>
      <c r="BB439" s="3"/>
      <c r="BC439" s="3"/>
      <c r="BD439" s="3"/>
      <c r="BE439" s="3"/>
    </row>
    <row r="440" spans="1:57" x14ac:dyDescent="0.25">
      <c r="A440" s="2"/>
      <c r="D440" s="3"/>
      <c r="E440" s="4"/>
      <c r="F440" s="5"/>
      <c r="G440" s="5"/>
      <c r="J440" s="3"/>
      <c r="K440" s="3"/>
      <c r="L440" s="6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5"/>
      <c r="AA440" s="3"/>
      <c r="AB440" s="3"/>
      <c r="AC440" s="3"/>
      <c r="AD440" s="5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7"/>
      <c r="AX440" s="7"/>
      <c r="AY440" s="7"/>
      <c r="AZ440" s="7"/>
      <c r="BA440" s="8"/>
      <c r="BB440" s="3"/>
      <c r="BC440" s="3"/>
      <c r="BD440" s="3"/>
      <c r="BE440" s="3"/>
    </row>
    <row r="441" spans="1:57" x14ac:dyDescent="0.25">
      <c r="A441" s="2"/>
      <c r="D441" s="3"/>
      <c r="E441" s="4"/>
      <c r="F441" s="5"/>
      <c r="G441" s="5"/>
      <c r="J441" s="3"/>
      <c r="K441" s="3"/>
      <c r="L441" s="6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5"/>
      <c r="AA441" s="3"/>
      <c r="AB441" s="3"/>
      <c r="AC441" s="3"/>
      <c r="AD441" s="5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7"/>
      <c r="AX441" s="7"/>
      <c r="AY441" s="7"/>
      <c r="AZ441" s="7"/>
      <c r="BA441" s="8"/>
      <c r="BB441" s="3"/>
      <c r="BC441" s="3"/>
      <c r="BD441" s="3"/>
      <c r="BE441" s="3"/>
    </row>
    <row r="442" spans="1:57" x14ac:dyDescent="0.25">
      <c r="A442" s="2"/>
      <c r="D442" s="3"/>
      <c r="E442" s="4"/>
      <c r="F442" s="5"/>
      <c r="G442" s="5"/>
      <c r="J442" s="3"/>
      <c r="K442" s="3"/>
      <c r="L442" s="6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5"/>
      <c r="AA442" s="3"/>
      <c r="AB442" s="3"/>
      <c r="AC442" s="3"/>
      <c r="AD442" s="5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7"/>
      <c r="AX442" s="7"/>
      <c r="AY442" s="7"/>
      <c r="AZ442" s="7"/>
      <c r="BA442" s="8"/>
      <c r="BB442" s="3"/>
      <c r="BC442" s="3"/>
      <c r="BD442" s="3"/>
      <c r="BE442" s="3"/>
    </row>
    <row r="443" spans="1:57" x14ac:dyDescent="0.25">
      <c r="A443" s="2"/>
      <c r="D443" s="3"/>
      <c r="E443" s="4"/>
      <c r="F443" s="5"/>
      <c r="G443" s="5"/>
      <c r="J443" s="3"/>
      <c r="K443" s="3"/>
      <c r="L443" s="6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5"/>
      <c r="AA443" s="3"/>
      <c r="AB443" s="3"/>
      <c r="AC443" s="3"/>
      <c r="AD443" s="5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7"/>
      <c r="AX443" s="7"/>
      <c r="AY443" s="7"/>
      <c r="AZ443" s="7"/>
      <c r="BA443" s="8"/>
      <c r="BB443" s="3"/>
      <c r="BC443" s="3"/>
      <c r="BD443" s="3"/>
      <c r="BE443" s="3"/>
    </row>
    <row r="444" spans="1:57" x14ac:dyDescent="0.25">
      <c r="A444" s="2"/>
      <c r="D444" s="3"/>
      <c r="E444" s="4"/>
      <c r="F444" s="5"/>
      <c r="G444" s="5"/>
      <c r="J444" s="3"/>
      <c r="K444" s="3"/>
      <c r="L444" s="6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5"/>
      <c r="AA444" s="3"/>
      <c r="AB444" s="3"/>
      <c r="AC444" s="3"/>
      <c r="AD444" s="5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7"/>
      <c r="AX444" s="7"/>
      <c r="AY444" s="7"/>
      <c r="AZ444" s="7"/>
      <c r="BA444" s="8"/>
      <c r="BB444" s="3"/>
      <c r="BC444" s="3"/>
      <c r="BD444" s="3"/>
      <c r="BE444" s="3"/>
    </row>
    <row r="445" spans="1:57" x14ac:dyDescent="0.25">
      <c r="A445" s="2"/>
      <c r="D445" s="3"/>
      <c r="E445" s="4"/>
      <c r="F445" s="5"/>
      <c r="G445" s="5"/>
      <c r="J445" s="3"/>
      <c r="K445" s="3"/>
      <c r="L445" s="6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5"/>
      <c r="AA445" s="3"/>
      <c r="AB445" s="3"/>
      <c r="AC445" s="3"/>
      <c r="AD445" s="5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7"/>
      <c r="AX445" s="7"/>
      <c r="AY445" s="7"/>
      <c r="AZ445" s="7"/>
      <c r="BA445" s="8"/>
      <c r="BB445" s="3"/>
      <c r="BC445" s="3"/>
      <c r="BD445" s="3"/>
      <c r="BE445" s="3"/>
    </row>
    <row r="446" spans="1:57" x14ac:dyDescent="0.25">
      <c r="A446" s="2"/>
      <c r="D446" s="3"/>
      <c r="E446" s="4"/>
      <c r="F446" s="5"/>
      <c r="G446" s="5"/>
      <c r="J446" s="3"/>
      <c r="K446" s="3"/>
      <c r="L446" s="6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5"/>
      <c r="AA446" s="3"/>
      <c r="AB446" s="3"/>
      <c r="AC446" s="3"/>
      <c r="AD446" s="5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7"/>
      <c r="AX446" s="7"/>
      <c r="AY446" s="7"/>
      <c r="AZ446" s="7"/>
      <c r="BA446" s="8"/>
      <c r="BB446" s="3"/>
      <c r="BC446" s="3"/>
      <c r="BD446" s="3"/>
      <c r="BE446" s="3"/>
    </row>
    <row r="447" spans="1:57" x14ac:dyDescent="0.25">
      <c r="A447" s="2"/>
      <c r="D447" s="3"/>
      <c r="E447" s="4"/>
      <c r="F447" s="5"/>
      <c r="G447" s="5"/>
      <c r="J447" s="3"/>
      <c r="K447" s="3"/>
      <c r="L447" s="6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5"/>
      <c r="AA447" s="3"/>
      <c r="AB447" s="3"/>
      <c r="AC447" s="3"/>
      <c r="AD447" s="5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7"/>
      <c r="AX447" s="7"/>
      <c r="AY447" s="7"/>
      <c r="AZ447" s="7"/>
      <c r="BA447" s="8"/>
      <c r="BB447" s="3"/>
      <c r="BC447" s="3"/>
      <c r="BD447" s="3"/>
      <c r="BE447" s="3"/>
    </row>
    <row r="448" spans="1:57" x14ac:dyDescent="0.25">
      <c r="A448" s="2"/>
      <c r="D448" s="3"/>
      <c r="E448" s="4"/>
      <c r="F448" s="5"/>
      <c r="G448" s="5"/>
      <c r="J448" s="3"/>
      <c r="K448" s="3"/>
      <c r="L448" s="6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5"/>
      <c r="AA448" s="3"/>
      <c r="AB448" s="3"/>
      <c r="AC448" s="3"/>
      <c r="AD448" s="5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7"/>
      <c r="AX448" s="7"/>
      <c r="AY448" s="7"/>
      <c r="AZ448" s="7"/>
      <c r="BA448" s="8"/>
      <c r="BB448" s="3"/>
      <c r="BC448" s="3"/>
      <c r="BD448" s="3"/>
      <c r="BE448" s="3"/>
    </row>
    <row r="449" spans="1:57" x14ac:dyDescent="0.25">
      <c r="A449" s="2"/>
      <c r="D449" s="3"/>
      <c r="E449" s="4"/>
      <c r="F449" s="5"/>
      <c r="G449" s="5"/>
      <c r="J449" s="3"/>
      <c r="K449" s="3"/>
      <c r="L449" s="6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5"/>
      <c r="AA449" s="3"/>
      <c r="AB449" s="3"/>
      <c r="AC449" s="3"/>
      <c r="AD449" s="5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7"/>
      <c r="AX449" s="7"/>
      <c r="AY449" s="7"/>
      <c r="AZ449" s="7"/>
      <c r="BA449" s="8"/>
      <c r="BB449" s="3"/>
      <c r="BC449" s="3"/>
      <c r="BD449" s="3"/>
      <c r="BE449" s="3"/>
    </row>
    <row r="450" spans="1:57" x14ac:dyDescent="0.25">
      <c r="A450" s="2"/>
      <c r="D450" s="3"/>
      <c r="E450" s="4"/>
      <c r="F450" s="5"/>
      <c r="G450" s="5"/>
      <c r="J450" s="3"/>
      <c r="K450" s="3"/>
      <c r="L450" s="6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5"/>
      <c r="AA450" s="3"/>
      <c r="AB450" s="3"/>
      <c r="AC450" s="3"/>
      <c r="AD450" s="5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7"/>
      <c r="AX450" s="7"/>
      <c r="AY450" s="7"/>
      <c r="AZ450" s="7"/>
      <c r="BA450" s="8"/>
      <c r="BB450" s="3"/>
      <c r="BC450" s="3"/>
      <c r="BD450" s="3"/>
      <c r="BE450" s="3"/>
    </row>
    <row r="451" spans="1:57" x14ac:dyDescent="0.25">
      <c r="A451" s="2"/>
      <c r="D451" s="3"/>
      <c r="E451" s="4"/>
      <c r="F451" s="5"/>
      <c r="G451" s="5"/>
      <c r="J451" s="3"/>
      <c r="K451" s="3"/>
      <c r="L451" s="6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5"/>
      <c r="AA451" s="3"/>
      <c r="AB451" s="3"/>
      <c r="AC451" s="3"/>
      <c r="AD451" s="5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7"/>
      <c r="AX451" s="7"/>
      <c r="AY451" s="7"/>
      <c r="AZ451" s="7"/>
      <c r="BA451" s="8"/>
      <c r="BB451" s="3"/>
      <c r="BC451" s="3"/>
      <c r="BD451" s="3"/>
      <c r="BE451" s="3"/>
    </row>
    <row r="452" spans="1:57" x14ac:dyDescent="0.25">
      <c r="A452" s="2"/>
      <c r="D452" s="3"/>
      <c r="E452" s="4"/>
      <c r="F452" s="5"/>
      <c r="G452" s="5"/>
      <c r="J452" s="3"/>
      <c r="K452" s="3"/>
      <c r="L452" s="6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5"/>
      <c r="AA452" s="3"/>
      <c r="AB452" s="3"/>
      <c r="AC452" s="3"/>
      <c r="AD452" s="5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7"/>
      <c r="AX452" s="7"/>
      <c r="AY452" s="7"/>
      <c r="AZ452" s="7"/>
      <c r="BA452" s="8"/>
      <c r="BB452" s="3"/>
      <c r="BC452" s="3"/>
      <c r="BD452" s="3"/>
      <c r="BE452" s="3"/>
    </row>
    <row r="453" spans="1:57" x14ac:dyDescent="0.25">
      <c r="A453" s="2"/>
      <c r="D453" s="3"/>
      <c r="E453" s="4"/>
      <c r="F453" s="5"/>
      <c r="G453" s="5"/>
      <c r="J453" s="3"/>
      <c r="K453" s="3"/>
      <c r="L453" s="6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5"/>
      <c r="AA453" s="3"/>
      <c r="AB453" s="3"/>
      <c r="AC453" s="3"/>
      <c r="AD453" s="5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7"/>
      <c r="AX453" s="7"/>
      <c r="AY453" s="7"/>
      <c r="AZ453" s="7"/>
      <c r="BA453" s="8"/>
      <c r="BB453" s="3"/>
      <c r="BC453" s="3"/>
      <c r="BD453" s="3"/>
      <c r="BE453" s="3"/>
    </row>
    <row r="454" spans="1:57" x14ac:dyDescent="0.25">
      <c r="A454" s="2"/>
      <c r="D454" s="3"/>
      <c r="E454" s="4"/>
      <c r="F454" s="5"/>
      <c r="G454" s="5"/>
      <c r="J454" s="3"/>
      <c r="K454" s="3"/>
      <c r="L454" s="6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5"/>
      <c r="AA454" s="3"/>
      <c r="AB454" s="3"/>
      <c r="AC454" s="3"/>
      <c r="AD454" s="5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7"/>
      <c r="AX454" s="7"/>
      <c r="AY454" s="7"/>
      <c r="AZ454" s="7"/>
      <c r="BA454" s="8"/>
      <c r="BB454" s="3"/>
      <c r="BC454" s="3"/>
      <c r="BD454" s="3"/>
      <c r="BE454" s="3"/>
    </row>
    <row r="455" spans="1:57" x14ac:dyDescent="0.25">
      <c r="A455" s="2"/>
      <c r="D455" s="3"/>
      <c r="E455" s="4"/>
      <c r="F455" s="5"/>
      <c r="G455" s="5"/>
      <c r="J455" s="3"/>
      <c r="K455" s="3"/>
      <c r="L455" s="6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5"/>
      <c r="AA455" s="3"/>
      <c r="AB455" s="3"/>
      <c r="AC455" s="3"/>
      <c r="AD455" s="5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7"/>
      <c r="AX455" s="7"/>
      <c r="AY455" s="7"/>
      <c r="AZ455" s="7"/>
      <c r="BA455" s="8"/>
      <c r="BB455" s="3"/>
      <c r="BC455" s="3"/>
      <c r="BD455" s="3"/>
      <c r="BE455" s="3"/>
    </row>
    <row r="456" spans="1:57" x14ac:dyDescent="0.25">
      <c r="A456" s="2"/>
      <c r="D456" s="3"/>
      <c r="E456" s="4"/>
      <c r="F456" s="5"/>
      <c r="G456" s="5"/>
      <c r="J456" s="3"/>
      <c r="K456" s="3"/>
      <c r="L456" s="6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5"/>
      <c r="AA456" s="3"/>
      <c r="AB456" s="3"/>
      <c r="AC456" s="3"/>
      <c r="AD456" s="5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7"/>
      <c r="AX456" s="7"/>
      <c r="AY456" s="7"/>
      <c r="AZ456" s="7"/>
      <c r="BA456" s="8"/>
      <c r="BB456" s="3"/>
      <c r="BC456" s="3"/>
      <c r="BD456" s="3"/>
      <c r="BE456" s="3"/>
    </row>
    <row r="457" spans="1:57" x14ac:dyDescent="0.25">
      <c r="A457" s="2"/>
      <c r="D457" s="3"/>
      <c r="E457" s="4"/>
      <c r="F457" s="5"/>
      <c r="G457" s="5"/>
      <c r="J457" s="3"/>
      <c r="K457" s="3"/>
      <c r="L457" s="6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5"/>
      <c r="AA457" s="3"/>
      <c r="AB457" s="3"/>
      <c r="AC457" s="3"/>
      <c r="AD457" s="5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7"/>
      <c r="AX457" s="7"/>
      <c r="AY457" s="7"/>
      <c r="AZ457" s="7"/>
      <c r="BA457" s="8"/>
      <c r="BB457" s="3"/>
      <c r="BC457" s="3"/>
      <c r="BD457" s="3"/>
      <c r="BE457" s="3"/>
    </row>
    <row r="458" spans="1:57" x14ac:dyDescent="0.25">
      <c r="A458" s="2"/>
      <c r="D458" s="3"/>
      <c r="E458" s="4"/>
      <c r="F458" s="5"/>
      <c r="G458" s="5"/>
      <c r="J458" s="3"/>
      <c r="K458" s="3"/>
      <c r="L458" s="6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5"/>
      <c r="AA458" s="3"/>
      <c r="AB458" s="3"/>
      <c r="AC458" s="3"/>
      <c r="AD458" s="5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7"/>
      <c r="AX458" s="7"/>
      <c r="AY458" s="7"/>
      <c r="AZ458" s="7"/>
      <c r="BA458" s="8"/>
      <c r="BB458" s="3"/>
      <c r="BC458" s="3"/>
      <c r="BD458" s="3"/>
      <c r="BE458" s="3"/>
    </row>
    <row r="459" spans="1:57" x14ac:dyDescent="0.25">
      <c r="A459" s="2"/>
      <c r="D459" s="3"/>
      <c r="E459" s="4"/>
      <c r="F459" s="5"/>
      <c r="G459" s="5"/>
      <c r="J459" s="3"/>
      <c r="K459" s="3"/>
      <c r="L459" s="6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5"/>
      <c r="AA459" s="3"/>
      <c r="AB459" s="3"/>
      <c r="AC459" s="3"/>
      <c r="AD459" s="5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7"/>
      <c r="AX459" s="7"/>
      <c r="AY459" s="7"/>
      <c r="AZ459" s="7"/>
      <c r="BA459" s="8"/>
      <c r="BB459" s="3"/>
      <c r="BC459" s="3"/>
      <c r="BD459" s="3"/>
      <c r="BE459" s="3"/>
    </row>
    <row r="460" spans="1:57" x14ac:dyDescent="0.25">
      <c r="A460" s="2"/>
      <c r="D460" s="3"/>
      <c r="E460" s="4"/>
      <c r="F460" s="5"/>
      <c r="G460" s="5"/>
      <c r="J460" s="3"/>
      <c r="K460" s="3"/>
      <c r="L460" s="6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5"/>
      <c r="AA460" s="3"/>
      <c r="AB460" s="3"/>
      <c r="AC460" s="3"/>
      <c r="AD460" s="5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7"/>
      <c r="AX460" s="7"/>
      <c r="AY460" s="7"/>
      <c r="AZ460" s="7"/>
      <c r="BA460" s="8"/>
      <c r="BB460" s="3"/>
      <c r="BC460" s="3"/>
      <c r="BD460" s="3"/>
      <c r="BE460" s="3"/>
    </row>
    <row r="461" spans="1:57" x14ac:dyDescent="0.25">
      <c r="A461" s="2"/>
      <c r="D461" s="3"/>
      <c r="E461" s="4"/>
      <c r="F461" s="5"/>
      <c r="G461" s="5"/>
      <c r="J461" s="3"/>
      <c r="K461" s="3"/>
      <c r="L461" s="6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5"/>
      <c r="AA461" s="3"/>
      <c r="AB461" s="3"/>
      <c r="AC461" s="3"/>
      <c r="AD461" s="5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7"/>
      <c r="AX461" s="7"/>
      <c r="AY461" s="7"/>
      <c r="AZ461" s="7"/>
      <c r="BA461" s="8"/>
      <c r="BB461" s="3"/>
      <c r="BC461" s="3"/>
      <c r="BD461" s="3"/>
      <c r="BE461" s="3"/>
    </row>
    <row r="462" spans="1:57" x14ac:dyDescent="0.25">
      <c r="A462" s="2"/>
      <c r="D462" s="3"/>
      <c r="E462" s="4"/>
      <c r="F462" s="5"/>
      <c r="G462" s="5"/>
      <c r="J462" s="3"/>
      <c r="K462" s="3"/>
      <c r="L462" s="6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5"/>
      <c r="AA462" s="3"/>
      <c r="AB462" s="3"/>
      <c r="AC462" s="3"/>
      <c r="AD462" s="5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7"/>
      <c r="AX462" s="7"/>
      <c r="AY462" s="7"/>
      <c r="AZ462" s="7"/>
      <c r="BA462" s="8"/>
      <c r="BB462" s="3"/>
      <c r="BC462" s="3"/>
      <c r="BD462" s="3"/>
      <c r="BE462" s="3"/>
    </row>
    <row r="463" spans="1:57" x14ac:dyDescent="0.25">
      <c r="A463" s="2"/>
      <c r="D463" s="3"/>
      <c r="E463" s="4"/>
      <c r="F463" s="5"/>
      <c r="G463" s="5"/>
      <c r="J463" s="3"/>
      <c r="K463" s="3"/>
      <c r="L463" s="6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5"/>
      <c r="AA463" s="3"/>
      <c r="AB463" s="3"/>
      <c r="AC463" s="3"/>
      <c r="AD463" s="5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7"/>
      <c r="AX463" s="7"/>
      <c r="AY463" s="7"/>
      <c r="AZ463" s="7"/>
      <c r="BA463" s="8"/>
      <c r="BB463" s="3"/>
      <c r="BC463" s="3"/>
      <c r="BD463" s="3"/>
      <c r="BE463" s="3"/>
    </row>
    <row r="464" spans="1:57" x14ac:dyDescent="0.25">
      <c r="A464" s="2"/>
      <c r="D464" s="3"/>
      <c r="E464" s="4"/>
      <c r="F464" s="5"/>
      <c r="G464" s="5"/>
      <c r="J464" s="3"/>
      <c r="K464" s="3"/>
      <c r="L464" s="6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5"/>
      <c r="AA464" s="3"/>
      <c r="AB464" s="3"/>
      <c r="AC464" s="3"/>
      <c r="AD464" s="5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7"/>
      <c r="AX464" s="7"/>
      <c r="AY464" s="7"/>
      <c r="AZ464" s="7"/>
      <c r="BA464" s="8"/>
      <c r="BB464" s="3"/>
      <c r="BC464" s="3"/>
      <c r="BD464" s="3"/>
      <c r="BE464" s="3"/>
    </row>
    <row r="465" spans="1:57" x14ac:dyDescent="0.25">
      <c r="A465" s="2"/>
      <c r="D465" s="3"/>
      <c r="E465" s="4"/>
      <c r="F465" s="5"/>
      <c r="G465" s="5"/>
      <c r="J465" s="3"/>
      <c r="K465" s="3"/>
      <c r="L465" s="6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5"/>
      <c r="AA465" s="3"/>
      <c r="AB465" s="3"/>
      <c r="AC465" s="3"/>
      <c r="AD465" s="5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7"/>
      <c r="AX465" s="7"/>
      <c r="AY465" s="7"/>
      <c r="AZ465" s="7"/>
      <c r="BA465" s="8"/>
      <c r="BB465" s="3"/>
      <c r="BC465" s="3"/>
      <c r="BD465" s="3"/>
      <c r="BE465" s="3"/>
    </row>
    <row r="466" spans="1:57" x14ac:dyDescent="0.25">
      <c r="A466" s="2"/>
      <c r="D466" s="3"/>
      <c r="E466" s="4"/>
      <c r="F466" s="5"/>
      <c r="G466" s="5"/>
      <c r="J466" s="3"/>
      <c r="K466" s="3"/>
      <c r="L466" s="6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5"/>
      <c r="AA466" s="3"/>
      <c r="AB466" s="3"/>
      <c r="AC466" s="3"/>
      <c r="AD466" s="5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7"/>
      <c r="AX466" s="7"/>
      <c r="AY466" s="7"/>
      <c r="AZ466" s="7"/>
      <c r="BA466" s="8"/>
      <c r="BB466" s="3"/>
      <c r="BC466" s="3"/>
      <c r="BD466" s="3"/>
      <c r="BE466" s="3"/>
    </row>
    <row r="467" spans="1:57" x14ac:dyDescent="0.25">
      <c r="A467" s="2"/>
      <c r="D467" s="3"/>
      <c r="E467" s="4"/>
      <c r="F467" s="5"/>
      <c r="G467" s="5"/>
      <c r="J467" s="3"/>
      <c r="K467" s="3"/>
      <c r="L467" s="6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5"/>
      <c r="AA467" s="3"/>
      <c r="AB467" s="3"/>
      <c r="AC467" s="3"/>
      <c r="AD467" s="5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7"/>
      <c r="AX467" s="7"/>
      <c r="AY467" s="7"/>
      <c r="AZ467" s="7"/>
      <c r="BA467" s="8"/>
      <c r="BB467" s="3"/>
      <c r="BC467" s="3"/>
      <c r="BD467" s="3"/>
      <c r="BE467" s="3"/>
    </row>
    <row r="468" spans="1:57" x14ac:dyDescent="0.25">
      <c r="A468" s="2"/>
      <c r="D468" s="3"/>
      <c r="E468" s="4"/>
      <c r="F468" s="5"/>
      <c r="G468" s="5"/>
      <c r="J468" s="3"/>
      <c r="K468" s="3"/>
      <c r="L468" s="6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5"/>
      <c r="AA468" s="3"/>
      <c r="AB468" s="3"/>
      <c r="AC468" s="3"/>
      <c r="AD468" s="5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7"/>
      <c r="AX468" s="7"/>
      <c r="AY468" s="7"/>
      <c r="AZ468" s="7"/>
      <c r="BA468" s="8"/>
      <c r="BB468" s="3"/>
      <c r="BC468" s="3"/>
      <c r="BD468" s="3"/>
      <c r="BE468" s="3"/>
    </row>
    <row r="469" spans="1:57" x14ac:dyDescent="0.25">
      <c r="A469" s="2"/>
      <c r="D469" s="3"/>
      <c r="E469" s="4"/>
      <c r="F469" s="5"/>
      <c r="G469" s="5"/>
      <c r="J469" s="3"/>
      <c r="K469" s="3"/>
      <c r="L469" s="6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5"/>
      <c r="AA469" s="3"/>
      <c r="AB469" s="3"/>
      <c r="AC469" s="3"/>
      <c r="AD469" s="5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7"/>
      <c r="AX469" s="7"/>
      <c r="AY469" s="7"/>
      <c r="AZ469" s="7"/>
      <c r="BA469" s="8"/>
      <c r="BB469" s="3"/>
      <c r="BC469" s="3"/>
      <c r="BD469" s="3"/>
      <c r="BE469" s="3"/>
    </row>
    <row r="470" spans="1:57" x14ac:dyDescent="0.25">
      <c r="A470" s="2"/>
      <c r="D470" s="3"/>
      <c r="E470" s="4"/>
      <c r="F470" s="5"/>
      <c r="G470" s="5"/>
      <c r="J470" s="3"/>
      <c r="K470" s="3"/>
      <c r="L470" s="6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5"/>
      <c r="AA470" s="3"/>
      <c r="AB470" s="3"/>
      <c r="AC470" s="3"/>
      <c r="AD470" s="5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7"/>
      <c r="AX470" s="7"/>
      <c r="AY470" s="7"/>
      <c r="AZ470" s="7"/>
      <c r="BA470" s="8"/>
      <c r="BB470" s="3"/>
      <c r="BC470" s="3"/>
      <c r="BD470" s="3"/>
      <c r="BE470" s="3"/>
    </row>
    <row r="471" spans="1:57" x14ac:dyDescent="0.25">
      <c r="A471" s="2"/>
      <c r="D471" s="3"/>
      <c r="E471" s="4"/>
      <c r="F471" s="5"/>
      <c r="G471" s="5"/>
      <c r="J471" s="3"/>
      <c r="K471" s="3"/>
      <c r="L471" s="6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5"/>
      <c r="AA471" s="3"/>
      <c r="AB471" s="3"/>
      <c r="AC471" s="3"/>
      <c r="AD471" s="5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7"/>
      <c r="AX471" s="7"/>
      <c r="AY471" s="7"/>
      <c r="AZ471" s="7"/>
      <c r="BA471" s="8"/>
      <c r="BB471" s="3"/>
      <c r="BC471" s="3"/>
      <c r="BD471" s="3"/>
      <c r="BE471" s="3"/>
    </row>
    <row r="472" spans="1:57" x14ac:dyDescent="0.25">
      <c r="A472" s="2"/>
      <c r="D472" s="3"/>
      <c r="E472" s="4"/>
      <c r="F472" s="5"/>
      <c r="G472" s="5"/>
      <c r="J472" s="3"/>
      <c r="K472" s="3"/>
      <c r="L472" s="6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5"/>
      <c r="AA472" s="3"/>
      <c r="AB472" s="3"/>
      <c r="AC472" s="3"/>
      <c r="AD472" s="5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7"/>
      <c r="AX472" s="7"/>
      <c r="AY472" s="7"/>
      <c r="AZ472" s="7"/>
      <c r="BA472" s="8"/>
      <c r="BB472" s="3"/>
      <c r="BC472" s="3"/>
      <c r="BD472" s="3"/>
      <c r="BE472" s="3"/>
    </row>
    <row r="473" spans="1:57" x14ac:dyDescent="0.25">
      <c r="A473" s="2"/>
      <c r="D473" s="3"/>
      <c r="E473" s="4"/>
      <c r="F473" s="5"/>
      <c r="G473" s="5"/>
      <c r="J473" s="3"/>
      <c r="K473" s="3"/>
      <c r="L473" s="6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5"/>
      <c r="AA473" s="3"/>
      <c r="AB473" s="3"/>
      <c r="AC473" s="3"/>
      <c r="AD473" s="5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7"/>
      <c r="AX473" s="7"/>
      <c r="AY473" s="7"/>
      <c r="AZ473" s="7"/>
      <c r="BA473" s="8"/>
      <c r="BB473" s="3"/>
      <c r="BC473" s="3"/>
      <c r="BD473" s="3"/>
      <c r="BE473" s="3"/>
    </row>
    <row r="474" spans="1:57" x14ac:dyDescent="0.25">
      <c r="A474" s="2"/>
      <c r="D474" s="3"/>
      <c r="E474" s="4"/>
      <c r="F474" s="5"/>
      <c r="G474" s="5"/>
      <c r="J474" s="3"/>
      <c r="K474" s="3"/>
      <c r="L474" s="6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5"/>
      <c r="AA474" s="3"/>
      <c r="AB474" s="3"/>
      <c r="AC474" s="3"/>
      <c r="AD474" s="5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7"/>
      <c r="AX474" s="7"/>
      <c r="AY474" s="7"/>
      <c r="AZ474" s="7"/>
      <c r="BA474" s="8"/>
      <c r="BB474" s="3"/>
      <c r="BC474" s="3"/>
      <c r="BD474" s="3"/>
      <c r="BE474" s="3"/>
    </row>
    <row r="475" spans="1:57" x14ac:dyDescent="0.25">
      <c r="A475" s="2"/>
      <c r="D475" s="3"/>
      <c r="E475" s="4"/>
      <c r="F475" s="5"/>
      <c r="G475" s="5"/>
      <c r="J475" s="3"/>
      <c r="K475" s="3"/>
      <c r="L475" s="6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5"/>
      <c r="AA475" s="3"/>
      <c r="AB475" s="3"/>
      <c r="AC475" s="3"/>
      <c r="AD475" s="5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7"/>
      <c r="AX475" s="7"/>
      <c r="AY475" s="7"/>
      <c r="AZ475" s="7"/>
      <c r="BA475" s="8"/>
      <c r="BB475" s="3"/>
      <c r="BC475" s="3"/>
      <c r="BD475" s="3"/>
      <c r="BE475" s="3"/>
    </row>
    <row r="476" spans="1:57" x14ac:dyDescent="0.25">
      <c r="A476" s="2"/>
      <c r="D476" s="3"/>
      <c r="E476" s="4"/>
      <c r="F476" s="5"/>
      <c r="G476" s="5"/>
      <c r="J476" s="3"/>
      <c r="K476" s="3"/>
      <c r="L476" s="6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5"/>
      <c r="AA476" s="3"/>
      <c r="AB476" s="3"/>
      <c r="AC476" s="3"/>
      <c r="AD476" s="5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7"/>
      <c r="AX476" s="7"/>
      <c r="AY476" s="7"/>
      <c r="AZ476" s="7"/>
      <c r="BA476" s="8"/>
      <c r="BB476" s="3"/>
      <c r="BC476" s="3"/>
      <c r="BD476" s="3"/>
      <c r="BE476" s="3"/>
    </row>
    <row r="477" spans="1:57" x14ac:dyDescent="0.25">
      <c r="A477" s="2"/>
      <c r="D477" s="3"/>
      <c r="E477" s="4"/>
      <c r="F477" s="5"/>
      <c r="G477" s="5"/>
      <c r="J477" s="3"/>
      <c r="K477" s="3"/>
      <c r="L477" s="6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5"/>
      <c r="AA477" s="3"/>
      <c r="AB477" s="3"/>
      <c r="AC477" s="3"/>
      <c r="AD477" s="5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7"/>
      <c r="AX477" s="7"/>
      <c r="AY477" s="7"/>
      <c r="AZ477" s="7"/>
      <c r="BA477" s="8"/>
      <c r="BB477" s="3"/>
      <c r="BC477" s="3"/>
      <c r="BD477" s="3"/>
      <c r="BE477" s="3"/>
    </row>
    <row r="478" spans="1:57" x14ac:dyDescent="0.25">
      <c r="A478" s="2"/>
      <c r="D478" s="3"/>
      <c r="E478" s="4"/>
      <c r="F478" s="5"/>
      <c r="G478" s="5"/>
      <c r="J478" s="3"/>
      <c r="K478" s="3"/>
      <c r="L478" s="6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5"/>
      <c r="AA478" s="3"/>
      <c r="AB478" s="3"/>
      <c r="AC478" s="3"/>
      <c r="AD478" s="5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7"/>
      <c r="AX478" s="7"/>
      <c r="AY478" s="7"/>
      <c r="AZ478" s="7"/>
      <c r="BA478" s="8"/>
      <c r="BB478" s="3"/>
      <c r="BC478" s="3"/>
      <c r="BD478" s="3"/>
      <c r="BE478" s="3"/>
    </row>
    <row r="479" spans="1:57" x14ac:dyDescent="0.25">
      <c r="A479" s="2"/>
      <c r="D479" s="3"/>
      <c r="E479" s="4"/>
      <c r="F479" s="5"/>
      <c r="G479" s="5"/>
      <c r="J479" s="3"/>
      <c r="K479" s="3"/>
      <c r="L479" s="6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5"/>
      <c r="AA479" s="3"/>
      <c r="AB479" s="3"/>
      <c r="AC479" s="3"/>
      <c r="AD479" s="5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7"/>
      <c r="AX479" s="7"/>
      <c r="AY479" s="7"/>
      <c r="AZ479" s="7"/>
      <c r="BA479" s="8"/>
      <c r="BB479" s="3"/>
      <c r="BC479" s="3"/>
      <c r="BD479" s="3"/>
      <c r="BE479" s="3"/>
    </row>
    <row r="480" spans="1:57" x14ac:dyDescent="0.25">
      <c r="A480" s="2"/>
      <c r="D480" s="3"/>
      <c r="E480" s="4"/>
      <c r="F480" s="5"/>
      <c r="G480" s="5"/>
      <c r="J480" s="3"/>
      <c r="K480" s="3"/>
      <c r="L480" s="6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5"/>
      <c r="AA480" s="3"/>
      <c r="AB480" s="3"/>
      <c r="AC480" s="3"/>
      <c r="AD480" s="5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7"/>
      <c r="AX480" s="7"/>
      <c r="AY480" s="7"/>
      <c r="AZ480" s="7"/>
      <c r="BA480" s="8"/>
      <c r="BB480" s="3"/>
      <c r="BC480" s="3"/>
      <c r="BD480" s="3"/>
      <c r="BE480" s="3"/>
    </row>
    <row r="481" spans="1:57" x14ac:dyDescent="0.25">
      <c r="A481" s="2"/>
      <c r="D481" s="3"/>
      <c r="E481" s="4"/>
      <c r="F481" s="5"/>
      <c r="G481" s="5"/>
      <c r="J481" s="3"/>
      <c r="K481" s="3"/>
      <c r="L481" s="6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5"/>
      <c r="AA481" s="3"/>
      <c r="AB481" s="3"/>
      <c r="AC481" s="3"/>
      <c r="AD481" s="5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7"/>
      <c r="AX481" s="7"/>
      <c r="AY481" s="7"/>
      <c r="AZ481" s="7"/>
      <c r="BA481" s="8"/>
      <c r="BB481" s="3"/>
      <c r="BC481" s="3"/>
      <c r="BD481" s="3"/>
      <c r="BE481" s="3"/>
    </row>
    <row r="482" spans="1:57" x14ac:dyDescent="0.25">
      <c r="A482" s="2"/>
      <c r="D482" s="3"/>
      <c r="E482" s="4"/>
      <c r="F482" s="5"/>
      <c r="G482" s="5"/>
      <c r="J482" s="3"/>
      <c r="K482" s="3"/>
      <c r="L482" s="6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5"/>
      <c r="AA482" s="3"/>
      <c r="AB482" s="3"/>
      <c r="AC482" s="3"/>
      <c r="AD482" s="5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7"/>
      <c r="AX482" s="7"/>
      <c r="AY482" s="7"/>
      <c r="AZ482" s="7"/>
      <c r="BA482" s="8"/>
      <c r="BB482" s="3"/>
      <c r="BC482" s="3"/>
      <c r="BD482" s="3"/>
      <c r="BE482" s="3"/>
    </row>
    <row r="483" spans="1:57" x14ac:dyDescent="0.25">
      <c r="A483" s="2"/>
      <c r="D483" s="3"/>
      <c r="E483" s="4"/>
      <c r="F483" s="5"/>
      <c r="G483" s="5"/>
      <c r="J483" s="3"/>
      <c r="K483" s="3"/>
      <c r="L483" s="6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5"/>
      <c r="AA483" s="3"/>
      <c r="AB483" s="3"/>
      <c r="AC483" s="3"/>
      <c r="AD483" s="5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7"/>
      <c r="AX483" s="7"/>
      <c r="AY483" s="7"/>
      <c r="AZ483" s="7"/>
      <c r="BA483" s="8"/>
      <c r="BB483" s="3"/>
      <c r="BC483" s="3"/>
      <c r="BD483" s="3"/>
      <c r="BE483" s="3"/>
    </row>
    <row r="484" spans="1:57" x14ac:dyDescent="0.25">
      <c r="A484" s="2"/>
      <c r="D484" s="3"/>
      <c r="E484" s="4"/>
      <c r="F484" s="5"/>
      <c r="G484" s="5"/>
      <c r="J484" s="3"/>
      <c r="K484" s="3"/>
      <c r="L484" s="6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5"/>
      <c r="AA484" s="3"/>
      <c r="AB484" s="3"/>
      <c r="AC484" s="3"/>
      <c r="AD484" s="5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7"/>
      <c r="AX484" s="7"/>
      <c r="AY484" s="7"/>
      <c r="AZ484" s="7"/>
      <c r="BA484" s="8"/>
      <c r="BB484" s="3"/>
      <c r="BC484" s="3"/>
      <c r="BD484" s="3"/>
      <c r="BE484" s="3"/>
    </row>
    <row r="485" spans="1:57" x14ac:dyDescent="0.25">
      <c r="A485" s="2"/>
      <c r="D485" s="3"/>
      <c r="E485" s="4"/>
      <c r="F485" s="5"/>
      <c r="G485" s="5"/>
      <c r="J485" s="3"/>
      <c r="K485" s="3"/>
      <c r="L485" s="6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5"/>
      <c r="AA485" s="3"/>
      <c r="AB485" s="3"/>
      <c r="AC485" s="3"/>
      <c r="AD485" s="5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7"/>
      <c r="AX485" s="7"/>
      <c r="AY485" s="7"/>
      <c r="AZ485" s="7"/>
      <c r="BA485" s="8"/>
      <c r="BB485" s="3"/>
      <c r="BC485" s="3"/>
      <c r="BD485" s="3"/>
      <c r="BE485" s="3"/>
    </row>
    <row r="486" spans="1:57" x14ac:dyDescent="0.25">
      <c r="A486" s="2"/>
      <c r="D486" s="3"/>
      <c r="E486" s="4"/>
      <c r="F486" s="5"/>
      <c r="G486" s="5"/>
      <c r="J486" s="3"/>
      <c r="K486" s="3"/>
      <c r="L486" s="6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5"/>
      <c r="AA486" s="3"/>
      <c r="AB486" s="3"/>
      <c r="AC486" s="3"/>
      <c r="AD486" s="5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7"/>
      <c r="AX486" s="7"/>
      <c r="AY486" s="7"/>
      <c r="AZ486" s="7"/>
      <c r="BA486" s="8"/>
      <c r="BB486" s="3"/>
      <c r="BC486" s="3"/>
      <c r="BD486" s="3"/>
      <c r="BE486" s="3"/>
    </row>
    <row r="487" spans="1:57" x14ac:dyDescent="0.25">
      <c r="A487" s="2"/>
      <c r="D487" s="3"/>
      <c r="E487" s="4"/>
      <c r="F487" s="5"/>
      <c r="G487" s="5"/>
      <c r="J487" s="3"/>
      <c r="K487" s="3"/>
      <c r="L487" s="6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5"/>
      <c r="AA487" s="3"/>
      <c r="AB487" s="3"/>
      <c r="AC487" s="3"/>
      <c r="AD487" s="5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7"/>
      <c r="AX487" s="7"/>
      <c r="AY487" s="7"/>
      <c r="AZ487" s="7"/>
      <c r="BA487" s="8"/>
      <c r="BB487" s="3"/>
      <c r="BC487" s="3"/>
      <c r="BD487" s="3"/>
      <c r="BE487" s="3"/>
    </row>
    <row r="488" spans="1:57" x14ac:dyDescent="0.25">
      <c r="A488" s="2"/>
      <c r="D488" s="3"/>
      <c r="E488" s="4"/>
      <c r="F488" s="5"/>
      <c r="G488" s="5"/>
      <c r="J488" s="3"/>
      <c r="K488" s="3"/>
      <c r="L488" s="6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5"/>
      <c r="AA488" s="3"/>
      <c r="AB488" s="3"/>
      <c r="AC488" s="3"/>
      <c r="AD488" s="5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7"/>
      <c r="AX488" s="7"/>
      <c r="AY488" s="7"/>
      <c r="AZ488" s="7"/>
      <c r="BA488" s="8"/>
      <c r="BB488" s="3"/>
      <c r="BC488" s="3"/>
      <c r="BD488" s="3"/>
      <c r="BE488" s="3"/>
    </row>
    <row r="489" spans="1:57" x14ac:dyDescent="0.25">
      <c r="A489" s="2"/>
      <c r="D489" s="3"/>
      <c r="E489" s="4"/>
      <c r="F489" s="5"/>
      <c r="G489" s="5"/>
      <c r="J489" s="3"/>
      <c r="K489" s="3"/>
      <c r="L489" s="6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5"/>
      <c r="AA489" s="3"/>
      <c r="AB489" s="3"/>
      <c r="AC489" s="3"/>
      <c r="AD489" s="5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7"/>
      <c r="AX489" s="7"/>
      <c r="AY489" s="7"/>
      <c r="AZ489" s="7"/>
      <c r="BA489" s="8"/>
      <c r="BB489" s="3"/>
      <c r="BC489" s="3"/>
      <c r="BD489" s="3"/>
      <c r="BE489" s="3"/>
    </row>
    <row r="490" spans="1:57" x14ac:dyDescent="0.25">
      <c r="A490" s="2"/>
      <c r="D490" s="3"/>
      <c r="E490" s="4"/>
      <c r="F490" s="5"/>
      <c r="G490" s="5"/>
      <c r="J490" s="3"/>
      <c r="K490" s="3"/>
      <c r="L490" s="6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5"/>
      <c r="AA490" s="3"/>
      <c r="AB490" s="3"/>
      <c r="AC490" s="3"/>
      <c r="AD490" s="5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7"/>
      <c r="AX490" s="7"/>
      <c r="AY490" s="7"/>
      <c r="AZ490" s="7"/>
      <c r="BA490" s="8"/>
      <c r="BB490" s="3"/>
      <c r="BC490" s="3"/>
      <c r="BD490" s="3"/>
      <c r="BE490" s="3"/>
    </row>
    <row r="491" spans="1:57" x14ac:dyDescent="0.25">
      <c r="A491" s="2"/>
      <c r="D491" s="3"/>
      <c r="E491" s="4"/>
      <c r="F491" s="5"/>
      <c r="G491" s="5"/>
      <c r="J491" s="3"/>
      <c r="K491" s="3"/>
      <c r="L491" s="6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5"/>
      <c r="AA491" s="3"/>
      <c r="AB491" s="3"/>
      <c r="AC491" s="3"/>
      <c r="AD491" s="5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7"/>
      <c r="AX491" s="7"/>
      <c r="AY491" s="7"/>
      <c r="AZ491" s="7"/>
      <c r="BA491" s="8"/>
      <c r="BB491" s="3"/>
      <c r="BC491" s="3"/>
      <c r="BD491" s="3"/>
      <c r="BE491" s="3"/>
    </row>
    <row r="492" spans="1:57" x14ac:dyDescent="0.25">
      <c r="A492" s="2"/>
      <c r="D492" s="3"/>
      <c r="E492" s="4"/>
      <c r="F492" s="5"/>
      <c r="G492" s="5"/>
      <c r="J492" s="3"/>
      <c r="K492" s="3"/>
      <c r="L492" s="6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5"/>
      <c r="AA492" s="3"/>
      <c r="AB492" s="3"/>
      <c r="AC492" s="3"/>
      <c r="AD492" s="5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7"/>
      <c r="AX492" s="7"/>
      <c r="AY492" s="7"/>
      <c r="AZ492" s="7"/>
      <c r="BA492" s="8"/>
      <c r="BB492" s="3"/>
      <c r="BC492" s="3"/>
      <c r="BD492" s="3"/>
      <c r="BE492" s="3"/>
    </row>
    <row r="493" spans="1:57" x14ac:dyDescent="0.25">
      <c r="A493" s="2"/>
      <c r="D493" s="3"/>
      <c r="E493" s="4"/>
      <c r="F493" s="5"/>
      <c r="G493" s="5"/>
      <c r="J493" s="3"/>
      <c r="K493" s="3"/>
      <c r="L493" s="6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5"/>
      <c r="AA493" s="3"/>
      <c r="AB493" s="3"/>
      <c r="AC493" s="3"/>
      <c r="AD493" s="5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7"/>
      <c r="AX493" s="7"/>
      <c r="AY493" s="7"/>
      <c r="AZ493" s="7"/>
      <c r="BA493" s="8"/>
      <c r="BB493" s="3"/>
      <c r="BC493" s="3"/>
      <c r="BD493" s="3"/>
      <c r="BE493" s="3"/>
    </row>
    <row r="494" spans="1:57" x14ac:dyDescent="0.25">
      <c r="A494" s="2"/>
      <c r="D494" s="3"/>
      <c r="E494" s="4"/>
      <c r="F494" s="5"/>
      <c r="G494" s="5"/>
      <c r="J494" s="3"/>
      <c r="K494" s="3"/>
      <c r="L494" s="6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5"/>
      <c r="AA494" s="3"/>
      <c r="AB494" s="3"/>
      <c r="AC494" s="3"/>
      <c r="AD494" s="5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7"/>
      <c r="AX494" s="7"/>
      <c r="AY494" s="7"/>
      <c r="AZ494" s="7"/>
      <c r="BA494" s="8"/>
      <c r="BB494" s="3"/>
      <c r="BC494" s="3"/>
      <c r="BD494" s="3"/>
      <c r="BE494" s="3"/>
    </row>
    <row r="495" spans="1:57" x14ac:dyDescent="0.25">
      <c r="A495" s="2"/>
      <c r="D495" s="3"/>
      <c r="E495" s="4"/>
      <c r="F495" s="5"/>
      <c r="G495" s="5"/>
      <c r="J495" s="3"/>
      <c r="K495" s="3"/>
      <c r="L495" s="6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5"/>
      <c r="AA495" s="3"/>
      <c r="AB495" s="3"/>
      <c r="AC495" s="3"/>
      <c r="AD495" s="5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7"/>
      <c r="AX495" s="7"/>
      <c r="AY495" s="7"/>
      <c r="AZ495" s="7"/>
      <c r="BA495" s="8"/>
      <c r="BB495" s="3"/>
      <c r="BC495" s="3"/>
      <c r="BD495" s="3"/>
      <c r="BE495" s="3"/>
    </row>
    <row r="496" spans="1:57" x14ac:dyDescent="0.25">
      <c r="A496" s="2"/>
      <c r="D496" s="3"/>
      <c r="E496" s="4"/>
      <c r="F496" s="5"/>
      <c r="G496" s="5"/>
      <c r="J496" s="3"/>
      <c r="K496" s="3"/>
      <c r="L496" s="6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5"/>
      <c r="AA496" s="3"/>
      <c r="AB496" s="3"/>
      <c r="AC496" s="3"/>
      <c r="AD496" s="5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7"/>
      <c r="AX496" s="7"/>
      <c r="AY496" s="7"/>
      <c r="AZ496" s="7"/>
      <c r="BA496" s="8"/>
      <c r="BB496" s="3"/>
      <c r="BC496" s="3"/>
      <c r="BD496" s="3"/>
      <c r="BE496" s="3"/>
    </row>
    <row r="497" spans="1:57" x14ac:dyDescent="0.25">
      <c r="A497" s="2"/>
      <c r="D497" s="3"/>
      <c r="E497" s="4"/>
      <c r="F497" s="5"/>
      <c r="G497" s="5"/>
      <c r="J497" s="3"/>
      <c r="K497" s="3"/>
      <c r="L497" s="6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5"/>
      <c r="AA497" s="3"/>
      <c r="AB497" s="3"/>
      <c r="AC497" s="3"/>
      <c r="AD497" s="5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7"/>
      <c r="AX497" s="7"/>
      <c r="AY497" s="7"/>
      <c r="AZ497" s="7"/>
      <c r="BA497" s="8"/>
      <c r="BB497" s="3"/>
      <c r="BC497" s="3"/>
      <c r="BD497" s="3"/>
      <c r="BE497" s="3"/>
    </row>
    <row r="498" spans="1:57" x14ac:dyDescent="0.25">
      <c r="A498" s="2"/>
      <c r="D498" s="3"/>
      <c r="E498" s="4"/>
      <c r="F498" s="5"/>
      <c r="G498" s="5"/>
      <c r="J498" s="3"/>
      <c r="K498" s="3"/>
      <c r="L498" s="6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5"/>
      <c r="AA498" s="3"/>
      <c r="AB498" s="3"/>
      <c r="AC498" s="3"/>
      <c r="AD498" s="5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7"/>
      <c r="AX498" s="7"/>
      <c r="AY498" s="7"/>
      <c r="AZ498" s="7"/>
      <c r="BA498" s="8"/>
      <c r="BB498" s="3"/>
      <c r="BC498" s="3"/>
      <c r="BD498" s="3"/>
      <c r="BE498" s="3"/>
    </row>
    <row r="499" spans="1:57" x14ac:dyDescent="0.25">
      <c r="A499" s="2"/>
      <c r="D499" s="3"/>
      <c r="E499" s="4"/>
      <c r="F499" s="5"/>
      <c r="G499" s="5"/>
      <c r="J499" s="3"/>
      <c r="K499" s="3"/>
      <c r="L499" s="6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5"/>
      <c r="AA499" s="3"/>
      <c r="AB499" s="3"/>
      <c r="AC499" s="3"/>
      <c r="AD499" s="5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7"/>
      <c r="AX499" s="7"/>
      <c r="AY499" s="7"/>
      <c r="AZ499" s="7"/>
      <c r="BA499" s="8"/>
      <c r="BB499" s="3"/>
      <c r="BC499" s="3"/>
      <c r="BD499" s="3"/>
      <c r="BE499" s="3"/>
    </row>
    <row r="500" spans="1:57" x14ac:dyDescent="0.25">
      <c r="A500" s="2"/>
      <c r="D500" s="3"/>
      <c r="E500" s="4"/>
      <c r="F500" s="5"/>
      <c r="G500" s="5"/>
      <c r="J500" s="3"/>
      <c r="K500" s="3"/>
      <c r="L500" s="6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5"/>
      <c r="AA500" s="3"/>
      <c r="AB500" s="3"/>
      <c r="AC500" s="3"/>
      <c r="AD500" s="5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7"/>
      <c r="AX500" s="7"/>
      <c r="AY500" s="7"/>
      <c r="AZ500" s="7"/>
      <c r="BA500" s="8"/>
      <c r="BB500" s="3"/>
      <c r="BC500" s="3"/>
      <c r="BD500" s="3"/>
      <c r="BE500" s="3"/>
    </row>
    <row r="501" spans="1:57" x14ac:dyDescent="0.25">
      <c r="A501" s="2"/>
      <c r="D501" s="3"/>
      <c r="E501" s="4"/>
      <c r="F501" s="5"/>
      <c r="G501" s="5"/>
      <c r="J501" s="3"/>
      <c r="K501" s="3"/>
      <c r="L501" s="6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5"/>
      <c r="AA501" s="3"/>
      <c r="AB501" s="3"/>
      <c r="AC501" s="3"/>
      <c r="AD501" s="5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7"/>
      <c r="AX501" s="7"/>
      <c r="AY501" s="7"/>
      <c r="AZ501" s="7"/>
      <c r="BA501" s="8"/>
      <c r="BB501" s="3"/>
      <c r="BC501" s="3"/>
      <c r="BD501" s="3"/>
      <c r="BE501" s="3"/>
    </row>
    <row r="502" spans="1:57" x14ac:dyDescent="0.25">
      <c r="A502" s="2"/>
      <c r="D502" s="3"/>
      <c r="E502" s="4"/>
      <c r="F502" s="5"/>
      <c r="G502" s="5"/>
      <c r="J502" s="3"/>
      <c r="K502" s="3"/>
      <c r="L502" s="6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5"/>
      <c r="AA502" s="3"/>
      <c r="AB502" s="3"/>
      <c r="AC502" s="3"/>
      <c r="AD502" s="5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7"/>
      <c r="AX502" s="7"/>
      <c r="AY502" s="7"/>
      <c r="AZ502" s="7"/>
      <c r="BA502" s="8"/>
      <c r="BB502" s="3"/>
      <c r="BC502" s="3"/>
      <c r="BD502" s="3"/>
      <c r="BE502" s="3"/>
    </row>
    <row r="503" spans="1:57" x14ac:dyDescent="0.25">
      <c r="A503" s="2"/>
      <c r="D503" s="3"/>
      <c r="E503" s="4"/>
      <c r="F503" s="5"/>
      <c r="G503" s="5"/>
      <c r="J503" s="3"/>
      <c r="K503" s="3"/>
      <c r="L503" s="6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5"/>
      <c r="AA503" s="3"/>
      <c r="AB503" s="3"/>
      <c r="AC503" s="3"/>
      <c r="AD503" s="5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7"/>
      <c r="AX503" s="7"/>
      <c r="AY503" s="7"/>
      <c r="AZ503" s="7"/>
      <c r="BA503" s="8"/>
      <c r="BB503" s="3"/>
      <c r="BC503" s="3"/>
      <c r="BD503" s="3"/>
      <c r="BE503" s="3"/>
    </row>
    <row r="504" spans="1:57" x14ac:dyDescent="0.25">
      <c r="A504" s="2"/>
      <c r="D504" s="3"/>
      <c r="E504" s="4"/>
      <c r="F504" s="5"/>
      <c r="G504" s="5"/>
      <c r="J504" s="3"/>
      <c r="K504" s="3"/>
      <c r="L504" s="6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5"/>
      <c r="AA504" s="3"/>
      <c r="AB504" s="3"/>
      <c r="AC504" s="3"/>
      <c r="AD504" s="5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7"/>
      <c r="AX504" s="7"/>
      <c r="AY504" s="7"/>
      <c r="AZ504" s="7"/>
      <c r="BA504" s="8"/>
      <c r="BB504" s="3"/>
      <c r="BC504" s="3"/>
      <c r="BD504" s="3"/>
      <c r="BE504" s="3"/>
    </row>
    <row r="505" spans="1:57" x14ac:dyDescent="0.25">
      <c r="A505" s="2"/>
      <c r="D505" s="3"/>
      <c r="E505" s="4"/>
      <c r="F505" s="5"/>
      <c r="G505" s="5"/>
      <c r="J505" s="3"/>
      <c r="K505" s="3"/>
      <c r="L505" s="6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5"/>
      <c r="AA505" s="3"/>
      <c r="AB505" s="3"/>
      <c r="AC505" s="3"/>
      <c r="AD505" s="5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7"/>
      <c r="AX505" s="7"/>
      <c r="AY505" s="7"/>
      <c r="AZ505" s="7"/>
      <c r="BA505" s="8"/>
      <c r="BB505" s="3"/>
      <c r="BC505" s="3"/>
      <c r="BD505" s="3"/>
      <c r="BE505" s="3"/>
    </row>
    <row r="506" spans="1:57" x14ac:dyDescent="0.25">
      <c r="A506" s="2"/>
      <c r="D506" s="3"/>
      <c r="E506" s="4"/>
      <c r="F506" s="5"/>
      <c r="G506" s="5"/>
      <c r="J506" s="3"/>
      <c r="K506" s="3"/>
      <c r="L506" s="6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5"/>
      <c r="AA506" s="3"/>
      <c r="AB506" s="3"/>
      <c r="AC506" s="3"/>
      <c r="AD506" s="5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7"/>
      <c r="AX506" s="7"/>
      <c r="AY506" s="7"/>
      <c r="AZ506" s="7"/>
      <c r="BA506" s="8"/>
      <c r="BB506" s="3"/>
      <c r="BC506" s="3"/>
      <c r="BD506" s="3"/>
      <c r="BE506" s="3"/>
    </row>
    <row r="507" spans="1:57" x14ac:dyDescent="0.25">
      <c r="A507" s="2"/>
      <c r="D507" s="3"/>
      <c r="E507" s="4"/>
      <c r="F507" s="5"/>
      <c r="G507" s="5"/>
      <c r="J507" s="3"/>
      <c r="K507" s="3"/>
      <c r="L507" s="6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5"/>
      <c r="AA507" s="3"/>
      <c r="AB507" s="3"/>
      <c r="AC507" s="3"/>
      <c r="AD507" s="5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7"/>
      <c r="AX507" s="7"/>
      <c r="AY507" s="7"/>
      <c r="AZ507" s="7"/>
      <c r="BA507" s="8"/>
      <c r="BB507" s="3"/>
      <c r="BC507" s="3"/>
      <c r="BD507" s="3"/>
      <c r="BE507" s="3"/>
    </row>
    <row r="508" spans="1:57" x14ac:dyDescent="0.25">
      <c r="A508" s="2"/>
      <c r="D508" s="3"/>
      <c r="E508" s="4"/>
      <c r="F508" s="5"/>
      <c r="G508" s="5"/>
      <c r="J508" s="3"/>
      <c r="K508" s="3"/>
      <c r="L508" s="6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5"/>
      <c r="AA508" s="3"/>
      <c r="AB508" s="3"/>
      <c r="AC508" s="3"/>
      <c r="AD508" s="5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7"/>
      <c r="AX508" s="7"/>
      <c r="AY508" s="7"/>
      <c r="AZ508" s="7"/>
      <c r="BA508" s="8"/>
      <c r="BB508" s="3"/>
      <c r="BC508" s="3"/>
      <c r="BD508" s="3"/>
      <c r="BE508" s="3"/>
    </row>
    <row r="509" spans="1:57" x14ac:dyDescent="0.25">
      <c r="A509" s="2"/>
      <c r="D509" s="3"/>
      <c r="E509" s="4"/>
      <c r="F509" s="5"/>
      <c r="G509" s="5"/>
      <c r="J509" s="3"/>
      <c r="K509" s="3"/>
      <c r="L509" s="6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5"/>
      <c r="AA509" s="3"/>
      <c r="AB509" s="3"/>
      <c r="AC509" s="3"/>
      <c r="AD509" s="5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7"/>
      <c r="AX509" s="7"/>
      <c r="AY509" s="7"/>
      <c r="AZ509" s="7"/>
      <c r="BA509" s="8"/>
      <c r="BB509" s="3"/>
      <c r="BC509" s="3"/>
      <c r="BD509" s="3"/>
      <c r="BE509" s="3"/>
    </row>
    <row r="510" spans="1:57" x14ac:dyDescent="0.25">
      <c r="A510" s="2"/>
      <c r="D510" s="3"/>
      <c r="E510" s="4"/>
      <c r="F510" s="5"/>
      <c r="G510" s="5"/>
      <c r="J510" s="3"/>
      <c r="K510" s="3"/>
      <c r="L510" s="6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5"/>
      <c r="AA510" s="3"/>
      <c r="AB510" s="3"/>
      <c r="AC510" s="3"/>
      <c r="AD510" s="5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7"/>
      <c r="AX510" s="7"/>
      <c r="AY510" s="7"/>
      <c r="AZ510" s="7"/>
      <c r="BA510" s="8"/>
      <c r="BB510" s="3"/>
      <c r="BC510" s="3"/>
      <c r="BD510" s="3"/>
      <c r="BE510" s="3"/>
    </row>
    <row r="511" spans="1:57" x14ac:dyDescent="0.25">
      <c r="A511" s="2"/>
      <c r="D511" s="3"/>
      <c r="E511" s="4"/>
      <c r="F511" s="5"/>
      <c r="G511" s="5"/>
      <c r="J511" s="3"/>
      <c r="K511" s="3"/>
      <c r="L511" s="6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5"/>
      <c r="AA511" s="3"/>
      <c r="AB511" s="3"/>
      <c r="AC511" s="3"/>
      <c r="AD511" s="5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7"/>
      <c r="AX511" s="7"/>
      <c r="AY511" s="7"/>
      <c r="AZ511" s="7"/>
      <c r="BA511" s="8"/>
      <c r="BB511" s="3"/>
      <c r="BC511" s="3"/>
      <c r="BD511" s="3"/>
      <c r="BE511" s="3"/>
    </row>
    <row r="512" spans="1:57" x14ac:dyDescent="0.25">
      <c r="A512" s="2"/>
      <c r="D512" s="3"/>
      <c r="E512" s="4"/>
      <c r="F512" s="5"/>
      <c r="G512" s="5"/>
      <c r="J512" s="3"/>
      <c r="K512" s="3"/>
      <c r="L512" s="6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5"/>
      <c r="AA512" s="3"/>
      <c r="AB512" s="3"/>
      <c r="AC512" s="3"/>
      <c r="AD512" s="5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7"/>
      <c r="AX512" s="7"/>
      <c r="AY512" s="7"/>
      <c r="AZ512" s="7"/>
      <c r="BA512" s="8"/>
      <c r="BB512" s="3"/>
      <c r="BC512" s="3"/>
      <c r="BD512" s="3"/>
      <c r="BE512" s="3"/>
    </row>
    <row r="513" spans="1:57" x14ac:dyDescent="0.25">
      <c r="A513" s="2"/>
      <c r="D513" s="3"/>
      <c r="E513" s="4"/>
      <c r="F513" s="5"/>
      <c r="G513" s="5"/>
      <c r="J513" s="3"/>
      <c r="K513" s="3"/>
      <c r="L513" s="6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5"/>
      <c r="AA513" s="3"/>
      <c r="AB513" s="3"/>
      <c r="AC513" s="3"/>
      <c r="AD513" s="5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7"/>
      <c r="AX513" s="7"/>
      <c r="AY513" s="7"/>
      <c r="AZ513" s="7"/>
      <c r="BA513" s="8"/>
      <c r="BB513" s="3"/>
      <c r="BC513" s="3"/>
      <c r="BD513" s="3"/>
      <c r="BE513" s="3"/>
    </row>
    <row r="514" spans="1:57" x14ac:dyDescent="0.25">
      <c r="A514" s="2"/>
      <c r="D514" s="3"/>
      <c r="E514" s="4"/>
      <c r="F514" s="5"/>
      <c r="G514" s="5"/>
      <c r="J514" s="3"/>
      <c r="K514" s="3"/>
      <c r="L514" s="6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5"/>
      <c r="AA514" s="3"/>
      <c r="AB514" s="3"/>
      <c r="AC514" s="3"/>
      <c r="AD514" s="5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7"/>
      <c r="AX514" s="7"/>
      <c r="AY514" s="7"/>
      <c r="AZ514" s="7"/>
      <c r="BA514" s="8"/>
      <c r="BB514" s="3"/>
      <c r="BC514" s="3"/>
      <c r="BD514" s="3"/>
      <c r="BE514" s="3"/>
    </row>
    <row r="515" spans="1:57" x14ac:dyDescent="0.25">
      <c r="A515" s="2"/>
      <c r="D515" s="3"/>
      <c r="E515" s="4"/>
      <c r="F515" s="5"/>
      <c r="G515" s="5"/>
      <c r="J515" s="3"/>
      <c r="K515" s="3"/>
      <c r="L515" s="6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5"/>
      <c r="AA515" s="3"/>
      <c r="AB515" s="3"/>
      <c r="AC515" s="3"/>
      <c r="AD515" s="5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7"/>
      <c r="AX515" s="7"/>
      <c r="AY515" s="7"/>
      <c r="AZ515" s="7"/>
      <c r="BA515" s="8"/>
      <c r="BB515" s="3"/>
      <c r="BC515" s="3"/>
      <c r="BD515" s="3"/>
      <c r="BE515" s="3"/>
    </row>
    <row r="516" spans="1:57" x14ac:dyDescent="0.25">
      <c r="A516" s="2"/>
      <c r="D516" s="3"/>
      <c r="E516" s="4"/>
      <c r="F516" s="5"/>
      <c r="G516" s="5"/>
      <c r="J516" s="3"/>
      <c r="K516" s="3"/>
      <c r="L516" s="6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5"/>
      <c r="AA516" s="3"/>
      <c r="AB516" s="3"/>
      <c r="AC516" s="3"/>
      <c r="AD516" s="5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7"/>
      <c r="AX516" s="7"/>
      <c r="AY516" s="7"/>
      <c r="AZ516" s="7"/>
      <c r="BA516" s="8"/>
      <c r="BB516" s="3"/>
      <c r="BC516" s="3"/>
      <c r="BD516" s="3"/>
      <c r="BE516" s="3"/>
    </row>
    <row r="517" spans="1:57" x14ac:dyDescent="0.25">
      <c r="A517" s="2"/>
      <c r="D517" s="3"/>
      <c r="E517" s="4"/>
      <c r="F517" s="5"/>
      <c r="G517" s="5"/>
      <c r="J517" s="3"/>
      <c r="K517" s="3"/>
      <c r="L517" s="6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5"/>
      <c r="AA517" s="3"/>
      <c r="AB517" s="3"/>
      <c r="AC517" s="3"/>
      <c r="AD517" s="5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7"/>
      <c r="AX517" s="7"/>
      <c r="AY517" s="7"/>
      <c r="AZ517" s="7"/>
      <c r="BA517" s="8"/>
      <c r="BB517" s="3"/>
      <c r="BC517" s="3"/>
      <c r="BD517" s="3"/>
      <c r="BE517" s="3"/>
    </row>
    <row r="518" spans="1:57" x14ac:dyDescent="0.25">
      <c r="A518" s="2"/>
      <c r="D518" s="3"/>
      <c r="E518" s="4"/>
      <c r="F518" s="5"/>
      <c r="G518" s="5"/>
      <c r="J518" s="3"/>
      <c r="K518" s="3"/>
      <c r="L518" s="6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5"/>
      <c r="AA518" s="3"/>
      <c r="AB518" s="3"/>
      <c r="AC518" s="3"/>
      <c r="AD518" s="5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7"/>
      <c r="AX518" s="7"/>
      <c r="AY518" s="7"/>
      <c r="AZ518" s="7"/>
      <c r="BA518" s="8"/>
      <c r="BB518" s="3"/>
      <c r="BC518" s="3"/>
      <c r="BD518" s="3"/>
      <c r="BE518" s="3"/>
    </row>
    <row r="519" spans="1:57" x14ac:dyDescent="0.25">
      <c r="A519" s="2"/>
      <c r="D519" s="3"/>
      <c r="E519" s="4"/>
      <c r="F519" s="5"/>
      <c r="G519" s="5"/>
      <c r="J519" s="3"/>
      <c r="K519" s="3"/>
      <c r="L519" s="6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5"/>
      <c r="AA519" s="3"/>
      <c r="AB519" s="3"/>
      <c r="AC519" s="3"/>
      <c r="AD519" s="5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7"/>
      <c r="AX519" s="7"/>
      <c r="AY519" s="7"/>
      <c r="AZ519" s="7"/>
      <c r="BA519" s="8"/>
      <c r="BB519" s="3"/>
      <c r="BC519" s="3"/>
      <c r="BD519" s="3"/>
      <c r="BE519" s="3"/>
    </row>
    <row r="520" spans="1:57" x14ac:dyDescent="0.25">
      <c r="A520" s="2"/>
      <c r="D520" s="3"/>
      <c r="E520" s="4"/>
      <c r="F520" s="5"/>
      <c r="G520" s="5"/>
      <c r="J520" s="3"/>
      <c r="K520" s="3"/>
      <c r="L520" s="6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5"/>
      <c r="AA520" s="3"/>
      <c r="AB520" s="3"/>
      <c r="AC520" s="3"/>
      <c r="AD520" s="5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7"/>
      <c r="AX520" s="7"/>
      <c r="AY520" s="7"/>
      <c r="AZ520" s="7"/>
      <c r="BA520" s="8"/>
      <c r="BB520" s="3"/>
      <c r="BC520" s="3"/>
      <c r="BD520" s="3"/>
      <c r="BE520" s="3"/>
    </row>
    <row r="521" spans="1:57" x14ac:dyDescent="0.25">
      <c r="A521" s="2"/>
      <c r="D521" s="3"/>
      <c r="E521" s="4"/>
      <c r="F521" s="5"/>
      <c r="G521" s="5"/>
      <c r="J521" s="3"/>
      <c r="K521" s="3"/>
      <c r="L521" s="6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5"/>
      <c r="AA521" s="3"/>
      <c r="AB521" s="3"/>
      <c r="AC521" s="3"/>
      <c r="AD521" s="5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7"/>
      <c r="AX521" s="7"/>
      <c r="AY521" s="7"/>
      <c r="AZ521" s="7"/>
      <c r="BA521" s="8"/>
      <c r="BB521" s="3"/>
      <c r="BC521" s="3"/>
      <c r="BD521" s="3"/>
      <c r="BE521" s="3"/>
    </row>
    <row r="522" spans="1:57" x14ac:dyDescent="0.25">
      <c r="A522" s="2"/>
      <c r="D522" s="3"/>
      <c r="E522" s="4"/>
      <c r="F522" s="5"/>
      <c r="G522" s="5"/>
      <c r="J522" s="3"/>
      <c r="K522" s="3"/>
      <c r="L522" s="6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5"/>
      <c r="AA522" s="3"/>
      <c r="AB522" s="3"/>
      <c r="AC522" s="3"/>
      <c r="AD522" s="5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7"/>
      <c r="AX522" s="7"/>
      <c r="AY522" s="7"/>
      <c r="AZ522" s="7"/>
      <c r="BA522" s="8"/>
      <c r="BB522" s="3"/>
      <c r="BC522" s="3"/>
      <c r="BD522" s="3"/>
      <c r="BE522" s="3"/>
    </row>
    <row r="523" spans="1:57" x14ac:dyDescent="0.25">
      <c r="A523" s="2"/>
      <c r="D523" s="3"/>
      <c r="E523" s="4"/>
      <c r="F523" s="5"/>
      <c r="G523" s="5"/>
      <c r="J523" s="3"/>
      <c r="K523" s="3"/>
      <c r="L523" s="6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5"/>
      <c r="AA523" s="3"/>
      <c r="AB523" s="3"/>
      <c r="AC523" s="3"/>
      <c r="AD523" s="5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7"/>
      <c r="AX523" s="7"/>
      <c r="AY523" s="7"/>
      <c r="AZ523" s="7"/>
      <c r="BA523" s="8"/>
      <c r="BB523" s="3"/>
      <c r="BC523" s="3"/>
      <c r="BD523" s="3"/>
      <c r="BE523" s="3"/>
    </row>
    <row r="524" spans="1:57" x14ac:dyDescent="0.25">
      <c r="A524" s="2"/>
      <c r="D524" s="3"/>
      <c r="E524" s="4"/>
      <c r="F524" s="5"/>
      <c r="G524" s="5"/>
      <c r="J524" s="3"/>
      <c r="K524" s="3"/>
      <c r="L524" s="6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5"/>
      <c r="AA524" s="3"/>
      <c r="AB524" s="3"/>
      <c r="AC524" s="3"/>
      <c r="AD524" s="5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7"/>
      <c r="AX524" s="7"/>
      <c r="AY524" s="7"/>
      <c r="AZ524" s="7"/>
      <c r="BA524" s="8"/>
      <c r="BB524" s="3"/>
      <c r="BC524" s="3"/>
      <c r="BD524" s="3"/>
      <c r="BE524" s="3"/>
    </row>
    <row r="525" spans="1:57" x14ac:dyDescent="0.25">
      <c r="A525" s="2"/>
      <c r="D525" s="3"/>
      <c r="E525" s="4"/>
      <c r="F525" s="5"/>
      <c r="G525" s="5"/>
      <c r="J525" s="3"/>
      <c r="K525" s="3"/>
      <c r="L525" s="6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5"/>
      <c r="AA525" s="3"/>
      <c r="AB525" s="3"/>
      <c r="AC525" s="3"/>
      <c r="AD525" s="5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7"/>
      <c r="AX525" s="7"/>
      <c r="AY525" s="7"/>
      <c r="AZ525" s="7"/>
      <c r="BA525" s="8"/>
      <c r="BB525" s="3"/>
      <c r="BC525" s="3"/>
      <c r="BD525" s="3"/>
      <c r="BE525" s="3"/>
    </row>
    <row r="526" spans="1:57" x14ac:dyDescent="0.25">
      <c r="A526" s="2"/>
      <c r="D526" s="3"/>
      <c r="E526" s="4"/>
      <c r="F526" s="5"/>
      <c r="G526" s="5"/>
      <c r="J526" s="3"/>
      <c r="K526" s="3"/>
      <c r="L526" s="6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5"/>
      <c r="AA526" s="3"/>
      <c r="AB526" s="3"/>
      <c r="AC526" s="3"/>
      <c r="AD526" s="5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7"/>
      <c r="AX526" s="7"/>
      <c r="AY526" s="7"/>
      <c r="AZ526" s="7"/>
      <c r="BA526" s="8"/>
      <c r="BB526" s="3"/>
      <c r="BC526" s="3"/>
      <c r="BD526" s="3"/>
      <c r="BE526" s="3"/>
    </row>
    <row r="527" spans="1:57" x14ac:dyDescent="0.25">
      <c r="A527" s="2"/>
      <c r="D527" s="3"/>
      <c r="E527" s="4"/>
      <c r="F527" s="5"/>
      <c r="G527" s="5"/>
      <c r="J527" s="3"/>
      <c r="K527" s="3"/>
      <c r="L527" s="6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5"/>
      <c r="AA527" s="3"/>
      <c r="AB527" s="3"/>
      <c r="AC527" s="3"/>
      <c r="AD527" s="5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7"/>
      <c r="AX527" s="7"/>
      <c r="AY527" s="7"/>
      <c r="AZ527" s="7"/>
      <c r="BA527" s="8"/>
      <c r="BB527" s="3"/>
      <c r="BC527" s="3"/>
      <c r="BD527" s="3"/>
      <c r="BE527" s="3"/>
    </row>
    <row r="528" spans="1:57" x14ac:dyDescent="0.25">
      <c r="A528" s="2"/>
      <c r="D528" s="3"/>
      <c r="E528" s="4"/>
      <c r="F528" s="5"/>
      <c r="G528" s="5"/>
      <c r="J528" s="3"/>
      <c r="K528" s="3"/>
      <c r="L528" s="6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5"/>
      <c r="AA528" s="3"/>
      <c r="AB528" s="3"/>
      <c r="AC528" s="3"/>
      <c r="AD528" s="5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7"/>
      <c r="AX528" s="7"/>
      <c r="AY528" s="7"/>
      <c r="AZ528" s="7"/>
      <c r="BA528" s="8"/>
      <c r="BB528" s="3"/>
      <c r="BC528" s="3"/>
      <c r="BD528" s="3"/>
      <c r="BE528" s="3"/>
    </row>
    <row r="529" spans="1:57" x14ac:dyDescent="0.25">
      <c r="A529" s="2"/>
      <c r="D529" s="3"/>
      <c r="E529" s="4"/>
      <c r="F529" s="5"/>
      <c r="G529" s="5"/>
      <c r="J529" s="3"/>
      <c r="K529" s="3"/>
      <c r="L529" s="6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5"/>
      <c r="AA529" s="3"/>
      <c r="AB529" s="3"/>
      <c r="AC529" s="3"/>
      <c r="AD529" s="5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7"/>
      <c r="AX529" s="7"/>
      <c r="AY529" s="7"/>
      <c r="AZ529" s="7"/>
      <c r="BA529" s="8"/>
      <c r="BB529" s="3"/>
      <c r="BC529" s="3"/>
      <c r="BD529" s="3"/>
      <c r="BE529" s="3"/>
    </row>
    <row r="530" spans="1:57" x14ac:dyDescent="0.25">
      <c r="A530" s="2"/>
      <c r="D530" s="3"/>
      <c r="E530" s="4"/>
      <c r="F530" s="5"/>
      <c r="G530" s="5"/>
      <c r="J530" s="3"/>
      <c r="K530" s="3"/>
      <c r="L530" s="6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5"/>
      <c r="AA530" s="3"/>
      <c r="AB530" s="3"/>
      <c r="AC530" s="3"/>
      <c r="AD530" s="5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7"/>
      <c r="AX530" s="7"/>
      <c r="AY530" s="7"/>
      <c r="AZ530" s="7"/>
      <c r="BA530" s="8"/>
      <c r="BB530" s="3"/>
      <c r="BC530" s="3"/>
      <c r="BD530" s="3"/>
      <c r="BE530" s="3"/>
    </row>
    <row r="531" spans="1:57" x14ac:dyDescent="0.25">
      <c r="A531" s="2"/>
      <c r="D531" s="3"/>
      <c r="E531" s="4"/>
      <c r="F531" s="5"/>
      <c r="G531" s="5"/>
      <c r="J531" s="3"/>
      <c r="K531" s="3"/>
      <c r="L531" s="6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5"/>
      <c r="AA531" s="3"/>
      <c r="AB531" s="3"/>
      <c r="AC531" s="3"/>
      <c r="AD531" s="5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7"/>
      <c r="AX531" s="7"/>
      <c r="AY531" s="7"/>
      <c r="AZ531" s="7"/>
      <c r="BA531" s="8"/>
      <c r="BB531" s="3"/>
      <c r="BC531" s="3"/>
      <c r="BD531" s="3"/>
      <c r="BE531" s="3"/>
    </row>
    <row r="532" spans="1:57" x14ac:dyDescent="0.25">
      <c r="A532" s="2"/>
      <c r="D532" s="3"/>
      <c r="E532" s="4"/>
      <c r="F532" s="5"/>
      <c r="G532" s="5"/>
      <c r="J532" s="3"/>
      <c r="K532" s="3"/>
      <c r="L532" s="6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5"/>
      <c r="AA532" s="3"/>
      <c r="AB532" s="3"/>
      <c r="AC532" s="3"/>
      <c r="AD532" s="5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7"/>
      <c r="AX532" s="7"/>
      <c r="AY532" s="7"/>
      <c r="AZ532" s="7"/>
      <c r="BA532" s="8"/>
      <c r="BB532" s="3"/>
      <c r="BC532" s="3"/>
      <c r="BD532" s="3"/>
      <c r="BE532" s="3"/>
    </row>
    <row r="533" spans="1:57" x14ac:dyDescent="0.25">
      <c r="A533" s="2"/>
      <c r="D533" s="3"/>
      <c r="E533" s="4"/>
      <c r="F533" s="5"/>
      <c r="G533" s="5"/>
      <c r="J533" s="3"/>
      <c r="K533" s="3"/>
      <c r="L533" s="6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5"/>
      <c r="AA533" s="3"/>
      <c r="AB533" s="3"/>
      <c r="AC533" s="3"/>
      <c r="AD533" s="5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7"/>
      <c r="AX533" s="7"/>
      <c r="AY533" s="7"/>
      <c r="AZ533" s="7"/>
      <c r="BA533" s="8"/>
      <c r="BB533" s="3"/>
      <c r="BC533" s="3"/>
      <c r="BD533" s="3"/>
      <c r="BE533" s="3"/>
    </row>
    <row r="534" spans="1:57" x14ac:dyDescent="0.25">
      <c r="A534" s="2"/>
      <c r="D534" s="3"/>
      <c r="E534" s="4"/>
      <c r="F534" s="5"/>
      <c r="G534" s="5"/>
      <c r="J534" s="3"/>
      <c r="K534" s="3"/>
      <c r="L534" s="6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5"/>
      <c r="AA534" s="3"/>
      <c r="AB534" s="3"/>
      <c r="AC534" s="3"/>
      <c r="AD534" s="5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7"/>
      <c r="AX534" s="7"/>
      <c r="AY534" s="7"/>
      <c r="AZ534" s="7"/>
      <c r="BA534" s="8"/>
      <c r="BB534" s="3"/>
      <c r="BC534" s="3"/>
      <c r="BD534" s="3"/>
      <c r="BE534" s="3"/>
    </row>
    <row r="535" spans="1:57" x14ac:dyDescent="0.25">
      <c r="A535" s="2"/>
      <c r="D535" s="3"/>
      <c r="E535" s="4"/>
      <c r="F535" s="5"/>
      <c r="G535" s="5"/>
      <c r="J535" s="3"/>
      <c r="K535" s="3"/>
      <c r="L535" s="6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5"/>
      <c r="AA535" s="3"/>
      <c r="AB535" s="3"/>
      <c r="AC535" s="3"/>
      <c r="AD535" s="5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7"/>
      <c r="AX535" s="7"/>
      <c r="AY535" s="7"/>
      <c r="AZ535" s="7"/>
      <c r="BA535" s="8"/>
      <c r="BB535" s="3"/>
      <c r="BC535" s="3"/>
      <c r="BD535" s="3"/>
      <c r="BE535" s="3"/>
    </row>
    <row r="536" spans="1:57" x14ac:dyDescent="0.25">
      <c r="A536" s="2"/>
      <c r="D536" s="3"/>
      <c r="E536" s="4"/>
      <c r="F536" s="5"/>
      <c r="G536" s="5"/>
      <c r="J536" s="3"/>
      <c r="K536" s="3"/>
      <c r="L536" s="6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5"/>
      <c r="AA536" s="3"/>
      <c r="AB536" s="3"/>
      <c r="AC536" s="3"/>
      <c r="AD536" s="5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7"/>
      <c r="AX536" s="7"/>
      <c r="AY536" s="7"/>
      <c r="AZ536" s="7"/>
      <c r="BA536" s="8"/>
      <c r="BB536" s="3"/>
      <c r="BC536" s="3"/>
      <c r="BD536" s="3"/>
      <c r="BE536" s="3"/>
    </row>
    <row r="537" spans="1:57" x14ac:dyDescent="0.25">
      <c r="A537" s="2"/>
      <c r="D537" s="3"/>
      <c r="E537" s="4"/>
      <c r="F537" s="5"/>
      <c r="G537" s="5"/>
      <c r="J537" s="3"/>
      <c r="K537" s="3"/>
      <c r="L537" s="6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5"/>
      <c r="AA537" s="3"/>
      <c r="AB537" s="3"/>
      <c r="AC537" s="3"/>
      <c r="AD537" s="5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7"/>
      <c r="AX537" s="7"/>
      <c r="AY537" s="7"/>
      <c r="AZ537" s="7"/>
      <c r="BA537" s="8"/>
      <c r="BB537" s="3"/>
      <c r="BC537" s="3"/>
      <c r="BD537" s="3"/>
      <c r="BE537" s="3"/>
    </row>
    <row r="538" spans="1:57" x14ac:dyDescent="0.25">
      <c r="A538" s="2"/>
      <c r="D538" s="3"/>
      <c r="E538" s="4"/>
      <c r="F538" s="5"/>
      <c r="G538" s="5"/>
      <c r="J538" s="3"/>
      <c r="K538" s="3"/>
      <c r="L538" s="6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5"/>
      <c r="AA538" s="3"/>
      <c r="AB538" s="3"/>
      <c r="AC538" s="3"/>
      <c r="AD538" s="5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7"/>
      <c r="AX538" s="7"/>
      <c r="AY538" s="7"/>
      <c r="AZ538" s="7"/>
      <c r="BA538" s="8"/>
      <c r="BB538" s="3"/>
      <c r="BC538" s="3"/>
      <c r="BD538" s="3"/>
      <c r="BE538" s="3"/>
    </row>
    <row r="539" spans="1:57" x14ac:dyDescent="0.25">
      <c r="A539" s="2"/>
      <c r="D539" s="3"/>
      <c r="E539" s="4"/>
      <c r="F539" s="5"/>
      <c r="G539" s="5"/>
      <c r="J539" s="3"/>
      <c r="K539" s="3"/>
      <c r="L539" s="6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5"/>
      <c r="AA539" s="3"/>
      <c r="AB539" s="3"/>
      <c r="AC539" s="3"/>
      <c r="AD539" s="5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7"/>
      <c r="AX539" s="7"/>
      <c r="AY539" s="7"/>
      <c r="AZ539" s="7"/>
      <c r="BA539" s="8"/>
      <c r="BB539" s="3"/>
      <c r="BC539" s="3"/>
      <c r="BD539" s="3"/>
      <c r="BE539" s="3"/>
    </row>
    <row r="540" spans="1:57" x14ac:dyDescent="0.25">
      <c r="A540" s="2"/>
      <c r="D540" s="3"/>
      <c r="E540" s="4"/>
      <c r="F540" s="5"/>
      <c r="G540" s="5"/>
      <c r="J540" s="3"/>
      <c r="K540" s="3"/>
      <c r="L540" s="6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5"/>
      <c r="AA540" s="3"/>
      <c r="AB540" s="3"/>
      <c r="AC540" s="3"/>
      <c r="AD540" s="5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7"/>
      <c r="AX540" s="7"/>
      <c r="AY540" s="7"/>
      <c r="AZ540" s="7"/>
      <c r="BA540" s="8"/>
      <c r="BB540" s="3"/>
      <c r="BC540" s="3"/>
      <c r="BD540" s="3"/>
      <c r="BE540" s="3"/>
    </row>
    <row r="541" spans="1:57" x14ac:dyDescent="0.25">
      <c r="A541" s="2"/>
      <c r="D541" s="3"/>
      <c r="E541" s="4"/>
      <c r="F541" s="5"/>
      <c r="G541" s="5"/>
      <c r="J541" s="3"/>
      <c r="K541" s="3"/>
      <c r="L541" s="6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5"/>
      <c r="AA541" s="3"/>
      <c r="AB541" s="3"/>
      <c r="AC541" s="3"/>
      <c r="AD541" s="5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7"/>
      <c r="AX541" s="7"/>
      <c r="AY541" s="7"/>
      <c r="AZ541" s="7"/>
      <c r="BA541" s="8"/>
      <c r="BB541" s="3"/>
      <c r="BC541" s="3"/>
      <c r="BD541" s="3"/>
      <c r="BE541" s="3"/>
    </row>
    <row r="542" spans="1:57" x14ac:dyDescent="0.25">
      <c r="A542" s="2"/>
      <c r="D542" s="3"/>
      <c r="E542" s="4"/>
      <c r="F542" s="5"/>
      <c r="G542" s="5"/>
      <c r="J542" s="3"/>
      <c r="K542" s="3"/>
      <c r="L542" s="6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5"/>
      <c r="AA542" s="3"/>
      <c r="AB542" s="3"/>
      <c r="AC542" s="3"/>
      <c r="AD542" s="5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7"/>
      <c r="AX542" s="7"/>
      <c r="AY542" s="7"/>
      <c r="AZ542" s="7"/>
      <c r="BA542" s="8"/>
      <c r="BB542" s="3"/>
      <c r="BC542" s="3"/>
      <c r="BD542" s="3"/>
      <c r="BE542" s="3"/>
    </row>
    <row r="543" spans="1:57" x14ac:dyDescent="0.25">
      <c r="A543" s="2"/>
      <c r="D543" s="3"/>
      <c r="E543" s="4"/>
      <c r="F543" s="5"/>
      <c r="G543" s="5"/>
      <c r="J543" s="3"/>
      <c r="K543" s="3"/>
      <c r="L543" s="6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5"/>
      <c r="AA543" s="3"/>
      <c r="AB543" s="3"/>
      <c r="AC543" s="3"/>
      <c r="AD543" s="5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7"/>
      <c r="AX543" s="7"/>
      <c r="AY543" s="7"/>
      <c r="AZ543" s="7"/>
      <c r="BA543" s="8"/>
      <c r="BB543" s="3"/>
      <c r="BC543" s="3"/>
      <c r="BD543" s="3"/>
      <c r="BE543" s="3"/>
    </row>
    <row r="544" spans="1:57" x14ac:dyDescent="0.25">
      <c r="A544" s="2"/>
      <c r="D544" s="3"/>
      <c r="E544" s="4"/>
      <c r="F544" s="5"/>
      <c r="G544" s="5"/>
      <c r="J544" s="3"/>
      <c r="K544" s="3"/>
      <c r="L544" s="6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5"/>
      <c r="AA544" s="3"/>
      <c r="AB544" s="3"/>
      <c r="AC544" s="3"/>
      <c r="AD544" s="5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7"/>
      <c r="AX544" s="7"/>
      <c r="AY544" s="7"/>
      <c r="AZ544" s="7"/>
      <c r="BA544" s="8"/>
      <c r="BB544" s="3"/>
      <c r="BC544" s="3"/>
      <c r="BD544" s="3"/>
      <c r="BE544" s="3"/>
    </row>
    <row r="545" spans="1:57" x14ac:dyDescent="0.25">
      <c r="A545" s="2"/>
      <c r="D545" s="3"/>
      <c r="E545" s="4"/>
      <c r="F545" s="5"/>
      <c r="G545" s="5"/>
      <c r="J545" s="3"/>
      <c r="K545" s="3"/>
      <c r="L545" s="6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5"/>
      <c r="AA545" s="3"/>
      <c r="AB545" s="3"/>
      <c r="AC545" s="3"/>
      <c r="AD545" s="5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7"/>
      <c r="AX545" s="7"/>
      <c r="AY545" s="7"/>
      <c r="AZ545" s="7"/>
      <c r="BA545" s="8"/>
      <c r="BB545" s="3"/>
      <c r="BC545" s="3"/>
      <c r="BD545" s="3"/>
      <c r="BE545" s="3"/>
    </row>
    <row r="546" spans="1:57" x14ac:dyDescent="0.25">
      <c r="A546" s="2"/>
      <c r="D546" s="3"/>
      <c r="E546" s="4"/>
      <c r="F546" s="5"/>
      <c r="G546" s="5"/>
      <c r="J546" s="3"/>
      <c r="K546" s="3"/>
      <c r="L546" s="6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5"/>
      <c r="AA546" s="3"/>
      <c r="AB546" s="3"/>
      <c r="AC546" s="3"/>
      <c r="AD546" s="5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7"/>
      <c r="AX546" s="7"/>
      <c r="AY546" s="7"/>
      <c r="AZ546" s="7"/>
      <c r="BA546" s="8"/>
      <c r="BB546" s="3"/>
      <c r="BC546" s="3"/>
      <c r="BD546" s="3"/>
      <c r="BE546" s="3"/>
    </row>
    <row r="547" spans="1:57" x14ac:dyDescent="0.25">
      <c r="A547" s="2"/>
      <c r="D547" s="3"/>
      <c r="E547" s="4"/>
      <c r="F547" s="5"/>
      <c r="G547" s="5"/>
      <c r="J547" s="3"/>
      <c r="K547" s="3"/>
      <c r="L547" s="6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5"/>
      <c r="AA547" s="3"/>
      <c r="AB547" s="3"/>
      <c r="AC547" s="3"/>
      <c r="AD547" s="5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7"/>
      <c r="AX547" s="7"/>
      <c r="AY547" s="7"/>
      <c r="AZ547" s="7"/>
      <c r="BA547" s="8"/>
      <c r="BB547" s="3"/>
      <c r="BC547" s="3"/>
      <c r="BD547" s="3"/>
      <c r="BE547" s="3"/>
    </row>
    <row r="548" spans="1:57" x14ac:dyDescent="0.25">
      <c r="A548" s="2"/>
      <c r="D548" s="3"/>
      <c r="E548" s="4"/>
      <c r="F548" s="5"/>
      <c r="G548" s="5"/>
      <c r="J548" s="3"/>
      <c r="K548" s="3"/>
      <c r="L548" s="6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5"/>
      <c r="AA548" s="3"/>
      <c r="AB548" s="3"/>
      <c r="AC548" s="3"/>
      <c r="AD548" s="5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7"/>
      <c r="AX548" s="7"/>
      <c r="AY548" s="7"/>
      <c r="AZ548" s="7"/>
      <c r="BA548" s="8"/>
      <c r="BB548" s="3"/>
      <c r="BC548" s="3"/>
      <c r="BD548" s="3"/>
      <c r="BE548" s="3"/>
    </row>
    <row r="549" spans="1:57" x14ac:dyDescent="0.25">
      <c r="A549" s="2"/>
      <c r="D549" s="3"/>
      <c r="E549" s="4"/>
      <c r="F549" s="5"/>
      <c r="G549" s="5"/>
      <c r="J549" s="3"/>
      <c r="K549" s="3"/>
      <c r="L549" s="6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5"/>
      <c r="AA549" s="3"/>
      <c r="AB549" s="3"/>
      <c r="AC549" s="3"/>
      <c r="AD549" s="5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7"/>
      <c r="AX549" s="7"/>
      <c r="AY549" s="7"/>
      <c r="AZ549" s="7"/>
      <c r="BA549" s="8"/>
      <c r="BB549" s="3"/>
      <c r="BC549" s="3"/>
      <c r="BD549" s="3"/>
      <c r="BE549" s="3"/>
    </row>
    <row r="550" spans="1:57" x14ac:dyDescent="0.25">
      <c r="A550" s="2"/>
      <c r="D550" s="3"/>
      <c r="E550" s="4"/>
      <c r="F550" s="5"/>
      <c r="G550" s="5"/>
      <c r="J550" s="3"/>
      <c r="K550" s="3"/>
      <c r="L550" s="6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5"/>
      <c r="AA550" s="3"/>
      <c r="AB550" s="3"/>
      <c r="AC550" s="3"/>
      <c r="AD550" s="5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7"/>
      <c r="AX550" s="7"/>
      <c r="AY550" s="7"/>
      <c r="AZ550" s="7"/>
      <c r="BA550" s="8"/>
      <c r="BB550" s="3"/>
      <c r="BC550" s="3"/>
      <c r="BD550" s="3"/>
      <c r="BE550" s="3"/>
    </row>
    <row r="551" spans="1:57" x14ac:dyDescent="0.25">
      <c r="A551" s="2"/>
      <c r="D551" s="3"/>
      <c r="E551" s="4"/>
      <c r="F551" s="5"/>
      <c r="G551" s="5"/>
      <c r="J551" s="3"/>
      <c r="K551" s="3"/>
      <c r="L551" s="6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5"/>
      <c r="AA551" s="3"/>
      <c r="AB551" s="3"/>
      <c r="AC551" s="3"/>
      <c r="AD551" s="5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7"/>
      <c r="AX551" s="7"/>
      <c r="AY551" s="7"/>
      <c r="AZ551" s="7"/>
      <c r="BA551" s="8"/>
      <c r="BB551" s="3"/>
      <c r="BC551" s="3"/>
      <c r="BD551" s="3"/>
      <c r="BE551" s="3"/>
    </row>
    <row r="552" spans="1:57" x14ac:dyDescent="0.25">
      <c r="A552" s="2"/>
      <c r="D552" s="3"/>
      <c r="E552" s="4"/>
      <c r="F552" s="5"/>
      <c r="G552" s="5"/>
      <c r="J552" s="3"/>
      <c r="K552" s="3"/>
      <c r="L552" s="6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5"/>
      <c r="AA552" s="3"/>
      <c r="AB552" s="3"/>
      <c r="AC552" s="3"/>
      <c r="AD552" s="5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7"/>
      <c r="AX552" s="7"/>
      <c r="AY552" s="7"/>
      <c r="AZ552" s="7"/>
      <c r="BA552" s="8"/>
      <c r="BB552" s="3"/>
      <c r="BC552" s="3"/>
      <c r="BD552" s="3"/>
      <c r="BE552" s="3"/>
    </row>
    <row r="553" spans="1:57" x14ac:dyDescent="0.25">
      <c r="A553" s="2"/>
      <c r="D553" s="3"/>
      <c r="E553" s="4"/>
      <c r="F553" s="5"/>
      <c r="G553" s="5"/>
      <c r="J553" s="3"/>
      <c r="K553" s="3"/>
      <c r="L553" s="6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5"/>
      <c r="AA553" s="3"/>
      <c r="AB553" s="3"/>
      <c r="AC553" s="3"/>
      <c r="AD553" s="5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7"/>
      <c r="AX553" s="7"/>
      <c r="AY553" s="7"/>
      <c r="AZ553" s="7"/>
      <c r="BA553" s="8"/>
      <c r="BB553" s="3"/>
      <c r="BC553" s="3"/>
      <c r="BD553" s="3"/>
      <c r="BE553" s="3"/>
    </row>
    <row r="554" spans="1:57" x14ac:dyDescent="0.25">
      <c r="A554" s="2"/>
      <c r="D554" s="3"/>
      <c r="E554" s="4"/>
      <c r="F554" s="5"/>
      <c r="G554" s="5"/>
      <c r="J554" s="3"/>
      <c r="K554" s="3"/>
      <c r="L554" s="6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5"/>
      <c r="AA554" s="3"/>
      <c r="AB554" s="3"/>
      <c r="AC554" s="3"/>
      <c r="AD554" s="5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7"/>
      <c r="AX554" s="7"/>
      <c r="AY554" s="7"/>
      <c r="AZ554" s="7"/>
      <c r="BA554" s="8"/>
      <c r="BB554" s="3"/>
      <c r="BC554" s="3"/>
      <c r="BD554" s="3"/>
      <c r="BE554" s="3"/>
    </row>
    <row r="555" spans="1:57" x14ac:dyDescent="0.25">
      <c r="A555" s="2"/>
      <c r="D555" s="3"/>
      <c r="E555" s="4"/>
      <c r="F555" s="5"/>
      <c r="G555" s="5"/>
      <c r="J555" s="3"/>
      <c r="K555" s="3"/>
      <c r="L555" s="6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5"/>
      <c r="AA555" s="3"/>
      <c r="AB555" s="3"/>
      <c r="AC555" s="3"/>
      <c r="AD555" s="5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7"/>
      <c r="AX555" s="7"/>
      <c r="AY555" s="7"/>
      <c r="AZ555" s="7"/>
      <c r="BA555" s="8"/>
      <c r="BB555" s="3"/>
      <c r="BC555" s="3"/>
      <c r="BD555" s="3"/>
      <c r="BE555" s="3"/>
    </row>
    <row r="556" spans="1:57" x14ac:dyDescent="0.25">
      <c r="A556" s="2"/>
      <c r="D556" s="3"/>
      <c r="E556" s="4"/>
      <c r="F556" s="5"/>
      <c r="G556" s="5"/>
      <c r="J556" s="3"/>
      <c r="K556" s="3"/>
      <c r="L556" s="6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5"/>
      <c r="AA556" s="3"/>
      <c r="AB556" s="3"/>
      <c r="AC556" s="3"/>
      <c r="AD556" s="5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7"/>
      <c r="AX556" s="7"/>
      <c r="AY556" s="7"/>
      <c r="AZ556" s="7"/>
      <c r="BA556" s="8"/>
      <c r="BB556" s="3"/>
      <c r="BC556" s="3"/>
      <c r="BD556" s="3"/>
      <c r="BE556" s="3"/>
    </row>
    <row r="557" spans="1:57" x14ac:dyDescent="0.25">
      <c r="A557" s="2"/>
      <c r="D557" s="3"/>
      <c r="E557" s="4"/>
      <c r="F557" s="5"/>
      <c r="G557" s="5"/>
      <c r="J557" s="3"/>
      <c r="K557" s="3"/>
      <c r="L557" s="6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5"/>
      <c r="AA557" s="3"/>
      <c r="AB557" s="3"/>
      <c r="AC557" s="3"/>
      <c r="AD557" s="5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7"/>
      <c r="AX557" s="7"/>
      <c r="AY557" s="7"/>
      <c r="AZ557" s="7"/>
      <c r="BA557" s="8"/>
      <c r="BB557" s="3"/>
      <c r="BC557" s="3"/>
      <c r="BD557" s="3"/>
      <c r="BE557" s="3"/>
    </row>
    <row r="558" spans="1:57" x14ac:dyDescent="0.25">
      <c r="A558" s="2"/>
      <c r="D558" s="3"/>
      <c r="E558" s="4"/>
      <c r="F558" s="5"/>
      <c r="G558" s="5"/>
      <c r="J558" s="3"/>
      <c r="K558" s="3"/>
      <c r="L558" s="6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5"/>
      <c r="AA558" s="3"/>
      <c r="AB558" s="3"/>
      <c r="AC558" s="3"/>
      <c r="AD558" s="5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7"/>
      <c r="AX558" s="7"/>
      <c r="AY558" s="7"/>
      <c r="AZ558" s="7"/>
      <c r="BA558" s="8"/>
      <c r="BB558" s="3"/>
      <c r="BC558" s="3"/>
      <c r="BD558" s="3"/>
      <c r="BE558" s="3"/>
    </row>
    <row r="559" spans="1:57" x14ac:dyDescent="0.25">
      <c r="A559" s="2"/>
      <c r="D559" s="3"/>
      <c r="E559" s="4"/>
      <c r="F559" s="5"/>
      <c r="G559" s="5"/>
      <c r="J559" s="3"/>
      <c r="K559" s="3"/>
      <c r="L559" s="6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5"/>
      <c r="AA559" s="3"/>
      <c r="AB559" s="3"/>
      <c r="AC559" s="3"/>
      <c r="AD559" s="5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7"/>
      <c r="AX559" s="7"/>
      <c r="AY559" s="7"/>
      <c r="AZ559" s="7"/>
      <c r="BA559" s="8"/>
      <c r="BB559" s="3"/>
      <c r="BC559" s="3"/>
      <c r="BD559" s="3"/>
      <c r="BE559" s="3"/>
    </row>
    <row r="560" spans="1:57" x14ac:dyDescent="0.25">
      <c r="A560" s="2"/>
      <c r="D560" s="3"/>
      <c r="E560" s="4"/>
      <c r="F560" s="5"/>
      <c r="G560" s="5"/>
      <c r="J560" s="3"/>
      <c r="K560" s="3"/>
      <c r="L560" s="6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5"/>
      <c r="AA560" s="3"/>
      <c r="AB560" s="3"/>
      <c r="AC560" s="3"/>
      <c r="AD560" s="5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7"/>
      <c r="AX560" s="7"/>
      <c r="AY560" s="7"/>
      <c r="AZ560" s="7"/>
      <c r="BA560" s="8"/>
      <c r="BB560" s="3"/>
      <c r="BC560" s="3"/>
      <c r="BD560" s="3"/>
      <c r="BE560" s="3"/>
    </row>
    <row r="561" spans="1:57" x14ac:dyDescent="0.25">
      <c r="A561" s="2"/>
      <c r="D561" s="3"/>
      <c r="E561" s="4"/>
      <c r="F561" s="5"/>
      <c r="G561" s="5"/>
      <c r="J561" s="3"/>
      <c r="K561" s="3"/>
      <c r="L561" s="6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5"/>
      <c r="AA561" s="3"/>
      <c r="AB561" s="3"/>
      <c r="AC561" s="3"/>
      <c r="AD561" s="5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7"/>
      <c r="AX561" s="7"/>
      <c r="AY561" s="7"/>
      <c r="AZ561" s="7"/>
      <c r="BA561" s="8"/>
      <c r="BB561" s="3"/>
      <c r="BC561" s="3"/>
      <c r="BD561" s="3"/>
      <c r="BE561" s="3"/>
    </row>
    <row r="562" spans="1:57" x14ac:dyDescent="0.25">
      <c r="A562" s="2"/>
      <c r="D562" s="3"/>
      <c r="E562" s="4"/>
      <c r="F562" s="5"/>
      <c r="G562" s="5"/>
      <c r="J562" s="3"/>
      <c r="K562" s="3"/>
      <c r="L562" s="6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5"/>
      <c r="AA562" s="3"/>
      <c r="AB562" s="3"/>
      <c r="AC562" s="3"/>
      <c r="AD562" s="5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7"/>
      <c r="AX562" s="7"/>
      <c r="AY562" s="7"/>
      <c r="AZ562" s="7"/>
      <c r="BA562" s="8"/>
      <c r="BB562" s="3"/>
      <c r="BC562" s="3"/>
      <c r="BD562" s="3"/>
      <c r="BE562" s="3"/>
    </row>
    <row r="563" spans="1:57" x14ac:dyDescent="0.25">
      <c r="A563" s="2"/>
      <c r="D563" s="3"/>
      <c r="E563" s="4"/>
      <c r="F563" s="5"/>
      <c r="G563" s="5"/>
      <c r="J563" s="3"/>
      <c r="K563" s="3"/>
      <c r="L563" s="6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5"/>
      <c r="AA563" s="3"/>
      <c r="AB563" s="3"/>
      <c r="AC563" s="3"/>
      <c r="AD563" s="5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7"/>
      <c r="AX563" s="7"/>
      <c r="AY563" s="7"/>
      <c r="AZ563" s="7"/>
      <c r="BA563" s="8"/>
      <c r="BB563" s="3"/>
      <c r="BC563" s="3"/>
      <c r="BD563" s="3"/>
      <c r="BE563" s="3"/>
    </row>
    <row r="564" spans="1:57" x14ac:dyDescent="0.25">
      <c r="A564" s="2"/>
      <c r="D564" s="3"/>
      <c r="E564" s="4"/>
      <c r="F564" s="5"/>
      <c r="G564" s="5"/>
      <c r="J564" s="3"/>
      <c r="K564" s="3"/>
      <c r="L564" s="6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5"/>
      <c r="AA564" s="3"/>
      <c r="AB564" s="3"/>
      <c r="AC564" s="3"/>
      <c r="AD564" s="5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7"/>
      <c r="AX564" s="7"/>
      <c r="AY564" s="7"/>
      <c r="AZ564" s="7"/>
      <c r="BA564" s="8"/>
      <c r="BB564" s="3"/>
      <c r="BC564" s="3"/>
      <c r="BD564" s="3"/>
      <c r="BE564" s="3"/>
    </row>
    <row r="565" spans="1:57" x14ac:dyDescent="0.25">
      <c r="A565" s="2"/>
      <c r="D565" s="3"/>
      <c r="E565" s="4"/>
      <c r="F565" s="5"/>
      <c r="G565" s="5"/>
      <c r="J565" s="3"/>
      <c r="K565" s="3"/>
      <c r="L565" s="6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5"/>
      <c r="AA565" s="3"/>
      <c r="AB565" s="3"/>
      <c r="AC565" s="3"/>
      <c r="AD565" s="5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7"/>
      <c r="AX565" s="7"/>
      <c r="AY565" s="7"/>
      <c r="AZ565" s="7"/>
      <c r="BA565" s="8"/>
      <c r="BB565" s="3"/>
      <c r="BC565" s="3"/>
      <c r="BD565" s="3"/>
      <c r="BE565" s="3"/>
    </row>
    <row r="566" spans="1:57" x14ac:dyDescent="0.25">
      <c r="A566" s="2"/>
      <c r="D566" s="3"/>
      <c r="E566" s="4"/>
      <c r="F566" s="5"/>
      <c r="G566" s="5"/>
      <c r="J566" s="3"/>
      <c r="K566" s="3"/>
      <c r="L566" s="6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5"/>
      <c r="AA566" s="3"/>
      <c r="AB566" s="3"/>
      <c r="AC566" s="3"/>
      <c r="AD566" s="5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7"/>
      <c r="AX566" s="7"/>
      <c r="AY566" s="7"/>
      <c r="AZ566" s="7"/>
      <c r="BA566" s="8"/>
      <c r="BB566" s="3"/>
      <c r="BC566" s="3"/>
      <c r="BD566" s="3"/>
      <c r="BE566" s="3"/>
    </row>
    <row r="567" spans="1:57" x14ac:dyDescent="0.25">
      <c r="A567" s="2"/>
      <c r="D567" s="3"/>
      <c r="E567" s="4"/>
      <c r="F567" s="5"/>
      <c r="G567" s="5"/>
      <c r="J567" s="3"/>
      <c r="K567" s="3"/>
      <c r="L567" s="6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5"/>
      <c r="AA567" s="3"/>
      <c r="AB567" s="3"/>
      <c r="AC567" s="3"/>
      <c r="AD567" s="5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7"/>
      <c r="AX567" s="7"/>
      <c r="AY567" s="7"/>
      <c r="AZ567" s="7"/>
      <c r="BA567" s="8"/>
      <c r="BB567" s="3"/>
      <c r="BC567" s="3"/>
      <c r="BD567" s="3"/>
      <c r="BE567" s="3"/>
    </row>
    <row r="568" spans="1:57" x14ac:dyDescent="0.25">
      <c r="A568" s="2"/>
      <c r="D568" s="3"/>
      <c r="E568" s="4"/>
      <c r="F568" s="5"/>
      <c r="G568" s="5"/>
      <c r="J568" s="3"/>
      <c r="K568" s="3"/>
      <c r="L568" s="6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5"/>
      <c r="AA568" s="3"/>
      <c r="AB568" s="3"/>
      <c r="AC568" s="3"/>
      <c r="AD568" s="5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7"/>
      <c r="AX568" s="7"/>
      <c r="AY568" s="7"/>
      <c r="AZ568" s="7"/>
      <c r="BA568" s="8"/>
      <c r="BB568" s="3"/>
      <c r="BC568" s="3"/>
      <c r="BD568" s="3"/>
      <c r="BE568" s="3"/>
    </row>
    <row r="569" spans="1:57" x14ac:dyDescent="0.25">
      <c r="A569" s="2"/>
      <c r="D569" s="3"/>
      <c r="E569" s="4"/>
      <c r="F569" s="5"/>
      <c r="G569" s="5"/>
      <c r="J569" s="3"/>
      <c r="K569" s="3"/>
      <c r="L569" s="6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5"/>
      <c r="AA569" s="3"/>
      <c r="AB569" s="3"/>
      <c r="AC569" s="3"/>
      <c r="AD569" s="5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7"/>
      <c r="AX569" s="7"/>
      <c r="AY569" s="7"/>
      <c r="AZ569" s="7"/>
      <c r="BA569" s="8"/>
      <c r="BB569" s="3"/>
      <c r="BC569" s="3"/>
      <c r="BD569" s="3"/>
      <c r="BE569" s="3"/>
    </row>
    <row r="570" spans="1:57" x14ac:dyDescent="0.25">
      <c r="A570" s="2"/>
      <c r="D570" s="3"/>
      <c r="E570" s="4"/>
      <c r="F570" s="5"/>
      <c r="G570" s="5"/>
      <c r="J570" s="3"/>
      <c r="K570" s="3"/>
      <c r="L570" s="6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5"/>
      <c r="AA570" s="3"/>
      <c r="AB570" s="3"/>
      <c r="AC570" s="3"/>
      <c r="AD570" s="5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7"/>
      <c r="AX570" s="7"/>
      <c r="AY570" s="7"/>
      <c r="AZ570" s="7"/>
      <c r="BA570" s="8"/>
      <c r="BB570" s="3"/>
      <c r="BC570" s="3"/>
      <c r="BD570" s="3"/>
      <c r="BE570" s="3"/>
    </row>
    <row r="571" spans="1:57" x14ac:dyDescent="0.25">
      <c r="A571" s="2"/>
      <c r="D571" s="3"/>
      <c r="E571" s="4"/>
      <c r="F571" s="5"/>
      <c r="G571" s="5"/>
      <c r="J571" s="3"/>
      <c r="K571" s="3"/>
      <c r="L571" s="6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5"/>
      <c r="AA571" s="3"/>
      <c r="AB571" s="3"/>
      <c r="AC571" s="3"/>
      <c r="AD571" s="5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7"/>
      <c r="AX571" s="7"/>
      <c r="AY571" s="7"/>
      <c r="AZ571" s="7"/>
      <c r="BA571" s="8"/>
      <c r="BB571" s="3"/>
      <c r="BC571" s="3"/>
      <c r="BD571" s="3"/>
      <c r="BE571" s="3"/>
    </row>
    <row r="572" spans="1:57" x14ac:dyDescent="0.25">
      <c r="A572" s="2"/>
      <c r="D572" s="3"/>
      <c r="E572" s="4"/>
      <c r="F572" s="5"/>
      <c r="G572" s="5"/>
      <c r="J572" s="3"/>
      <c r="K572" s="3"/>
      <c r="L572" s="6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5"/>
      <c r="AA572" s="3"/>
      <c r="AB572" s="3"/>
      <c r="AC572" s="3"/>
      <c r="AD572" s="5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7"/>
      <c r="AX572" s="7"/>
      <c r="AY572" s="7"/>
      <c r="AZ572" s="7"/>
      <c r="BA572" s="8"/>
      <c r="BB572" s="3"/>
      <c r="BC572" s="3"/>
      <c r="BD572" s="3"/>
      <c r="BE572" s="3"/>
    </row>
    <row r="573" spans="1:57" x14ac:dyDescent="0.25">
      <c r="A573" s="2"/>
      <c r="D573" s="3"/>
      <c r="E573" s="4"/>
      <c r="F573" s="5"/>
      <c r="G573" s="5"/>
      <c r="J573" s="3"/>
      <c r="K573" s="3"/>
      <c r="L573" s="6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5"/>
      <c r="AA573" s="3"/>
      <c r="AB573" s="3"/>
      <c r="AC573" s="3"/>
      <c r="AD573" s="5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7"/>
      <c r="AX573" s="7"/>
      <c r="AY573" s="7"/>
      <c r="AZ573" s="7"/>
      <c r="BA573" s="8"/>
      <c r="BB573" s="3"/>
      <c r="BC573" s="3"/>
      <c r="BD573" s="3"/>
      <c r="BE573" s="3"/>
    </row>
    <row r="574" spans="1:57" x14ac:dyDescent="0.25">
      <c r="A574" s="2"/>
      <c r="D574" s="3"/>
      <c r="E574" s="4"/>
      <c r="F574" s="5"/>
      <c r="G574" s="5"/>
      <c r="J574" s="3"/>
      <c r="K574" s="3"/>
      <c r="L574" s="6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5"/>
      <c r="AA574" s="3"/>
      <c r="AB574" s="3"/>
      <c r="AC574" s="3"/>
      <c r="AD574" s="5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7"/>
      <c r="AX574" s="7"/>
      <c r="AY574" s="7"/>
      <c r="AZ574" s="7"/>
      <c r="BA574" s="8"/>
      <c r="BB574" s="3"/>
      <c r="BC574" s="3"/>
      <c r="BD574" s="3"/>
      <c r="BE574" s="3"/>
    </row>
    <row r="575" spans="1:57" x14ac:dyDescent="0.25">
      <c r="A575" s="2"/>
      <c r="D575" s="3"/>
      <c r="E575" s="4"/>
      <c r="F575" s="5"/>
      <c r="G575" s="5"/>
      <c r="J575" s="3"/>
      <c r="K575" s="3"/>
      <c r="L575" s="6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5"/>
      <c r="AA575" s="3"/>
      <c r="AB575" s="3"/>
      <c r="AC575" s="3"/>
      <c r="AD575" s="5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7"/>
      <c r="AX575" s="7"/>
      <c r="AY575" s="7"/>
      <c r="AZ575" s="7"/>
      <c r="BA575" s="8"/>
      <c r="BB575" s="3"/>
      <c r="BC575" s="3"/>
      <c r="BD575" s="3"/>
      <c r="BE575" s="3"/>
    </row>
    <row r="576" spans="1:57" x14ac:dyDescent="0.25">
      <c r="A576" s="2"/>
      <c r="D576" s="3"/>
      <c r="E576" s="4"/>
      <c r="F576" s="5"/>
      <c r="G576" s="5"/>
      <c r="J576" s="3"/>
      <c r="K576" s="3"/>
      <c r="L576" s="6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5"/>
      <c r="AA576" s="3"/>
      <c r="AB576" s="3"/>
      <c r="AC576" s="3"/>
      <c r="AD576" s="5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7"/>
      <c r="AX576" s="7"/>
      <c r="AY576" s="7"/>
      <c r="AZ576" s="7"/>
      <c r="BA576" s="8"/>
      <c r="BB576" s="3"/>
      <c r="BC576" s="3"/>
      <c r="BD576" s="3"/>
      <c r="BE576" s="3"/>
    </row>
    <row r="577" spans="1:57" x14ac:dyDescent="0.25">
      <c r="A577" s="2"/>
      <c r="D577" s="3"/>
      <c r="E577" s="4"/>
      <c r="F577" s="5"/>
      <c r="G577" s="5"/>
      <c r="J577" s="3"/>
      <c r="K577" s="3"/>
      <c r="L577" s="6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5"/>
      <c r="AA577" s="3"/>
      <c r="AB577" s="3"/>
      <c r="AC577" s="3"/>
      <c r="AD577" s="5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7"/>
      <c r="AX577" s="7"/>
      <c r="AY577" s="7"/>
      <c r="AZ577" s="7"/>
      <c r="BA577" s="8"/>
      <c r="BB577" s="3"/>
      <c r="BC577" s="3"/>
      <c r="BD577" s="3"/>
      <c r="BE577" s="3"/>
    </row>
    <row r="578" spans="1:57" x14ac:dyDescent="0.25">
      <c r="A578" s="2"/>
      <c r="D578" s="3"/>
      <c r="E578" s="4"/>
      <c r="F578" s="5"/>
      <c r="G578" s="5"/>
      <c r="J578" s="3"/>
      <c r="K578" s="3"/>
      <c r="L578" s="6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5"/>
      <c r="AA578" s="3"/>
      <c r="AB578" s="3"/>
      <c r="AC578" s="3"/>
      <c r="AD578" s="5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7"/>
      <c r="AX578" s="7"/>
      <c r="AY578" s="7"/>
      <c r="AZ578" s="7"/>
      <c r="BA578" s="8"/>
      <c r="BB578" s="3"/>
      <c r="BC578" s="3"/>
      <c r="BD578" s="3"/>
      <c r="BE578" s="3"/>
    </row>
    <row r="579" spans="1:57" x14ac:dyDescent="0.25">
      <c r="A579" s="2"/>
      <c r="D579" s="3"/>
      <c r="E579" s="4"/>
      <c r="F579" s="5"/>
      <c r="G579" s="5"/>
      <c r="J579" s="3"/>
      <c r="K579" s="3"/>
      <c r="L579" s="6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5"/>
      <c r="AA579" s="3"/>
      <c r="AB579" s="3"/>
      <c r="AC579" s="3"/>
      <c r="AD579" s="5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7"/>
      <c r="AX579" s="7"/>
      <c r="AY579" s="7"/>
      <c r="AZ579" s="7"/>
      <c r="BA579" s="8"/>
      <c r="BB579" s="3"/>
      <c r="BC579" s="3"/>
      <c r="BD579" s="3"/>
      <c r="BE579" s="3"/>
    </row>
    <row r="580" spans="1:57" x14ac:dyDescent="0.25">
      <c r="A580" s="2"/>
      <c r="D580" s="3"/>
      <c r="E580" s="4"/>
      <c r="F580" s="5"/>
      <c r="G580" s="5"/>
      <c r="J580" s="3"/>
      <c r="K580" s="3"/>
      <c r="L580" s="6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5"/>
      <c r="AA580" s="3"/>
      <c r="AB580" s="3"/>
      <c r="AC580" s="3"/>
      <c r="AD580" s="5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7"/>
      <c r="AX580" s="7"/>
      <c r="AY580" s="7"/>
      <c r="AZ580" s="7"/>
      <c r="BA580" s="8"/>
      <c r="BB580" s="3"/>
      <c r="BC580" s="3"/>
      <c r="BD580" s="3"/>
      <c r="BE580" s="3"/>
    </row>
    <row r="581" spans="1:57" x14ac:dyDescent="0.25">
      <c r="A581" s="2"/>
      <c r="D581" s="3"/>
      <c r="E581" s="4"/>
      <c r="F581" s="5"/>
      <c r="G581" s="5"/>
      <c r="J581" s="3"/>
      <c r="K581" s="3"/>
      <c r="L581" s="6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5"/>
      <c r="AA581" s="3"/>
      <c r="AB581" s="3"/>
      <c r="AC581" s="3"/>
      <c r="AD581" s="5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7"/>
      <c r="AX581" s="7"/>
      <c r="AY581" s="7"/>
      <c r="AZ581" s="7"/>
      <c r="BA581" s="8"/>
      <c r="BB581" s="3"/>
      <c r="BC581" s="3"/>
      <c r="BD581" s="3"/>
      <c r="BE581" s="3"/>
    </row>
    <row r="582" spans="1:57" x14ac:dyDescent="0.25">
      <c r="A582" s="2"/>
      <c r="D582" s="3"/>
      <c r="E582" s="4"/>
      <c r="F582" s="5"/>
      <c r="G582" s="5"/>
      <c r="J582" s="3"/>
      <c r="K582" s="3"/>
      <c r="L582" s="6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5"/>
      <c r="AA582" s="3"/>
      <c r="AB582" s="3"/>
      <c r="AC582" s="3"/>
      <c r="AD582" s="5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7"/>
      <c r="AX582" s="7"/>
      <c r="AY582" s="7"/>
      <c r="AZ582" s="7"/>
      <c r="BA582" s="8"/>
      <c r="BB582" s="3"/>
      <c r="BC582" s="3"/>
      <c r="BD582" s="3"/>
      <c r="BE582" s="3"/>
    </row>
    <row r="583" spans="1:57" x14ac:dyDescent="0.25">
      <c r="A583" s="2"/>
      <c r="D583" s="3"/>
      <c r="E583" s="4"/>
      <c r="F583" s="5"/>
      <c r="G583" s="5"/>
      <c r="J583" s="3"/>
      <c r="K583" s="3"/>
      <c r="L583" s="6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5"/>
      <c r="AA583" s="3"/>
      <c r="AB583" s="3"/>
      <c r="AC583" s="3"/>
      <c r="AD583" s="5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7"/>
      <c r="AX583" s="7"/>
      <c r="AY583" s="7"/>
      <c r="AZ583" s="7"/>
      <c r="BA583" s="8"/>
      <c r="BB583" s="3"/>
      <c r="BC583" s="3"/>
      <c r="BD583" s="3"/>
      <c r="BE583" s="3"/>
    </row>
    <row r="584" spans="1:57" x14ac:dyDescent="0.25">
      <c r="A584" s="2"/>
      <c r="D584" s="3"/>
      <c r="E584" s="4"/>
      <c r="F584" s="5"/>
      <c r="G584" s="5"/>
      <c r="J584" s="3"/>
      <c r="K584" s="3"/>
      <c r="L584" s="6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5"/>
      <c r="AA584" s="3"/>
      <c r="AB584" s="3"/>
      <c r="AC584" s="3"/>
      <c r="AD584" s="5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7"/>
      <c r="AX584" s="7"/>
      <c r="AY584" s="7"/>
      <c r="AZ584" s="7"/>
      <c r="BA584" s="8"/>
      <c r="BB584" s="3"/>
      <c r="BC584" s="3"/>
      <c r="BD584" s="3"/>
      <c r="BE584" s="3"/>
    </row>
    <row r="585" spans="1:57" x14ac:dyDescent="0.25">
      <c r="A585" s="2"/>
      <c r="D585" s="3"/>
      <c r="E585" s="4"/>
      <c r="F585" s="5"/>
      <c r="G585" s="5"/>
      <c r="J585" s="3"/>
      <c r="K585" s="3"/>
      <c r="L585" s="6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5"/>
      <c r="AA585" s="3"/>
      <c r="AB585" s="3"/>
      <c r="AC585" s="3"/>
      <c r="AD585" s="5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7"/>
      <c r="AX585" s="7"/>
      <c r="AY585" s="7"/>
      <c r="AZ585" s="7"/>
      <c r="BA585" s="8"/>
      <c r="BB585" s="3"/>
      <c r="BC585" s="3"/>
      <c r="BD585" s="3"/>
      <c r="BE585" s="3"/>
    </row>
    <row r="586" spans="1:57" x14ac:dyDescent="0.25">
      <c r="A586" s="2"/>
      <c r="D586" s="3"/>
      <c r="E586" s="4"/>
      <c r="F586" s="5"/>
      <c r="G586" s="5"/>
      <c r="J586" s="3"/>
      <c r="K586" s="3"/>
      <c r="L586" s="6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5"/>
      <c r="AA586" s="3"/>
      <c r="AB586" s="3"/>
      <c r="AC586" s="3"/>
      <c r="AD586" s="5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7"/>
      <c r="AX586" s="7"/>
      <c r="AY586" s="7"/>
      <c r="AZ586" s="7"/>
      <c r="BA586" s="8"/>
      <c r="BB586" s="3"/>
      <c r="BC586" s="3"/>
      <c r="BD586" s="3"/>
      <c r="BE586" s="3"/>
    </row>
    <row r="587" spans="1:57" x14ac:dyDescent="0.25">
      <c r="A587" s="2"/>
      <c r="D587" s="3"/>
      <c r="E587" s="4"/>
      <c r="F587" s="5"/>
      <c r="G587" s="5"/>
      <c r="J587" s="3"/>
      <c r="K587" s="3"/>
      <c r="L587" s="6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5"/>
      <c r="AA587" s="3"/>
      <c r="AB587" s="3"/>
      <c r="AC587" s="3"/>
      <c r="AD587" s="5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7"/>
      <c r="AX587" s="7"/>
      <c r="AY587" s="7"/>
      <c r="AZ587" s="7"/>
      <c r="BA587" s="8"/>
      <c r="BB587" s="3"/>
      <c r="BC587" s="3"/>
      <c r="BD587" s="3"/>
      <c r="BE587" s="3"/>
    </row>
    <row r="588" spans="1:57" x14ac:dyDescent="0.25">
      <c r="A588" s="2"/>
      <c r="D588" s="3"/>
      <c r="E588" s="4"/>
      <c r="F588" s="5"/>
      <c r="G588" s="5"/>
      <c r="J588" s="3"/>
      <c r="K588" s="3"/>
      <c r="L588" s="6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5"/>
      <c r="AA588" s="3"/>
      <c r="AB588" s="3"/>
      <c r="AC588" s="3"/>
      <c r="AD588" s="5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7"/>
      <c r="AX588" s="7"/>
      <c r="AY588" s="7"/>
      <c r="AZ588" s="7"/>
      <c r="BA588" s="8"/>
      <c r="BB588" s="3"/>
      <c r="BC588" s="3"/>
      <c r="BD588" s="3"/>
      <c r="BE588" s="3"/>
    </row>
    <row r="589" spans="1:57" x14ac:dyDescent="0.25">
      <c r="A589" s="2"/>
      <c r="D589" s="3"/>
      <c r="E589" s="4"/>
      <c r="F589" s="5"/>
      <c r="G589" s="5"/>
      <c r="J589" s="3"/>
      <c r="K589" s="3"/>
      <c r="L589" s="6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5"/>
      <c r="AA589" s="3"/>
      <c r="AB589" s="3"/>
      <c r="AC589" s="3"/>
      <c r="AD589" s="5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7"/>
      <c r="AX589" s="7"/>
      <c r="AY589" s="7"/>
      <c r="AZ589" s="7"/>
      <c r="BA589" s="8"/>
      <c r="BB589" s="3"/>
      <c r="BC589" s="3"/>
      <c r="BD589" s="3"/>
      <c r="BE589" s="3"/>
    </row>
    <row r="590" spans="1:57" x14ac:dyDescent="0.25">
      <c r="A590" s="2"/>
      <c r="D590" s="3"/>
      <c r="E590" s="4"/>
      <c r="F590" s="5"/>
      <c r="G590" s="5"/>
      <c r="J590" s="3"/>
      <c r="K590" s="3"/>
      <c r="L590" s="6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5"/>
      <c r="AA590" s="3"/>
      <c r="AB590" s="3"/>
      <c r="AC590" s="3"/>
      <c r="AD590" s="5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7"/>
      <c r="AX590" s="7"/>
      <c r="AY590" s="7"/>
      <c r="AZ590" s="7"/>
      <c r="BA590" s="8"/>
      <c r="BB590" s="3"/>
      <c r="BC590" s="3"/>
      <c r="BD590" s="3"/>
      <c r="BE590" s="3"/>
    </row>
    <row r="591" spans="1:57" x14ac:dyDescent="0.25">
      <c r="A591" s="2"/>
      <c r="D591" s="3"/>
      <c r="E591" s="4"/>
      <c r="F591" s="5"/>
      <c r="G591" s="5"/>
      <c r="J591" s="3"/>
      <c r="K591" s="3"/>
      <c r="L591" s="6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5"/>
      <c r="AA591" s="3"/>
      <c r="AB591" s="3"/>
      <c r="AC591" s="3"/>
      <c r="AD591" s="5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7"/>
      <c r="AX591" s="7"/>
      <c r="AY591" s="7"/>
      <c r="AZ591" s="7"/>
      <c r="BA591" s="8"/>
      <c r="BB591" s="3"/>
      <c r="BC591" s="3"/>
      <c r="BD591" s="3"/>
      <c r="BE591" s="3"/>
    </row>
    <row r="592" spans="1:57" x14ac:dyDescent="0.25">
      <c r="A592" s="2"/>
      <c r="D592" s="3"/>
      <c r="E592" s="4"/>
      <c r="F592" s="5"/>
      <c r="G592" s="5"/>
      <c r="J592" s="3"/>
      <c r="K592" s="3"/>
      <c r="L592" s="6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5"/>
      <c r="AA592" s="3"/>
      <c r="AB592" s="3"/>
      <c r="AC592" s="3"/>
      <c r="AD592" s="5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7"/>
      <c r="AX592" s="7"/>
      <c r="AY592" s="7"/>
      <c r="AZ592" s="7"/>
      <c r="BA592" s="8"/>
      <c r="BB592" s="3"/>
      <c r="BC592" s="3"/>
      <c r="BD592" s="3"/>
      <c r="BE592" s="3"/>
    </row>
    <row r="593" spans="1:57" x14ac:dyDescent="0.25">
      <c r="A593" s="2"/>
      <c r="D593" s="3"/>
      <c r="E593" s="4"/>
      <c r="F593" s="5"/>
      <c r="G593" s="5"/>
      <c r="J593" s="3"/>
      <c r="K593" s="3"/>
      <c r="L593" s="6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5"/>
      <c r="AA593" s="3"/>
      <c r="AB593" s="3"/>
      <c r="AC593" s="3"/>
      <c r="AD593" s="5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7"/>
      <c r="AX593" s="7"/>
      <c r="AY593" s="7"/>
      <c r="AZ593" s="7"/>
      <c r="BA593" s="8"/>
      <c r="BB593" s="3"/>
      <c r="BC593" s="3"/>
      <c r="BD593" s="3"/>
      <c r="BE593" s="3"/>
    </row>
    <row r="594" spans="1:57" x14ac:dyDescent="0.25">
      <c r="A594" s="2"/>
      <c r="D594" s="3"/>
      <c r="E594" s="4"/>
      <c r="F594" s="5"/>
      <c r="G594" s="5"/>
      <c r="J594" s="3"/>
      <c r="K594" s="3"/>
      <c r="L594" s="6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5"/>
      <c r="AA594" s="3"/>
      <c r="AB594" s="3"/>
      <c r="AC594" s="3"/>
      <c r="AD594" s="5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7"/>
      <c r="AX594" s="7"/>
      <c r="AY594" s="7"/>
      <c r="AZ594" s="7"/>
      <c r="BA594" s="8"/>
      <c r="BB594" s="3"/>
      <c r="BC594" s="3"/>
      <c r="BD594" s="3"/>
      <c r="BE594" s="3"/>
    </row>
    <row r="595" spans="1:57" x14ac:dyDescent="0.25">
      <c r="A595" s="2"/>
      <c r="D595" s="3"/>
      <c r="E595" s="4"/>
      <c r="F595" s="5"/>
      <c r="G595" s="5"/>
      <c r="J595" s="3"/>
      <c r="K595" s="3"/>
      <c r="L595" s="6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5"/>
      <c r="AA595" s="3"/>
      <c r="AB595" s="3"/>
      <c r="AC595" s="3"/>
      <c r="AD595" s="5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7"/>
      <c r="AX595" s="7"/>
      <c r="AY595" s="7"/>
      <c r="AZ595" s="7"/>
      <c r="BA595" s="8"/>
      <c r="BB595" s="3"/>
      <c r="BC595" s="3"/>
      <c r="BD595" s="3"/>
      <c r="BE595" s="3"/>
    </row>
    <row r="596" spans="1:57" x14ac:dyDescent="0.25">
      <c r="A596" s="2"/>
      <c r="D596" s="3"/>
      <c r="E596" s="4"/>
      <c r="F596" s="5"/>
      <c r="G596" s="5"/>
      <c r="J596" s="3"/>
      <c r="K596" s="3"/>
      <c r="L596" s="6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5"/>
      <c r="AA596" s="3"/>
      <c r="AB596" s="3"/>
      <c r="AC596" s="3"/>
      <c r="AD596" s="5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7"/>
      <c r="AX596" s="7"/>
      <c r="AY596" s="7"/>
      <c r="AZ596" s="7"/>
      <c r="BA596" s="8"/>
      <c r="BB596" s="3"/>
      <c r="BC596" s="3"/>
      <c r="BD596" s="3"/>
      <c r="BE596" s="3"/>
    </row>
    <row r="597" spans="1:57" x14ac:dyDescent="0.25">
      <c r="A597" s="2"/>
      <c r="D597" s="3"/>
      <c r="E597" s="4"/>
      <c r="F597" s="5"/>
      <c r="G597" s="5"/>
      <c r="J597" s="3"/>
      <c r="K597" s="3"/>
      <c r="L597" s="6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5"/>
      <c r="AA597" s="3"/>
      <c r="AB597" s="3"/>
      <c r="AC597" s="3"/>
      <c r="AD597" s="5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7"/>
      <c r="AX597" s="7"/>
      <c r="AY597" s="7"/>
      <c r="AZ597" s="7"/>
      <c r="BA597" s="8"/>
      <c r="BB597" s="3"/>
      <c r="BC597" s="3"/>
      <c r="BD597" s="3"/>
      <c r="BE597" s="3"/>
    </row>
    <row r="598" spans="1:57" x14ac:dyDescent="0.25">
      <c r="A598" s="2"/>
      <c r="D598" s="3"/>
      <c r="E598" s="4"/>
      <c r="F598" s="5"/>
      <c r="G598" s="5"/>
      <c r="J598" s="3"/>
      <c r="K598" s="3"/>
      <c r="L598" s="6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5"/>
      <c r="AA598" s="3"/>
      <c r="AB598" s="3"/>
      <c r="AC598" s="3"/>
      <c r="AD598" s="5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7"/>
      <c r="AX598" s="7"/>
      <c r="AY598" s="7"/>
      <c r="AZ598" s="7"/>
      <c r="BA598" s="8"/>
      <c r="BB598" s="3"/>
      <c r="BC598" s="3"/>
      <c r="BD598" s="3"/>
      <c r="BE598" s="3"/>
    </row>
    <row r="599" spans="1:57" x14ac:dyDescent="0.25">
      <c r="A599" s="2"/>
      <c r="D599" s="3"/>
      <c r="E599" s="4"/>
      <c r="F599" s="5"/>
      <c r="G599" s="5"/>
      <c r="J599" s="3"/>
      <c r="K599" s="3"/>
      <c r="L599" s="6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5"/>
      <c r="AA599" s="3"/>
      <c r="AB599" s="3"/>
      <c r="AC599" s="3"/>
      <c r="AD599" s="5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7"/>
      <c r="AX599" s="7"/>
      <c r="AY599" s="7"/>
      <c r="AZ599" s="7"/>
      <c r="BA599" s="8"/>
      <c r="BB599" s="3"/>
      <c r="BC599" s="3"/>
      <c r="BD599" s="3"/>
      <c r="BE599" s="3"/>
    </row>
    <row r="600" spans="1:57" x14ac:dyDescent="0.25">
      <c r="A600" s="2"/>
      <c r="D600" s="3"/>
      <c r="E600" s="4"/>
      <c r="F600" s="5"/>
      <c r="G600" s="5"/>
      <c r="J600" s="3"/>
      <c r="K600" s="3"/>
      <c r="L600" s="6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5"/>
      <c r="AA600" s="3"/>
      <c r="AB600" s="3"/>
      <c r="AC600" s="3"/>
      <c r="AD600" s="5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7"/>
      <c r="AX600" s="7"/>
      <c r="AY600" s="7"/>
      <c r="AZ600" s="7"/>
      <c r="BA600" s="8"/>
      <c r="BB600" s="3"/>
      <c r="BC600" s="3"/>
      <c r="BD600" s="3"/>
      <c r="BE600" s="3"/>
    </row>
    <row r="601" spans="1:57" x14ac:dyDescent="0.25">
      <c r="A601" s="2"/>
      <c r="D601" s="3"/>
      <c r="E601" s="4"/>
      <c r="F601" s="5"/>
      <c r="G601" s="5"/>
      <c r="J601" s="3"/>
      <c r="K601" s="3"/>
      <c r="L601" s="6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5"/>
      <c r="AA601" s="3"/>
      <c r="AB601" s="3"/>
      <c r="AC601" s="3"/>
      <c r="AD601" s="5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7"/>
      <c r="AX601" s="7"/>
      <c r="AY601" s="7"/>
      <c r="AZ601" s="7"/>
      <c r="BA601" s="8"/>
      <c r="BB601" s="3"/>
      <c r="BC601" s="3"/>
      <c r="BD601" s="3"/>
      <c r="BE601" s="3"/>
    </row>
    <row r="602" spans="1:57" x14ac:dyDescent="0.25">
      <c r="A602" s="2"/>
      <c r="D602" s="3"/>
      <c r="E602" s="4"/>
      <c r="F602" s="5"/>
      <c r="G602" s="5"/>
      <c r="J602" s="3"/>
      <c r="K602" s="3"/>
      <c r="L602" s="6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5"/>
      <c r="AA602" s="3"/>
      <c r="AB602" s="3"/>
      <c r="AC602" s="3"/>
      <c r="AD602" s="5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7"/>
      <c r="AX602" s="7"/>
      <c r="AY602" s="7"/>
      <c r="AZ602" s="7"/>
      <c r="BA602" s="8"/>
      <c r="BB602" s="3"/>
      <c r="BC602" s="3"/>
      <c r="BD602" s="3"/>
      <c r="BE602" s="3"/>
    </row>
    <row r="603" spans="1:57" x14ac:dyDescent="0.25">
      <c r="A603" s="2"/>
      <c r="D603" s="3"/>
      <c r="E603" s="4"/>
      <c r="F603" s="5"/>
      <c r="G603" s="5"/>
      <c r="J603" s="3"/>
      <c r="K603" s="3"/>
      <c r="L603" s="6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5"/>
      <c r="AA603" s="3"/>
      <c r="AB603" s="3"/>
      <c r="AC603" s="3"/>
      <c r="AD603" s="5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7"/>
      <c r="AX603" s="7"/>
      <c r="AY603" s="7"/>
      <c r="AZ603" s="7"/>
      <c r="BA603" s="8"/>
      <c r="BB603" s="3"/>
      <c r="BC603" s="3"/>
      <c r="BD603" s="3"/>
      <c r="BE603" s="3"/>
    </row>
    <row r="604" spans="1:57" x14ac:dyDescent="0.25">
      <c r="A604" s="2"/>
      <c r="D604" s="3"/>
      <c r="E604" s="4"/>
      <c r="F604" s="5"/>
      <c r="G604" s="5"/>
      <c r="J604" s="3"/>
      <c r="K604" s="3"/>
      <c r="L604" s="6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5"/>
      <c r="AA604" s="3"/>
      <c r="AB604" s="3"/>
      <c r="AC604" s="3"/>
      <c r="AD604" s="5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7"/>
      <c r="AX604" s="7"/>
      <c r="AY604" s="7"/>
      <c r="AZ604" s="7"/>
      <c r="BA604" s="8"/>
      <c r="BB604" s="3"/>
      <c r="BC604" s="3"/>
      <c r="BD604" s="3"/>
      <c r="BE604" s="3"/>
    </row>
    <row r="605" spans="1:57" x14ac:dyDescent="0.25">
      <c r="A605" s="2"/>
      <c r="D605" s="3"/>
      <c r="E605" s="4"/>
      <c r="F605" s="5"/>
      <c r="G605" s="5"/>
      <c r="J605" s="3"/>
      <c r="K605" s="3"/>
      <c r="L605" s="6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5"/>
      <c r="AA605" s="3"/>
      <c r="AB605" s="3"/>
      <c r="AC605" s="3"/>
      <c r="AD605" s="5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7"/>
      <c r="AX605" s="7"/>
      <c r="AY605" s="7"/>
      <c r="AZ605" s="7"/>
      <c r="BA605" s="8"/>
      <c r="BB605" s="3"/>
      <c r="BC605" s="3"/>
      <c r="BD605" s="3"/>
      <c r="BE605" s="3"/>
    </row>
    <row r="606" spans="1:57" x14ac:dyDescent="0.25">
      <c r="A606" s="2"/>
      <c r="D606" s="3"/>
      <c r="E606" s="4"/>
      <c r="F606" s="5"/>
      <c r="G606" s="5"/>
      <c r="J606" s="3"/>
      <c r="K606" s="3"/>
      <c r="L606" s="6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5"/>
      <c r="AA606" s="3"/>
      <c r="AB606" s="3"/>
      <c r="AC606" s="3"/>
      <c r="AD606" s="5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7"/>
      <c r="AX606" s="7"/>
      <c r="AY606" s="7"/>
      <c r="AZ606" s="7"/>
      <c r="BA606" s="8"/>
      <c r="BB606" s="3"/>
      <c r="BC606" s="3"/>
      <c r="BD606" s="3"/>
      <c r="BE606" s="3"/>
    </row>
    <row r="607" spans="1:57" x14ac:dyDescent="0.25">
      <c r="A607" s="2"/>
      <c r="D607" s="3"/>
      <c r="E607" s="4"/>
      <c r="F607" s="5"/>
      <c r="G607" s="5"/>
      <c r="J607" s="3"/>
      <c r="K607" s="3"/>
      <c r="L607" s="6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5"/>
      <c r="AA607" s="3"/>
      <c r="AB607" s="3"/>
      <c r="AC607" s="3"/>
      <c r="AD607" s="5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7"/>
      <c r="AX607" s="7"/>
      <c r="AY607" s="7"/>
      <c r="AZ607" s="7"/>
      <c r="BA607" s="8"/>
      <c r="BB607" s="3"/>
      <c r="BC607" s="3"/>
      <c r="BD607" s="3"/>
      <c r="BE607" s="3"/>
    </row>
    <row r="608" spans="1:57" x14ac:dyDescent="0.25">
      <c r="A608" s="2"/>
      <c r="D608" s="3"/>
      <c r="E608" s="4"/>
      <c r="F608" s="5"/>
      <c r="G608" s="5"/>
      <c r="J608" s="3"/>
      <c r="K608" s="3"/>
      <c r="L608" s="6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5"/>
      <c r="AA608" s="3"/>
      <c r="AB608" s="3"/>
      <c r="AC608" s="3"/>
      <c r="AD608" s="5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7"/>
      <c r="AX608" s="7"/>
      <c r="AY608" s="7"/>
      <c r="AZ608" s="7"/>
      <c r="BA608" s="8"/>
      <c r="BB608" s="3"/>
      <c r="BC608" s="3"/>
      <c r="BD608" s="3"/>
      <c r="BE608" s="3"/>
    </row>
    <row r="609" spans="1:57" x14ac:dyDescent="0.25">
      <c r="A609" s="2"/>
      <c r="D609" s="3"/>
      <c r="E609" s="4"/>
      <c r="F609" s="5"/>
      <c r="G609" s="5"/>
      <c r="J609" s="3"/>
      <c r="K609" s="3"/>
      <c r="L609" s="6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5"/>
      <c r="AA609" s="3"/>
      <c r="AB609" s="3"/>
      <c r="AC609" s="3"/>
      <c r="AD609" s="5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7"/>
      <c r="AX609" s="7"/>
      <c r="AY609" s="7"/>
      <c r="AZ609" s="7"/>
      <c r="BA609" s="8"/>
      <c r="BB609" s="3"/>
      <c r="BC609" s="3"/>
      <c r="BD609" s="3"/>
      <c r="BE609" s="3"/>
    </row>
    <row r="610" spans="1:57" x14ac:dyDescent="0.25">
      <c r="A610" s="2"/>
      <c r="D610" s="3"/>
      <c r="E610" s="4"/>
      <c r="F610" s="5"/>
      <c r="G610" s="5"/>
      <c r="J610" s="3"/>
      <c r="K610" s="3"/>
      <c r="L610" s="6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5"/>
      <c r="AA610" s="3"/>
      <c r="AB610" s="3"/>
      <c r="AC610" s="3"/>
      <c r="AD610" s="5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7"/>
      <c r="AX610" s="7"/>
      <c r="AY610" s="7"/>
      <c r="AZ610" s="7"/>
      <c r="BA610" s="8"/>
      <c r="BB610" s="3"/>
      <c r="BC610" s="3"/>
      <c r="BD610" s="3"/>
      <c r="BE610" s="3"/>
    </row>
    <row r="611" spans="1:57" x14ac:dyDescent="0.25">
      <c r="A611" s="2"/>
      <c r="D611" s="3"/>
      <c r="E611" s="4"/>
      <c r="F611" s="5"/>
      <c r="G611" s="5"/>
      <c r="J611" s="3"/>
      <c r="K611" s="3"/>
      <c r="L611" s="6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5"/>
      <c r="AA611" s="3"/>
      <c r="AB611" s="3"/>
      <c r="AC611" s="3"/>
      <c r="AD611" s="5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7"/>
      <c r="AX611" s="7"/>
      <c r="AY611" s="7"/>
      <c r="AZ611" s="7"/>
      <c r="BA611" s="8"/>
      <c r="BB611" s="3"/>
      <c r="BC611" s="3"/>
      <c r="BD611" s="3"/>
      <c r="BE611" s="3"/>
    </row>
    <row r="612" spans="1:57" x14ac:dyDescent="0.25">
      <c r="A612" s="2"/>
      <c r="D612" s="3"/>
      <c r="E612" s="4"/>
      <c r="F612" s="5"/>
      <c r="G612" s="5"/>
      <c r="J612" s="3"/>
      <c r="K612" s="3"/>
      <c r="L612" s="6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5"/>
      <c r="AA612" s="3"/>
      <c r="AB612" s="3"/>
      <c r="AC612" s="3"/>
      <c r="AD612" s="5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7"/>
      <c r="AX612" s="7"/>
      <c r="AY612" s="7"/>
      <c r="AZ612" s="7"/>
      <c r="BA612" s="8"/>
      <c r="BB612" s="3"/>
      <c r="BC612" s="3"/>
      <c r="BD612" s="3"/>
      <c r="BE612" s="3"/>
    </row>
    <row r="613" spans="1:57" x14ac:dyDescent="0.25">
      <c r="A613" s="2"/>
      <c r="D613" s="3"/>
      <c r="E613" s="4"/>
      <c r="F613" s="5"/>
      <c r="G613" s="5"/>
      <c r="J613" s="3"/>
      <c r="K613" s="3"/>
      <c r="L613" s="6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5"/>
      <c r="AA613" s="3"/>
      <c r="AB613" s="3"/>
      <c r="AC613" s="3"/>
      <c r="AD613" s="5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7"/>
      <c r="AX613" s="7"/>
      <c r="AY613" s="7"/>
      <c r="AZ613" s="7"/>
      <c r="BA613" s="8"/>
      <c r="BB613" s="3"/>
      <c r="BC613" s="3"/>
      <c r="BD613" s="3"/>
      <c r="BE613" s="3"/>
    </row>
    <row r="614" spans="1:57" x14ac:dyDescent="0.25">
      <c r="A614" s="2"/>
      <c r="D614" s="3"/>
      <c r="E614" s="4"/>
      <c r="F614" s="5"/>
      <c r="G614" s="5"/>
      <c r="J614" s="3"/>
      <c r="K614" s="3"/>
      <c r="L614" s="6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5"/>
      <c r="AA614" s="3"/>
      <c r="AB614" s="3"/>
      <c r="AC614" s="3"/>
      <c r="AD614" s="5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7"/>
      <c r="AX614" s="7"/>
      <c r="AY614" s="7"/>
      <c r="AZ614" s="7"/>
      <c r="BA614" s="8"/>
      <c r="BB614" s="3"/>
      <c r="BC614" s="3"/>
      <c r="BD614" s="3"/>
      <c r="BE614" s="3"/>
    </row>
    <row r="615" spans="1:57" x14ac:dyDescent="0.25">
      <c r="A615" s="2"/>
      <c r="D615" s="3"/>
      <c r="E615" s="4"/>
      <c r="F615" s="5"/>
      <c r="G615" s="5"/>
      <c r="J615" s="3"/>
      <c r="K615" s="3"/>
      <c r="L615" s="6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5"/>
      <c r="AA615" s="3"/>
      <c r="AB615" s="3"/>
      <c r="AC615" s="3"/>
      <c r="AD615" s="5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7"/>
      <c r="AX615" s="7"/>
      <c r="AY615" s="7"/>
      <c r="AZ615" s="7"/>
      <c r="BA615" s="8"/>
      <c r="BB615" s="3"/>
      <c r="BC615" s="3"/>
      <c r="BD615" s="3"/>
      <c r="BE615" s="3"/>
    </row>
    <row r="616" spans="1:57" x14ac:dyDescent="0.25">
      <c r="A616" s="2"/>
      <c r="D616" s="3"/>
      <c r="E616" s="4"/>
      <c r="F616" s="5"/>
      <c r="G616" s="5"/>
      <c r="J616" s="3"/>
      <c r="K616" s="3"/>
      <c r="L616" s="6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5"/>
      <c r="AA616" s="3"/>
      <c r="AB616" s="3"/>
      <c r="AC616" s="3"/>
      <c r="AD616" s="5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7"/>
      <c r="AX616" s="7"/>
      <c r="AY616" s="7"/>
      <c r="AZ616" s="7"/>
      <c r="BA616" s="8"/>
      <c r="BB616" s="3"/>
      <c r="BC616" s="3"/>
      <c r="BD616" s="3"/>
      <c r="BE616" s="3"/>
    </row>
    <row r="617" spans="1:57" x14ac:dyDescent="0.25">
      <c r="A617" s="2"/>
      <c r="D617" s="3"/>
      <c r="E617" s="4"/>
      <c r="F617" s="5"/>
      <c r="G617" s="5"/>
      <c r="J617" s="3"/>
      <c r="K617" s="3"/>
      <c r="L617" s="6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5"/>
      <c r="AA617" s="3"/>
      <c r="AB617" s="3"/>
      <c r="AC617" s="3"/>
      <c r="AD617" s="5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7"/>
      <c r="AX617" s="7"/>
      <c r="AY617" s="7"/>
      <c r="AZ617" s="7"/>
      <c r="BA617" s="8"/>
      <c r="BB617" s="3"/>
      <c r="BC617" s="3"/>
      <c r="BD617" s="3"/>
      <c r="BE617" s="3"/>
    </row>
    <row r="618" spans="1:57" x14ac:dyDescent="0.25">
      <c r="A618" s="2"/>
      <c r="D618" s="3"/>
      <c r="E618" s="4"/>
      <c r="F618" s="5"/>
      <c r="G618" s="5"/>
      <c r="J618" s="3"/>
      <c r="K618" s="3"/>
      <c r="L618" s="6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5"/>
      <c r="AA618" s="3"/>
      <c r="AB618" s="3"/>
      <c r="AC618" s="3"/>
      <c r="AD618" s="5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7"/>
      <c r="AX618" s="7"/>
      <c r="AY618" s="7"/>
      <c r="AZ618" s="7"/>
      <c r="BA618" s="8"/>
      <c r="BB618" s="3"/>
      <c r="BC618" s="3"/>
      <c r="BD618" s="3"/>
      <c r="BE618" s="3"/>
    </row>
    <row r="619" spans="1:57" x14ac:dyDescent="0.25">
      <c r="A619" s="2"/>
      <c r="D619" s="3"/>
      <c r="E619" s="4"/>
      <c r="F619" s="5"/>
      <c r="G619" s="5"/>
      <c r="J619" s="3"/>
      <c r="K619" s="3"/>
      <c r="L619" s="6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5"/>
      <c r="AA619" s="3"/>
      <c r="AB619" s="3"/>
      <c r="AC619" s="3"/>
      <c r="AD619" s="5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7"/>
      <c r="AX619" s="7"/>
      <c r="AY619" s="7"/>
      <c r="AZ619" s="7"/>
      <c r="BA619" s="8"/>
      <c r="BB619" s="3"/>
      <c r="BC619" s="3"/>
      <c r="BD619" s="3"/>
      <c r="BE619" s="3"/>
    </row>
    <row r="620" spans="1:57" x14ac:dyDescent="0.25">
      <c r="A620" s="2"/>
      <c r="D620" s="3"/>
      <c r="E620" s="4"/>
      <c r="F620" s="5"/>
      <c r="G620" s="5"/>
      <c r="J620" s="3"/>
      <c r="K620" s="3"/>
      <c r="L620" s="6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5"/>
      <c r="AA620" s="3"/>
      <c r="AB620" s="3"/>
      <c r="AC620" s="3"/>
      <c r="AD620" s="5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7"/>
      <c r="AX620" s="7"/>
      <c r="AY620" s="7"/>
      <c r="AZ620" s="7"/>
      <c r="BA620" s="8"/>
      <c r="BB620" s="3"/>
      <c r="BC620" s="3"/>
      <c r="BD620" s="3"/>
      <c r="BE620" s="3"/>
    </row>
    <row r="621" spans="1:57" x14ac:dyDescent="0.25">
      <c r="A621" s="2"/>
      <c r="D621" s="3"/>
      <c r="E621" s="4"/>
      <c r="F621" s="5"/>
      <c r="G621" s="5"/>
      <c r="J621" s="3"/>
      <c r="K621" s="3"/>
      <c r="L621" s="6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5"/>
      <c r="AA621" s="3"/>
      <c r="AB621" s="3"/>
      <c r="AC621" s="3"/>
      <c r="AD621" s="5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7"/>
      <c r="AX621" s="7"/>
      <c r="AY621" s="7"/>
      <c r="AZ621" s="7"/>
      <c r="BA621" s="8"/>
      <c r="BB621" s="3"/>
      <c r="BC621" s="3"/>
      <c r="BD621" s="3"/>
      <c r="BE621" s="3"/>
    </row>
    <row r="622" spans="1:57" x14ac:dyDescent="0.25">
      <c r="A622" s="2"/>
      <c r="D622" s="3"/>
      <c r="E622" s="4"/>
      <c r="F622" s="5"/>
      <c r="G622" s="5"/>
      <c r="J622" s="3"/>
      <c r="K622" s="3"/>
      <c r="L622" s="6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5"/>
      <c r="AA622" s="3"/>
      <c r="AB622" s="3"/>
      <c r="AC622" s="3"/>
      <c r="AD622" s="5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7"/>
      <c r="AX622" s="7"/>
      <c r="AY622" s="7"/>
      <c r="AZ622" s="7"/>
      <c r="BA622" s="8"/>
      <c r="BB622" s="3"/>
      <c r="BC622" s="3"/>
      <c r="BD622" s="3"/>
      <c r="BE622" s="3"/>
    </row>
    <row r="623" spans="1:57" x14ac:dyDescent="0.25">
      <c r="A623" s="2"/>
      <c r="D623" s="3"/>
      <c r="E623" s="4"/>
      <c r="F623" s="5"/>
      <c r="G623" s="5"/>
      <c r="J623" s="3"/>
      <c r="K623" s="3"/>
      <c r="L623" s="6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5"/>
      <c r="AA623" s="3"/>
      <c r="AB623" s="3"/>
      <c r="AC623" s="3"/>
      <c r="AD623" s="5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7"/>
      <c r="AX623" s="7"/>
      <c r="AY623" s="7"/>
      <c r="AZ623" s="7"/>
      <c r="BA623" s="8"/>
      <c r="BB623" s="3"/>
      <c r="BC623" s="3"/>
      <c r="BD623" s="3"/>
      <c r="BE623" s="3"/>
    </row>
    <row r="624" spans="1:57" x14ac:dyDescent="0.25">
      <c r="A624" s="2"/>
      <c r="D624" s="3"/>
      <c r="E624" s="4"/>
      <c r="F624" s="5"/>
      <c r="G624" s="5"/>
      <c r="J624" s="3"/>
      <c r="K624" s="3"/>
      <c r="L624" s="6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5"/>
      <c r="AA624" s="3"/>
      <c r="AB624" s="3"/>
      <c r="AC624" s="3"/>
      <c r="AD624" s="5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7"/>
      <c r="AX624" s="7"/>
      <c r="AY624" s="7"/>
      <c r="AZ624" s="7"/>
      <c r="BA624" s="8"/>
      <c r="BB624" s="3"/>
      <c r="BC624" s="3"/>
      <c r="BD624" s="3"/>
      <c r="BE624" s="3"/>
    </row>
    <row r="625" spans="1:57" x14ac:dyDescent="0.25">
      <c r="A625" s="2"/>
      <c r="D625" s="3"/>
      <c r="E625" s="4"/>
      <c r="F625" s="5"/>
      <c r="G625" s="5"/>
      <c r="J625" s="3"/>
      <c r="K625" s="3"/>
      <c r="L625" s="6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5"/>
      <c r="AA625" s="3"/>
      <c r="AB625" s="3"/>
      <c r="AC625" s="3"/>
      <c r="AD625" s="5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7"/>
      <c r="AX625" s="7"/>
      <c r="AY625" s="7"/>
      <c r="AZ625" s="7"/>
      <c r="BA625" s="8"/>
      <c r="BB625" s="3"/>
      <c r="BC625" s="3"/>
      <c r="BD625" s="3"/>
      <c r="BE625" s="3"/>
    </row>
    <row r="626" spans="1:57" x14ac:dyDescent="0.25">
      <c r="A626" s="2"/>
      <c r="D626" s="3"/>
      <c r="E626" s="4"/>
      <c r="F626" s="5"/>
      <c r="G626" s="5"/>
      <c r="J626" s="3"/>
      <c r="K626" s="3"/>
      <c r="L626" s="6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5"/>
      <c r="AA626" s="3"/>
      <c r="AB626" s="3"/>
      <c r="AC626" s="3"/>
      <c r="AD626" s="5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7"/>
      <c r="AX626" s="7"/>
      <c r="AY626" s="7"/>
      <c r="AZ626" s="7"/>
      <c r="BA626" s="8"/>
      <c r="BB626" s="3"/>
      <c r="BC626" s="3"/>
      <c r="BD626" s="3"/>
      <c r="BE626" s="3"/>
    </row>
    <row r="627" spans="1:57" x14ac:dyDescent="0.25">
      <c r="A627" s="2"/>
      <c r="D627" s="3"/>
      <c r="E627" s="4"/>
      <c r="F627" s="5"/>
      <c r="G627" s="5"/>
      <c r="J627" s="3"/>
      <c r="K627" s="3"/>
      <c r="L627" s="6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5"/>
      <c r="AA627" s="3"/>
      <c r="AB627" s="3"/>
      <c r="AC627" s="3"/>
      <c r="AD627" s="5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7"/>
      <c r="AX627" s="7"/>
      <c r="AY627" s="7"/>
      <c r="AZ627" s="7"/>
      <c r="BA627" s="8"/>
      <c r="BB627" s="3"/>
      <c r="BC627" s="3"/>
      <c r="BD627" s="3"/>
      <c r="BE627" s="3"/>
    </row>
    <row r="628" spans="1:57" x14ac:dyDescent="0.25">
      <c r="A628" s="2"/>
      <c r="D628" s="3"/>
      <c r="E628" s="4"/>
      <c r="F628" s="5"/>
      <c r="G628" s="5"/>
      <c r="J628" s="3"/>
      <c r="K628" s="3"/>
      <c r="L628" s="6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5"/>
      <c r="AA628" s="3"/>
      <c r="AB628" s="3"/>
      <c r="AC628" s="3"/>
      <c r="AD628" s="5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7"/>
      <c r="AX628" s="7"/>
      <c r="AY628" s="7"/>
      <c r="AZ628" s="7"/>
      <c r="BA628" s="8"/>
      <c r="BB628" s="3"/>
      <c r="BC628" s="3"/>
      <c r="BD628" s="3"/>
      <c r="BE628" s="3"/>
    </row>
    <row r="629" spans="1:57" x14ac:dyDescent="0.25">
      <c r="A629" s="2"/>
      <c r="D629" s="3"/>
      <c r="E629" s="4"/>
      <c r="F629" s="5"/>
      <c r="G629" s="5"/>
      <c r="J629" s="3"/>
      <c r="K629" s="3"/>
      <c r="L629" s="6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5"/>
      <c r="AA629" s="3"/>
      <c r="AB629" s="3"/>
      <c r="AC629" s="3"/>
      <c r="AD629" s="5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7"/>
      <c r="AX629" s="7"/>
      <c r="AY629" s="7"/>
      <c r="AZ629" s="7"/>
      <c r="BA629" s="8"/>
      <c r="BB629" s="3"/>
      <c r="BC629" s="3"/>
      <c r="BD629" s="3"/>
      <c r="BE629" s="3"/>
    </row>
    <row r="630" spans="1:57" x14ac:dyDescent="0.25">
      <c r="A630" s="2"/>
      <c r="D630" s="3"/>
      <c r="E630" s="4"/>
      <c r="F630" s="5"/>
      <c r="G630" s="5"/>
      <c r="J630" s="3"/>
      <c r="K630" s="3"/>
      <c r="L630" s="6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5"/>
      <c r="AA630" s="3"/>
      <c r="AB630" s="3"/>
      <c r="AC630" s="3"/>
      <c r="AD630" s="5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7"/>
      <c r="AX630" s="7"/>
      <c r="AY630" s="7"/>
      <c r="AZ630" s="7"/>
      <c r="BA630" s="8"/>
      <c r="BB630" s="3"/>
      <c r="BC630" s="3"/>
      <c r="BD630" s="3"/>
      <c r="BE630" s="3"/>
    </row>
    <row r="631" spans="1:57" x14ac:dyDescent="0.25">
      <c r="A631" s="2"/>
      <c r="D631" s="3"/>
      <c r="E631" s="4"/>
      <c r="F631" s="5"/>
      <c r="G631" s="5"/>
      <c r="J631" s="3"/>
      <c r="K631" s="3"/>
      <c r="L631" s="6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5"/>
      <c r="AA631" s="3"/>
      <c r="AB631" s="3"/>
      <c r="AC631" s="3"/>
      <c r="AD631" s="5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7"/>
      <c r="AX631" s="7"/>
      <c r="AY631" s="7"/>
      <c r="AZ631" s="7"/>
      <c r="BA631" s="8"/>
      <c r="BB631" s="3"/>
      <c r="BC631" s="3"/>
      <c r="BD631" s="3"/>
      <c r="BE631" s="3"/>
    </row>
    <row r="632" spans="1:57" x14ac:dyDescent="0.25">
      <c r="A632" s="2"/>
      <c r="D632" s="3"/>
      <c r="E632" s="4"/>
      <c r="F632" s="5"/>
      <c r="G632" s="5"/>
      <c r="J632" s="3"/>
      <c r="K632" s="3"/>
      <c r="L632" s="6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5"/>
      <c r="AA632" s="3"/>
      <c r="AB632" s="3"/>
      <c r="AC632" s="3"/>
      <c r="AD632" s="5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7"/>
      <c r="AX632" s="7"/>
      <c r="AY632" s="7"/>
      <c r="AZ632" s="7"/>
      <c r="BA632" s="8"/>
      <c r="BB632" s="3"/>
      <c r="BC632" s="3"/>
      <c r="BD632" s="3"/>
      <c r="BE632" s="3"/>
    </row>
    <row r="633" spans="1:57" x14ac:dyDescent="0.25">
      <c r="A633" s="2"/>
      <c r="D633" s="3"/>
      <c r="E633" s="4"/>
      <c r="F633" s="5"/>
      <c r="G633" s="5"/>
      <c r="J633" s="3"/>
      <c r="K633" s="3"/>
      <c r="L633" s="6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5"/>
      <c r="AA633" s="3"/>
      <c r="AB633" s="3"/>
      <c r="AC633" s="3"/>
      <c r="AD633" s="5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7"/>
      <c r="AX633" s="7"/>
      <c r="AY633" s="7"/>
      <c r="AZ633" s="7"/>
      <c r="BA633" s="8"/>
      <c r="BB633" s="3"/>
      <c r="BC633" s="3"/>
      <c r="BD633" s="3"/>
      <c r="BE633" s="3"/>
    </row>
    <row r="634" spans="1:57" x14ac:dyDescent="0.25">
      <c r="A634" s="2"/>
      <c r="D634" s="3"/>
      <c r="E634" s="4"/>
      <c r="F634" s="5"/>
      <c r="G634" s="5"/>
      <c r="J634" s="3"/>
      <c r="K634" s="3"/>
      <c r="L634" s="6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5"/>
      <c r="AA634" s="3"/>
      <c r="AB634" s="3"/>
      <c r="AC634" s="3"/>
      <c r="AD634" s="5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7"/>
      <c r="AX634" s="7"/>
      <c r="AY634" s="7"/>
      <c r="AZ634" s="7"/>
      <c r="BA634" s="8"/>
      <c r="BB634" s="3"/>
      <c r="BC634" s="3"/>
      <c r="BD634" s="3"/>
      <c r="BE634" s="3"/>
    </row>
    <row r="635" spans="1:57" x14ac:dyDescent="0.25">
      <c r="A635" s="2"/>
      <c r="D635" s="3"/>
      <c r="E635" s="4"/>
      <c r="F635" s="5"/>
      <c r="G635" s="5"/>
      <c r="J635" s="3"/>
      <c r="K635" s="3"/>
      <c r="L635" s="6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5"/>
      <c r="AA635" s="3"/>
      <c r="AB635" s="3"/>
      <c r="AC635" s="3"/>
      <c r="AD635" s="5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7"/>
      <c r="AX635" s="7"/>
      <c r="AY635" s="7"/>
      <c r="AZ635" s="7"/>
      <c r="BA635" s="8"/>
      <c r="BB635" s="3"/>
      <c r="BC635" s="3"/>
      <c r="BD635" s="3"/>
      <c r="BE635" s="3"/>
    </row>
    <row r="636" spans="1:57" x14ac:dyDescent="0.25">
      <c r="A636" s="2"/>
      <c r="D636" s="3"/>
      <c r="E636" s="4"/>
      <c r="F636" s="5"/>
      <c r="G636" s="5"/>
      <c r="J636" s="3"/>
      <c r="K636" s="3"/>
      <c r="L636" s="6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5"/>
      <c r="AA636" s="3"/>
      <c r="AB636" s="3"/>
      <c r="AC636" s="3"/>
      <c r="AD636" s="5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7"/>
      <c r="AX636" s="7"/>
      <c r="AY636" s="7"/>
      <c r="AZ636" s="7"/>
      <c r="BA636" s="8"/>
      <c r="BB636" s="3"/>
      <c r="BC636" s="3"/>
      <c r="BD636" s="3"/>
      <c r="BE636" s="3"/>
    </row>
    <row r="637" spans="1:57" x14ac:dyDescent="0.25">
      <c r="A637" s="2"/>
      <c r="D637" s="3"/>
      <c r="E637" s="4"/>
      <c r="F637" s="5"/>
      <c r="G637" s="5"/>
      <c r="J637" s="3"/>
      <c r="K637" s="3"/>
      <c r="L637" s="6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5"/>
      <c r="AA637" s="3"/>
      <c r="AB637" s="3"/>
      <c r="AC637" s="3"/>
      <c r="AD637" s="5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7"/>
      <c r="AX637" s="7"/>
      <c r="AY637" s="7"/>
      <c r="AZ637" s="7"/>
      <c r="BA637" s="8"/>
      <c r="BB637" s="3"/>
      <c r="BC637" s="3"/>
      <c r="BD637" s="3"/>
      <c r="BE637" s="3"/>
    </row>
    <row r="638" spans="1:57" x14ac:dyDescent="0.25">
      <c r="A638" s="2"/>
      <c r="D638" s="3"/>
      <c r="E638" s="4"/>
      <c r="F638" s="5"/>
      <c r="G638" s="5"/>
      <c r="J638" s="3"/>
      <c r="K638" s="3"/>
      <c r="L638" s="6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5"/>
      <c r="AA638" s="3"/>
      <c r="AB638" s="3"/>
      <c r="AC638" s="3"/>
      <c r="AD638" s="5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7"/>
      <c r="AX638" s="7"/>
      <c r="AY638" s="7"/>
      <c r="AZ638" s="7"/>
      <c r="BA638" s="8"/>
      <c r="BB638" s="3"/>
      <c r="BC638" s="3"/>
      <c r="BD638" s="3"/>
      <c r="BE638" s="3"/>
    </row>
    <row r="639" spans="1:57" x14ac:dyDescent="0.25">
      <c r="A639" s="2"/>
      <c r="D639" s="3"/>
      <c r="E639" s="4"/>
      <c r="F639" s="5"/>
      <c r="G639" s="5"/>
      <c r="J639" s="3"/>
      <c r="K639" s="3"/>
      <c r="L639" s="6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5"/>
      <c r="AA639" s="3"/>
      <c r="AB639" s="3"/>
      <c r="AC639" s="3"/>
      <c r="AD639" s="5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7"/>
      <c r="AX639" s="7"/>
      <c r="AY639" s="7"/>
      <c r="AZ639" s="7"/>
      <c r="BA639" s="8"/>
      <c r="BB639" s="3"/>
      <c r="BC639" s="3"/>
      <c r="BD639" s="3"/>
      <c r="BE639" s="3"/>
    </row>
    <row r="640" spans="1:57" x14ac:dyDescent="0.25">
      <c r="A640" s="2"/>
      <c r="D640" s="3"/>
      <c r="E640" s="4"/>
      <c r="F640" s="5"/>
      <c r="G640" s="5"/>
      <c r="J640" s="3"/>
      <c r="K640" s="3"/>
      <c r="L640" s="6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5"/>
      <c r="AA640" s="3"/>
      <c r="AB640" s="3"/>
      <c r="AC640" s="3"/>
      <c r="AD640" s="5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7"/>
      <c r="AX640" s="7"/>
      <c r="AY640" s="7"/>
      <c r="AZ640" s="7"/>
      <c r="BA640" s="8"/>
      <c r="BB640" s="3"/>
      <c r="BC640" s="3"/>
      <c r="BD640" s="3"/>
      <c r="BE640" s="3"/>
    </row>
    <row r="641" spans="1:57" x14ac:dyDescent="0.25">
      <c r="A641" s="2"/>
      <c r="D641" s="3"/>
      <c r="E641" s="4"/>
      <c r="F641" s="5"/>
      <c r="G641" s="5"/>
      <c r="J641" s="3"/>
      <c r="K641" s="3"/>
      <c r="L641" s="6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5"/>
      <c r="AA641" s="3"/>
      <c r="AB641" s="3"/>
      <c r="AC641" s="3"/>
      <c r="AD641" s="5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7"/>
      <c r="AX641" s="7"/>
      <c r="AY641" s="7"/>
      <c r="AZ641" s="7"/>
      <c r="BA641" s="8"/>
      <c r="BB641" s="3"/>
      <c r="BC641" s="3"/>
      <c r="BD641" s="3"/>
      <c r="BE641" s="3"/>
    </row>
    <row r="642" spans="1:57" x14ac:dyDescent="0.25">
      <c r="A642" s="2"/>
      <c r="D642" s="3"/>
      <c r="E642" s="4"/>
      <c r="F642" s="5"/>
      <c r="G642" s="5"/>
      <c r="J642" s="3"/>
      <c r="K642" s="3"/>
      <c r="L642" s="6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5"/>
      <c r="AA642" s="3"/>
      <c r="AB642" s="3"/>
      <c r="AC642" s="3"/>
      <c r="AD642" s="5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7"/>
      <c r="AX642" s="7"/>
      <c r="AY642" s="7"/>
      <c r="AZ642" s="7"/>
      <c r="BA642" s="8"/>
      <c r="BB642" s="3"/>
      <c r="BC642" s="3"/>
      <c r="BD642" s="3"/>
      <c r="BE642" s="3"/>
    </row>
    <row r="643" spans="1:57" x14ac:dyDescent="0.25">
      <c r="A643" s="2"/>
      <c r="D643" s="3"/>
      <c r="E643" s="4"/>
      <c r="F643" s="5"/>
      <c r="G643" s="5"/>
      <c r="J643" s="3"/>
      <c r="K643" s="3"/>
      <c r="L643" s="6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5"/>
      <c r="AA643" s="3"/>
      <c r="AB643" s="3"/>
      <c r="AC643" s="3"/>
      <c r="AD643" s="5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7"/>
      <c r="AX643" s="7"/>
      <c r="AY643" s="7"/>
      <c r="AZ643" s="7"/>
      <c r="BA643" s="8"/>
      <c r="BB643" s="3"/>
      <c r="BC643" s="3"/>
      <c r="BD643" s="3"/>
      <c r="BE643" s="3"/>
    </row>
    <row r="644" spans="1:57" x14ac:dyDescent="0.25">
      <c r="A644" s="2"/>
      <c r="D644" s="3"/>
      <c r="E644" s="4"/>
      <c r="F644" s="5"/>
      <c r="G644" s="5"/>
      <c r="J644" s="3"/>
      <c r="K644" s="3"/>
      <c r="L644" s="6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5"/>
      <c r="AA644" s="3"/>
      <c r="AB644" s="3"/>
      <c r="AC644" s="3"/>
      <c r="AD644" s="5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7"/>
      <c r="AX644" s="7"/>
      <c r="AY644" s="7"/>
      <c r="AZ644" s="7"/>
      <c r="BA644" s="8"/>
      <c r="BB644" s="3"/>
      <c r="BC644" s="3"/>
      <c r="BD644" s="3"/>
      <c r="BE644" s="3"/>
    </row>
    <row r="645" spans="1:57" x14ac:dyDescent="0.25">
      <c r="A645" s="2"/>
      <c r="D645" s="3"/>
      <c r="E645" s="4"/>
      <c r="F645" s="5"/>
      <c r="G645" s="5"/>
      <c r="J645" s="3"/>
      <c r="K645" s="3"/>
      <c r="L645" s="6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5"/>
      <c r="AA645" s="3"/>
      <c r="AB645" s="3"/>
      <c r="AC645" s="3"/>
      <c r="AD645" s="5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7"/>
      <c r="AX645" s="7"/>
      <c r="AY645" s="7"/>
      <c r="AZ645" s="7"/>
      <c r="BA645" s="8"/>
      <c r="BB645" s="3"/>
      <c r="BC645" s="3"/>
      <c r="BD645" s="3"/>
      <c r="BE645" s="3"/>
    </row>
    <row r="646" spans="1:57" x14ac:dyDescent="0.25">
      <c r="A646" s="2"/>
      <c r="D646" s="3"/>
      <c r="E646" s="4"/>
      <c r="F646" s="5"/>
      <c r="G646" s="5"/>
      <c r="J646" s="3"/>
      <c r="K646" s="3"/>
      <c r="L646" s="6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5"/>
      <c r="AA646" s="3"/>
      <c r="AB646" s="3"/>
      <c r="AC646" s="3"/>
      <c r="AD646" s="5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7"/>
      <c r="AX646" s="7"/>
      <c r="AY646" s="7"/>
      <c r="AZ646" s="7"/>
      <c r="BA646" s="8"/>
      <c r="BB646" s="3"/>
      <c r="BC646" s="3"/>
      <c r="BD646" s="3"/>
      <c r="BE646" s="3"/>
    </row>
    <row r="647" spans="1:57" x14ac:dyDescent="0.25">
      <c r="A647" s="2"/>
      <c r="D647" s="3"/>
      <c r="E647" s="4"/>
      <c r="F647" s="5"/>
      <c r="G647" s="5"/>
      <c r="J647" s="3"/>
      <c r="K647" s="3"/>
      <c r="L647" s="6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5"/>
      <c r="AA647" s="3"/>
      <c r="AB647" s="3"/>
      <c r="AC647" s="3"/>
      <c r="AD647" s="5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7"/>
      <c r="AX647" s="7"/>
      <c r="AY647" s="7"/>
      <c r="AZ647" s="7"/>
      <c r="BA647" s="8"/>
      <c r="BB647" s="3"/>
      <c r="BC647" s="3"/>
      <c r="BD647" s="3"/>
      <c r="BE647" s="3"/>
    </row>
    <row r="648" spans="1:57" x14ac:dyDescent="0.25">
      <c r="A648" s="2"/>
      <c r="D648" s="3"/>
      <c r="E648" s="4"/>
      <c r="F648" s="5"/>
      <c r="G648" s="5"/>
      <c r="J648" s="3"/>
      <c r="K648" s="3"/>
      <c r="L648" s="6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5"/>
      <c r="AA648" s="3"/>
      <c r="AB648" s="3"/>
      <c r="AC648" s="3"/>
      <c r="AD648" s="5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7"/>
      <c r="AX648" s="7"/>
      <c r="AY648" s="7"/>
      <c r="AZ648" s="7"/>
      <c r="BA648" s="8"/>
      <c r="BB648" s="3"/>
      <c r="BC648" s="3"/>
      <c r="BD648" s="3"/>
      <c r="BE648" s="3"/>
    </row>
    <row r="649" spans="1:57" x14ac:dyDescent="0.25">
      <c r="A649" s="2"/>
      <c r="D649" s="3"/>
      <c r="E649" s="4"/>
      <c r="F649" s="5"/>
      <c r="G649" s="5"/>
      <c r="J649" s="3"/>
      <c r="K649" s="3"/>
      <c r="L649" s="6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5"/>
      <c r="AA649" s="3"/>
      <c r="AB649" s="3"/>
      <c r="AC649" s="3"/>
      <c r="AD649" s="5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7"/>
      <c r="AX649" s="7"/>
      <c r="AY649" s="7"/>
      <c r="AZ649" s="7"/>
      <c r="BA649" s="8"/>
      <c r="BB649" s="3"/>
      <c r="BC649" s="3"/>
      <c r="BD649" s="3"/>
      <c r="BE649" s="3"/>
    </row>
    <row r="650" spans="1:57" x14ac:dyDescent="0.25">
      <c r="A650" s="2"/>
      <c r="D650" s="3"/>
      <c r="E650" s="4"/>
      <c r="F650" s="5"/>
      <c r="G650" s="5"/>
      <c r="J650" s="3"/>
      <c r="K650" s="3"/>
      <c r="L650" s="6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5"/>
      <c r="AA650" s="3"/>
      <c r="AB650" s="3"/>
      <c r="AC650" s="3"/>
      <c r="AD650" s="5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7"/>
      <c r="AX650" s="7"/>
      <c r="AY650" s="7"/>
      <c r="AZ650" s="7"/>
      <c r="BA650" s="8"/>
      <c r="BB650" s="3"/>
      <c r="BC650" s="3"/>
      <c r="BD650" s="3"/>
      <c r="BE650" s="3"/>
    </row>
    <row r="651" spans="1:57" x14ac:dyDescent="0.25">
      <c r="A651" s="2"/>
      <c r="D651" s="3"/>
      <c r="E651" s="4"/>
      <c r="F651" s="5"/>
      <c r="G651" s="5"/>
      <c r="J651" s="3"/>
      <c r="K651" s="3"/>
      <c r="L651" s="6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5"/>
      <c r="AA651" s="3"/>
      <c r="AB651" s="3"/>
      <c r="AC651" s="3"/>
      <c r="AD651" s="5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7"/>
      <c r="AX651" s="7"/>
      <c r="AY651" s="7"/>
      <c r="AZ651" s="7"/>
      <c r="BA651" s="8"/>
      <c r="BB651" s="3"/>
      <c r="BC651" s="3"/>
      <c r="BD651" s="3"/>
      <c r="BE651" s="3"/>
    </row>
    <row r="652" spans="1:57" x14ac:dyDescent="0.25">
      <c r="A652" s="2"/>
      <c r="D652" s="3"/>
      <c r="E652" s="4"/>
      <c r="F652" s="5"/>
      <c r="G652" s="5"/>
      <c r="J652" s="3"/>
      <c r="K652" s="3"/>
      <c r="L652" s="6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5"/>
      <c r="AA652" s="3"/>
      <c r="AB652" s="3"/>
      <c r="AC652" s="3"/>
      <c r="AD652" s="5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7"/>
      <c r="AX652" s="7"/>
      <c r="AY652" s="7"/>
      <c r="AZ652" s="7"/>
      <c r="BA652" s="8"/>
      <c r="BB652" s="3"/>
      <c r="BC652" s="3"/>
      <c r="BD652" s="3"/>
      <c r="BE652" s="3"/>
    </row>
    <row r="653" spans="1:57" x14ac:dyDescent="0.25">
      <c r="A653" s="2"/>
      <c r="D653" s="3"/>
      <c r="E653" s="4"/>
      <c r="F653" s="5"/>
      <c r="G653" s="5"/>
      <c r="J653" s="3"/>
      <c r="K653" s="3"/>
      <c r="L653" s="6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5"/>
      <c r="AA653" s="3"/>
      <c r="AB653" s="3"/>
      <c r="AC653" s="3"/>
      <c r="AD653" s="5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7"/>
      <c r="AX653" s="7"/>
      <c r="AY653" s="7"/>
      <c r="AZ653" s="7"/>
      <c r="BA653" s="8"/>
      <c r="BB653" s="3"/>
      <c r="BC653" s="3"/>
      <c r="BD653" s="3"/>
      <c r="BE653" s="3"/>
    </row>
    <row r="654" spans="1:57" x14ac:dyDescent="0.25">
      <c r="A654" s="2"/>
      <c r="D654" s="3"/>
      <c r="E654" s="4"/>
      <c r="F654" s="5"/>
      <c r="G654" s="5"/>
      <c r="J654" s="3"/>
      <c r="K654" s="3"/>
      <c r="L654" s="6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5"/>
      <c r="AA654" s="3"/>
      <c r="AB654" s="3"/>
      <c r="AC654" s="3"/>
      <c r="AD654" s="5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7"/>
      <c r="AX654" s="7"/>
      <c r="AY654" s="7"/>
      <c r="AZ654" s="7"/>
      <c r="BA654" s="8"/>
      <c r="BB654" s="3"/>
      <c r="BC654" s="3"/>
      <c r="BD654" s="3"/>
      <c r="BE654" s="3"/>
    </row>
    <row r="655" spans="1:57" x14ac:dyDescent="0.25">
      <c r="A655" s="2"/>
      <c r="D655" s="3"/>
      <c r="E655" s="4"/>
      <c r="F655" s="5"/>
      <c r="G655" s="5"/>
      <c r="J655" s="3"/>
      <c r="K655" s="3"/>
      <c r="L655" s="6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5"/>
      <c r="AA655" s="3"/>
      <c r="AB655" s="3"/>
      <c r="AC655" s="3"/>
      <c r="AD655" s="5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7"/>
      <c r="AX655" s="7"/>
      <c r="AY655" s="7"/>
      <c r="AZ655" s="7"/>
      <c r="BA655" s="8"/>
      <c r="BB655" s="3"/>
      <c r="BC655" s="3"/>
      <c r="BD655" s="3"/>
      <c r="BE655" s="3"/>
    </row>
    <row r="656" spans="1:57" x14ac:dyDescent="0.25">
      <c r="A656" s="2"/>
      <c r="D656" s="3"/>
      <c r="E656" s="4"/>
      <c r="F656" s="5"/>
      <c r="G656" s="5"/>
      <c r="J656" s="3"/>
      <c r="K656" s="3"/>
      <c r="L656" s="6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5"/>
      <c r="AA656" s="3"/>
      <c r="AB656" s="3"/>
      <c r="AC656" s="3"/>
      <c r="AD656" s="5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7"/>
      <c r="AX656" s="7"/>
      <c r="AY656" s="7"/>
      <c r="AZ656" s="7"/>
      <c r="BA656" s="8"/>
      <c r="BB656" s="3"/>
      <c r="BC656" s="3"/>
      <c r="BD656" s="3"/>
      <c r="BE656" s="3"/>
    </row>
    <row r="657" spans="1:57" x14ac:dyDescent="0.25">
      <c r="A657" s="2"/>
      <c r="D657" s="3"/>
      <c r="E657" s="4"/>
      <c r="F657" s="5"/>
      <c r="G657" s="5"/>
      <c r="J657" s="3"/>
      <c r="K657" s="3"/>
      <c r="L657" s="6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5"/>
      <c r="AA657" s="3"/>
      <c r="AB657" s="3"/>
      <c r="AC657" s="3"/>
      <c r="AD657" s="5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7"/>
      <c r="AX657" s="7"/>
      <c r="AY657" s="7"/>
      <c r="AZ657" s="7"/>
      <c r="BA657" s="8"/>
      <c r="BB657" s="3"/>
      <c r="BC657" s="3"/>
      <c r="BD657" s="3"/>
      <c r="BE657" s="3"/>
    </row>
    <row r="658" spans="1:57" x14ac:dyDescent="0.25">
      <c r="A658" s="2"/>
      <c r="D658" s="3"/>
      <c r="E658" s="4"/>
      <c r="F658" s="5"/>
      <c r="G658" s="5"/>
      <c r="J658" s="3"/>
      <c r="K658" s="3"/>
      <c r="L658" s="6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5"/>
      <c r="AA658" s="3"/>
      <c r="AB658" s="3"/>
      <c r="AC658" s="3"/>
      <c r="AD658" s="5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7"/>
      <c r="AX658" s="7"/>
      <c r="AY658" s="7"/>
      <c r="AZ658" s="7"/>
      <c r="BA658" s="8"/>
      <c r="BB658" s="3"/>
      <c r="BC658" s="3"/>
      <c r="BD658" s="3"/>
      <c r="BE658" s="3"/>
    </row>
    <row r="659" spans="1:57" x14ac:dyDescent="0.25">
      <c r="A659" s="2"/>
      <c r="D659" s="3"/>
      <c r="E659" s="4"/>
      <c r="F659" s="5"/>
      <c r="G659" s="5"/>
      <c r="J659" s="3"/>
      <c r="K659" s="3"/>
      <c r="L659" s="6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5"/>
      <c r="AA659" s="3"/>
      <c r="AB659" s="3"/>
      <c r="AC659" s="3"/>
      <c r="AD659" s="5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7"/>
      <c r="AX659" s="7"/>
      <c r="AY659" s="7"/>
      <c r="AZ659" s="7"/>
      <c r="BA659" s="8"/>
      <c r="BB659" s="3"/>
      <c r="BC659" s="3"/>
      <c r="BD659" s="3"/>
      <c r="BE659" s="3"/>
    </row>
    <row r="660" spans="1:57" x14ac:dyDescent="0.25">
      <c r="A660" s="2"/>
      <c r="D660" s="3"/>
      <c r="E660" s="4"/>
      <c r="F660" s="5"/>
      <c r="G660" s="5"/>
      <c r="J660" s="3"/>
      <c r="K660" s="3"/>
      <c r="L660" s="6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5"/>
      <c r="AA660" s="3"/>
      <c r="AB660" s="3"/>
      <c r="AC660" s="3"/>
      <c r="AD660" s="5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7"/>
      <c r="AX660" s="7"/>
      <c r="AY660" s="7"/>
      <c r="AZ660" s="7"/>
      <c r="BA660" s="8"/>
      <c r="BB660" s="3"/>
      <c r="BC660" s="3"/>
      <c r="BD660" s="3"/>
      <c r="BE660" s="3"/>
    </row>
    <row r="661" spans="1:57" x14ac:dyDescent="0.25">
      <c r="A661" s="2"/>
      <c r="D661" s="3"/>
      <c r="E661" s="4"/>
      <c r="F661" s="5"/>
      <c r="G661" s="5"/>
      <c r="J661" s="3"/>
      <c r="K661" s="3"/>
      <c r="L661" s="6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5"/>
      <c r="AA661" s="3"/>
      <c r="AB661" s="3"/>
      <c r="AC661" s="3"/>
      <c r="AD661" s="5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7"/>
      <c r="AX661" s="7"/>
      <c r="AY661" s="7"/>
      <c r="AZ661" s="7"/>
      <c r="BA661" s="8"/>
      <c r="BB661" s="3"/>
      <c r="BC661" s="3"/>
      <c r="BD661" s="3"/>
      <c r="BE661" s="3"/>
    </row>
    <row r="662" spans="1:57" x14ac:dyDescent="0.25">
      <c r="A662" s="2"/>
      <c r="D662" s="3"/>
      <c r="E662" s="4"/>
      <c r="F662" s="5"/>
      <c r="G662" s="5"/>
      <c r="J662" s="3"/>
      <c r="K662" s="3"/>
      <c r="L662" s="6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5"/>
      <c r="AA662" s="3"/>
      <c r="AB662" s="3"/>
      <c r="AC662" s="3"/>
      <c r="AD662" s="5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7"/>
      <c r="AX662" s="7"/>
      <c r="AY662" s="7"/>
      <c r="AZ662" s="7"/>
      <c r="BA662" s="8"/>
      <c r="BB662" s="3"/>
      <c r="BC662" s="3"/>
      <c r="BD662" s="3"/>
      <c r="BE662" s="3"/>
    </row>
    <row r="663" spans="1:57" x14ac:dyDescent="0.25">
      <c r="A663" s="2"/>
      <c r="D663" s="3"/>
      <c r="E663" s="4"/>
      <c r="F663" s="5"/>
      <c r="G663" s="5"/>
      <c r="J663" s="3"/>
      <c r="K663" s="3"/>
      <c r="L663" s="6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5"/>
      <c r="AA663" s="3"/>
      <c r="AB663" s="3"/>
      <c r="AC663" s="3"/>
      <c r="AD663" s="5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7"/>
      <c r="AX663" s="7"/>
      <c r="AY663" s="7"/>
      <c r="AZ663" s="7"/>
      <c r="BA663" s="8"/>
      <c r="BB663" s="3"/>
      <c r="BC663" s="3"/>
      <c r="BD663" s="3"/>
      <c r="BE663" s="3"/>
    </row>
    <row r="664" spans="1:57" x14ac:dyDescent="0.25">
      <c r="A664" s="2"/>
      <c r="D664" s="3"/>
      <c r="E664" s="4"/>
      <c r="F664" s="5"/>
      <c r="G664" s="5"/>
      <c r="J664" s="3"/>
      <c r="K664" s="3"/>
      <c r="L664" s="6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5"/>
      <c r="AA664" s="3"/>
      <c r="AB664" s="3"/>
      <c r="AC664" s="3"/>
      <c r="AD664" s="5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7"/>
      <c r="AX664" s="7"/>
      <c r="AY664" s="7"/>
      <c r="AZ664" s="7"/>
      <c r="BA664" s="8"/>
      <c r="BB664" s="3"/>
      <c r="BC664" s="3"/>
      <c r="BD664" s="3"/>
      <c r="BE664" s="3"/>
    </row>
    <row r="665" spans="1:57" x14ac:dyDescent="0.25">
      <c r="A665" s="2"/>
      <c r="D665" s="3"/>
      <c r="E665" s="4"/>
      <c r="F665" s="5"/>
      <c r="G665" s="5"/>
      <c r="J665" s="3"/>
      <c r="K665" s="3"/>
      <c r="L665" s="6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5"/>
      <c r="AA665" s="3"/>
      <c r="AB665" s="3"/>
      <c r="AC665" s="3"/>
      <c r="AD665" s="5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7"/>
      <c r="AX665" s="7"/>
      <c r="AY665" s="7"/>
      <c r="AZ665" s="7"/>
      <c r="BA665" s="8"/>
      <c r="BB665" s="3"/>
      <c r="BC665" s="3"/>
      <c r="BD665" s="3"/>
      <c r="BE665" s="3"/>
    </row>
    <row r="666" spans="1:57" x14ac:dyDescent="0.25">
      <c r="A666" s="2"/>
      <c r="D666" s="3"/>
      <c r="E666" s="4"/>
      <c r="F666" s="5"/>
      <c r="G666" s="5"/>
      <c r="J666" s="3"/>
      <c r="K666" s="3"/>
      <c r="L666" s="6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5"/>
      <c r="AA666" s="3"/>
      <c r="AB666" s="3"/>
      <c r="AC666" s="3"/>
      <c r="AD666" s="5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7"/>
      <c r="AX666" s="7"/>
      <c r="AY666" s="7"/>
      <c r="AZ666" s="7"/>
      <c r="BA666" s="8"/>
      <c r="BB666" s="3"/>
      <c r="BC666" s="3"/>
      <c r="BD666" s="3"/>
      <c r="BE666" s="3"/>
    </row>
    <row r="667" spans="1:57" x14ac:dyDescent="0.25">
      <c r="A667" s="2"/>
      <c r="D667" s="3"/>
      <c r="E667" s="4"/>
      <c r="F667" s="5"/>
      <c r="G667" s="5"/>
      <c r="J667" s="3"/>
      <c r="K667" s="3"/>
      <c r="L667" s="6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5"/>
      <c r="AA667" s="3"/>
      <c r="AB667" s="3"/>
      <c r="AC667" s="3"/>
      <c r="AD667" s="5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7"/>
      <c r="AX667" s="7"/>
      <c r="AY667" s="7"/>
      <c r="AZ667" s="7"/>
      <c r="BA667" s="8"/>
      <c r="BB667" s="3"/>
      <c r="BC667" s="3"/>
      <c r="BD667" s="3"/>
      <c r="BE667" s="3"/>
    </row>
    <row r="668" spans="1:57" x14ac:dyDescent="0.25">
      <c r="A668" s="2"/>
      <c r="D668" s="3"/>
      <c r="E668" s="4"/>
      <c r="F668" s="5"/>
      <c r="G668" s="5"/>
      <c r="J668" s="3"/>
      <c r="K668" s="3"/>
      <c r="L668" s="6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5"/>
      <c r="AA668" s="3"/>
      <c r="AB668" s="3"/>
      <c r="AC668" s="3"/>
      <c r="AD668" s="5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7"/>
      <c r="AX668" s="7"/>
      <c r="AY668" s="7"/>
      <c r="AZ668" s="7"/>
      <c r="BA668" s="8"/>
      <c r="BB668" s="3"/>
      <c r="BC668" s="3"/>
      <c r="BD668" s="3"/>
      <c r="BE668" s="3"/>
    </row>
    <row r="669" spans="1:57" x14ac:dyDescent="0.25">
      <c r="A669" s="2"/>
      <c r="D669" s="3"/>
      <c r="E669" s="4"/>
      <c r="F669" s="5"/>
      <c r="G669" s="5"/>
      <c r="J669" s="3"/>
      <c r="K669" s="3"/>
      <c r="L669" s="6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5"/>
      <c r="AA669" s="3"/>
      <c r="AB669" s="3"/>
      <c r="AC669" s="3"/>
      <c r="AD669" s="5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7"/>
      <c r="AX669" s="7"/>
      <c r="AY669" s="7"/>
      <c r="AZ669" s="7"/>
      <c r="BA669" s="8"/>
      <c r="BB669" s="3"/>
      <c r="BC669" s="3"/>
      <c r="BD669" s="3"/>
      <c r="BE669" s="3"/>
    </row>
    <row r="670" spans="1:57" x14ac:dyDescent="0.25">
      <c r="A670" s="2"/>
      <c r="D670" s="3"/>
      <c r="E670" s="4"/>
      <c r="F670" s="5"/>
      <c r="G670" s="5"/>
      <c r="J670" s="3"/>
      <c r="K670" s="3"/>
      <c r="L670" s="6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5"/>
      <c r="AA670" s="3"/>
      <c r="AB670" s="3"/>
      <c r="AC670" s="3"/>
      <c r="AD670" s="5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7"/>
      <c r="AX670" s="7"/>
      <c r="AY670" s="7"/>
      <c r="AZ670" s="7"/>
      <c r="BA670" s="8"/>
      <c r="BB670" s="3"/>
      <c r="BC670" s="3"/>
      <c r="BD670" s="3"/>
      <c r="BE670" s="3"/>
    </row>
    <row r="671" spans="1:57" x14ac:dyDescent="0.25">
      <c r="A671" s="2"/>
      <c r="D671" s="3"/>
      <c r="E671" s="4"/>
      <c r="F671" s="5"/>
      <c r="G671" s="5"/>
      <c r="J671" s="3"/>
      <c r="K671" s="3"/>
      <c r="L671" s="6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5"/>
      <c r="AA671" s="3"/>
      <c r="AB671" s="3"/>
      <c r="AC671" s="3"/>
      <c r="AD671" s="5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7"/>
      <c r="AX671" s="7"/>
      <c r="AY671" s="7"/>
      <c r="AZ671" s="7"/>
      <c r="BA671" s="8"/>
      <c r="BB671" s="3"/>
      <c r="BC671" s="3"/>
      <c r="BD671" s="3"/>
      <c r="BE671" s="3"/>
    </row>
    <row r="672" spans="1:57" x14ac:dyDescent="0.25">
      <c r="A672" s="2"/>
      <c r="D672" s="3"/>
      <c r="E672" s="4"/>
      <c r="F672" s="5"/>
      <c r="G672" s="5"/>
      <c r="J672" s="3"/>
      <c r="K672" s="3"/>
      <c r="L672" s="6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5"/>
      <c r="AA672" s="3"/>
      <c r="AB672" s="3"/>
      <c r="AC672" s="3"/>
      <c r="AD672" s="5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7"/>
      <c r="AX672" s="7"/>
      <c r="AY672" s="7"/>
      <c r="AZ672" s="7"/>
      <c r="BA672" s="8"/>
      <c r="BB672" s="3"/>
      <c r="BC672" s="3"/>
      <c r="BD672" s="3"/>
      <c r="BE672" s="3"/>
    </row>
    <row r="673" spans="1:57" x14ac:dyDescent="0.25">
      <c r="A673" s="2"/>
      <c r="D673" s="3"/>
      <c r="E673" s="4"/>
      <c r="F673" s="5"/>
      <c r="G673" s="5"/>
      <c r="J673" s="3"/>
      <c r="K673" s="3"/>
      <c r="L673" s="6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5"/>
      <c r="AA673" s="3"/>
      <c r="AB673" s="3"/>
      <c r="AC673" s="3"/>
      <c r="AD673" s="5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7"/>
      <c r="AX673" s="7"/>
      <c r="AY673" s="7"/>
      <c r="AZ673" s="7"/>
      <c r="BA673" s="8"/>
      <c r="BB673" s="3"/>
      <c r="BC673" s="3"/>
      <c r="BD673" s="3"/>
      <c r="BE673" s="3"/>
    </row>
    <row r="674" spans="1:57" x14ac:dyDescent="0.25">
      <c r="A674" s="2"/>
      <c r="D674" s="3"/>
      <c r="E674" s="4"/>
      <c r="F674" s="5"/>
      <c r="G674" s="5"/>
      <c r="J674" s="3"/>
      <c r="K674" s="3"/>
      <c r="L674" s="6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5"/>
      <c r="AA674" s="3"/>
      <c r="AB674" s="3"/>
      <c r="AC674" s="3"/>
      <c r="AD674" s="5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7"/>
      <c r="AX674" s="7"/>
      <c r="AY674" s="7"/>
      <c r="AZ674" s="7"/>
      <c r="BA674" s="8"/>
      <c r="BB674" s="3"/>
      <c r="BC674" s="3"/>
      <c r="BD674" s="3"/>
      <c r="BE674" s="3"/>
    </row>
    <row r="675" spans="1:57" x14ac:dyDescent="0.25">
      <c r="A675" s="2"/>
      <c r="D675" s="3"/>
      <c r="E675" s="4"/>
      <c r="F675" s="5"/>
      <c r="G675" s="5"/>
      <c r="J675" s="3"/>
      <c r="K675" s="3"/>
      <c r="L675" s="6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5"/>
      <c r="AA675" s="3"/>
      <c r="AB675" s="3"/>
      <c r="AC675" s="3"/>
      <c r="AD675" s="5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7"/>
      <c r="AX675" s="7"/>
      <c r="AY675" s="7"/>
      <c r="AZ675" s="7"/>
      <c r="BA675" s="8"/>
      <c r="BB675" s="3"/>
      <c r="BC675" s="3"/>
      <c r="BD675" s="3"/>
      <c r="BE675" s="3"/>
    </row>
    <row r="676" spans="1:57" x14ac:dyDescent="0.25">
      <c r="A676" s="2"/>
      <c r="D676" s="3"/>
      <c r="E676" s="4"/>
      <c r="F676" s="5"/>
      <c r="G676" s="5"/>
      <c r="J676" s="3"/>
      <c r="K676" s="3"/>
      <c r="L676" s="6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5"/>
      <c r="AA676" s="3"/>
      <c r="AB676" s="3"/>
      <c r="AC676" s="3"/>
      <c r="AD676" s="5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7"/>
      <c r="AX676" s="7"/>
      <c r="AY676" s="7"/>
      <c r="AZ676" s="7"/>
      <c r="BA676" s="8"/>
      <c r="BB676" s="3"/>
      <c r="BC676" s="3"/>
      <c r="BD676" s="3"/>
      <c r="BE676" s="3"/>
    </row>
    <row r="677" spans="1:57" x14ac:dyDescent="0.25">
      <c r="A677" s="2"/>
      <c r="D677" s="3"/>
      <c r="E677" s="4"/>
      <c r="F677" s="5"/>
      <c r="G677" s="5"/>
      <c r="J677" s="3"/>
      <c r="K677" s="3"/>
      <c r="L677" s="6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5"/>
      <c r="AA677" s="3"/>
      <c r="AB677" s="3"/>
      <c r="AC677" s="3"/>
      <c r="AD677" s="5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7"/>
      <c r="AX677" s="7"/>
      <c r="AY677" s="7"/>
      <c r="AZ677" s="7"/>
      <c r="BA677" s="8"/>
      <c r="BB677" s="3"/>
      <c r="BC677" s="3"/>
      <c r="BD677" s="3"/>
      <c r="BE677" s="3"/>
    </row>
    <row r="678" spans="1:57" x14ac:dyDescent="0.25">
      <c r="A678" s="2"/>
      <c r="D678" s="3"/>
      <c r="E678" s="4"/>
      <c r="F678" s="5"/>
      <c r="G678" s="5"/>
      <c r="J678" s="3"/>
      <c r="K678" s="3"/>
      <c r="L678" s="6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5"/>
      <c r="AA678" s="3"/>
      <c r="AB678" s="3"/>
      <c r="AC678" s="3"/>
      <c r="AD678" s="5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7"/>
      <c r="AX678" s="7"/>
      <c r="AY678" s="7"/>
      <c r="AZ678" s="7"/>
      <c r="BA678" s="8"/>
      <c r="BB678" s="3"/>
      <c r="BC678" s="3"/>
      <c r="BD678" s="3"/>
      <c r="BE678" s="3"/>
    </row>
    <row r="679" spans="1:57" x14ac:dyDescent="0.25">
      <c r="A679" s="2"/>
      <c r="D679" s="3"/>
      <c r="E679" s="4"/>
      <c r="F679" s="5"/>
      <c r="G679" s="5"/>
      <c r="J679" s="3"/>
      <c r="K679" s="3"/>
      <c r="L679" s="6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5"/>
      <c r="AA679" s="3"/>
      <c r="AB679" s="3"/>
      <c r="AC679" s="3"/>
      <c r="AD679" s="5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7"/>
      <c r="AX679" s="7"/>
      <c r="AY679" s="7"/>
      <c r="AZ679" s="7"/>
      <c r="BA679" s="8"/>
      <c r="BB679" s="3"/>
      <c r="BC679" s="3"/>
      <c r="BD679" s="3"/>
      <c r="BE679" s="3"/>
    </row>
    <row r="680" spans="1:57" x14ac:dyDescent="0.25">
      <c r="A680" s="2"/>
      <c r="D680" s="3"/>
      <c r="E680" s="4"/>
      <c r="F680" s="5"/>
      <c r="G680" s="5"/>
      <c r="J680" s="3"/>
      <c r="K680" s="3"/>
      <c r="L680" s="6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5"/>
      <c r="AA680" s="3"/>
      <c r="AB680" s="3"/>
      <c r="AC680" s="3"/>
      <c r="AD680" s="5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7"/>
      <c r="AX680" s="7"/>
      <c r="AY680" s="7"/>
      <c r="AZ680" s="7"/>
      <c r="BA680" s="8"/>
      <c r="BB680" s="3"/>
      <c r="BC680" s="3"/>
      <c r="BD680" s="3"/>
      <c r="BE680" s="3"/>
    </row>
    <row r="681" spans="1:57" x14ac:dyDescent="0.25">
      <c r="A681" s="2"/>
      <c r="D681" s="3"/>
      <c r="E681" s="4"/>
      <c r="F681" s="5"/>
      <c r="G681" s="5"/>
      <c r="J681" s="3"/>
      <c r="K681" s="3"/>
      <c r="L681" s="6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5"/>
      <c r="AA681" s="3"/>
      <c r="AB681" s="3"/>
      <c r="AC681" s="3"/>
      <c r="AD681" s="5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7"/>
      <c r="AX681" s="7"/>
      <c r="AY681" s="7"/>
      <c r="AZ681" s="7"/>
      <c r="BA681" s="8"/>
      <c r="BB681" s="3"/>
      <c r="BC681" s="3"/>
      <c r="BD681" s="3"/>
      <c r="BE681" s="3"/>
    </row>
    <row r="682" spans="1:57" x14ac:dyDescent="0.25">
      <c r="A682" s="2"/>
      <c r="D682" s="3"/>
      <c r="E682" s="4"/>
      <c r="F682" s="5"/>
      <c r="G682" s="5"/>
      <c r="J682" s="3"/>
      <c r="K682" s="3"/>
      <c r="L682" s="6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5"/>
      <c r="AA682" s="3"/>
      <c r="AB682" s="3"/>
      <c r="AC682" s="3"/>
      <c r="AD682" s="5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7"/>
      <c r="AX682" s="7"/>
      <c r="AY682" s="7"/>
      <c r="AZ682" s="7"/>
      <c r="BA682" s="8"/>
      <c r="BB682" s="3"/>
      <c r="BC682" s="3"/>
      <c r="BD682" s="3"/>
      <c r="BE682" s="3"/>
    </row>
    <row r="683" spans="1:57" x14ac:dyDescent="0.25">
      <c r="A683" s="2"/>
      <c r="D683" s="3"/>
      <c r="E683" s="4"/>
      <c r="F683" s="5"/>
      <c r="G683" s="5"/>
      <c r="J683" s="3"/>
      <c r="K683" s="3"/>
      <c r="L683" s="6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5"/>
      <c r="AA683" s="3"/>
      <c r="AB683" s="3"/>
      <c r="AC683" s="3"/>
      <c r="AD683" s="5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7"/>
      <c r="AX683" s="7"/>
      <c r="AY683" s="7"/>
      <c r="AZ683" s="7"/>
      <c r="BA683" s="8"/>
      <c r="BB683" s="3"/>
      <c r="BC683" s="3"/>
      <c r="BD683" s="3"/>
      <c r="BE683" s="3"/>
    </row>
    <row r="684" spans="1:57" x14ac:dyDescent="0.25">
      <c r="A684" s="2"/>
      <c r="D684" s="3"/>
      <c r="E684" s="4"/>
      <c r="F684" s="5"/>
      <c r="G684" s="5"/>
      <c r="J684" s="3"/>
      <c r="K684" s="3"/>
      <c r="L684" s="6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5"/>
      <c r="AA684" s="3"/>
      <c r="AB684" s="3"/>
      <c r="AC684" s="3"/>
      <c r="AD684" s="5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7"/>
      <c r="AX684" s="7"/>
      <c r="AY684" s="7"/>
      <c r="AZ684" s="7"/>
      <c r="BA684" s="8"/>
      <c r="BB684" s="3"/>
      <c r="BC684" s="3"/>
      <c r="BD684" s="3"/>
      <c r="BE684" s="3"/>
    </row>
    <row r="685" spans="1:57" x14ac:dyDescent="0.25">
      <c r="A685" s="2"/>
      <c r="D685" s="3"/>
      <c r="E685" s="4"/>
      <c r="F685" s="5"/>
      <c r="G685" s="5"/>
      <c r="J685" s="3"/>
      <c r="K685" s="3"/>
      <c r="L685" s="6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5"/>
      <c r="AA685" s="3"/>
      <c r="AB685" s="3"/>
      <c r="AC685" s="3"/>
      <c r="AD685" s="5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7"/>
      <c r="AX685" s="7"/>
      <c r="AY685" s="7"/>
      <c r="AZ685" s="7"/>
      <c r="BA685" s="8"/>
      <c r="BB685" s="3"/>
      <c r="BC685" s="3"/>
      <c r="BD685" s="3"/>
      <c r="BE685" s="3"/>
    </row>
    <row r="686" spans="1:57" x14ac:dyDescent="0.25">
      <c r="A686" s="2"/>
      <c r="D686" s="3"/>
      <c r="E686" s="4"/>
      <c r="F686" s="5"/>
      <c r="G686" s="5"/>
      <c r="J686" s="3"/>
      <c r="K686" s="3"/>
      <c r="L686" s="6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5"/>
      <c r="AA686" s="3"/>
      <c r="AB686" s="3"/>
      <c r="AC686" s="3"/>
      <c r="AD686" s="5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7"/>
      <c r="AX686" s="7"/>
      <c r="AY686" s="7"/>
      <c r="AZ686" s="7"/>
      <c r="BA686" s="8"/>
      <c r="BB686" s="3"/>
      <c r="BC686" s="3"/>
      <c r="BD686" s="3"/>
      <c r="BE686" s="3"/>
    </row>
    <row r="687" spans="1:57" x14ac:dyDescent="0.25">
      <c r="A687" s="2"/>
      <c r="D687" s="3"/>
      <c r="E687" s="4"/>
      <c r="F687" s="5"/>
      <c r="G687" s="5"/>
      <c r="J687" s="3"/>
      <c r="K687" s="3"/>
      <c r="L687" s="6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5"/>
      <c r="AA687" s="3"/>
      <c r="AB687" s="3"/>
      <c r="AC687" s="3"/>
      <c r="AD687" s="5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7"/>
      <c r="AX687" s="7"/>
      <c r="AY687" s="7"/>
      <c r="AZ687" s="7"/>
      <c r="BA687" s="8"/>
      <c r="BB687" s="3"/>
      <c r="BC687" s="3"/>
      <c r="BD687" s="3"/>
      <c r="BE687" s="3"/>
    </row>
    <row r="688" spans="1:57" x14ac:dyDescent="0.25">
      <c r="A688" s="2"/>
      <c r="D688" s="3"/>
      <c r="E688" s="4"/>
      <c r="F688" s="5"/>
      <c r="G688" s="5"/>
      <c r="J688" s="3"/>
      <c r="K688" s="3"/>
      <c r="L688" s="6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5"/>
      <c r="AA688" s="3"/>
      <c r="AB688" s="3"/>
      <c r="AC688" s="3"/>
      <c r="AD688" s="5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7"/>
      <c r="AX688" s="7"/>
      <c r="AY688" s="7"/>
      <c r="AZ688" s="7"/>
      <c r="BA688" s="8"/>
      <c r="BB688" s="3"/>
      <c r="BC688" s="3"/>
      <c r="BD688" s="3"/>
      <c r="BE688" s="3"/>
    </row>
    <row r="689" spans="1:57" x14ac:dyDescent="0.25">
      <c r="A689" s="2"/>
      <c r="D689" s="3"/>
      <c r="E689" s="4"/>
      <c r="F689" s="5"/>
      <c r="G689" s="5"/>
      <c r="J689" s="3"/>
      <c r="K689" s="3"/>
      <c r="L689" s="6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5"/>
      <c r="AA689" s="3"/>
      <c r="AB689" s="3"/>
      <c r="AC689" s="3"/>
      <c r="AD689" s="5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7"/>
      <c r="AX689" s="7"/>
      <c r="AY689" s="7"/>
      <c r="AZ689" s="7"/>
      <c r="BA689" s="8"/>
      <c r="BB689" s="3"/>
      <c r="BC689" s="3"/>
      <c r="BD689" s="3"/>
      <c r="BE689" s="3"/>
    </row>
    <row r="690" spans="1:57" x14ac:dyDescent="0.25">
      <c r="A690" s="2"/>
      <c r="D690" s="3"/>
      <c r="E690" s="4"/>
      <c r="F690" s="5"/>
      <c r="G690" s="5"/>
      <c r="J690" s="3"/>
      <c r="K690" s="3"/>
      <c r="L690" s="6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5"/>
      <c r="AA690" s="3"/>
      <c r="AB690" s="3"/>
      <c r="AC690" s="3"/>
      <c r="AD690" s="5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7"/>
      <c r="AX690" s="7"/>
      <c r="AY690" s="7"/>
      <c r="AZ690" s="7"/>
      <c r="BA690" s="8"/>
      <c r="BB690" s="3"/>
      <c r="BC690" s="3"/>
      <c r="BD690" s="3"/>
      <c r="BE690" s="3"/>
    </row>
    <row r="691" spans="1:57" x14ac:dyDescent="0.25">
      <c r="A691" s="2"/>
      <c r="D691" s="3"/>
      <c r="E691" s="4"/>
      <c r="F691" s="5"/>
      <c r="G691" s="5"/>
      <c r="J691" s="3"/>
      <c r="K691" s="3"/>
      <c r="L691" s="6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5"/>
      <c r="AA691" s="3"/>
      <c r="AB691" s="3"/>
      <c r="AC691" s="3"/>
      <c r="AD691" s="5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7"/>
      <c r="AX691" s="7"/>
      <c r="AY691" s="7"/>
      <c r="AZ691" s="7"/>
      <c r="BA691" s="8"/>
      <c r="BB691" s="3"/>
      <c r="BC691" s="3"/>
      <c r="BD691" s="3"/>
      <c r="BE691" s="3"/>
    </row>
    <row r="692" spans="1:57" x14ac:dyDescent="0.25">
      <c r="A692" s="2"/>
      <c r="D692" s="3"/>
      <c r="E692" s="4"/>
      <c r="F692" s="5"/>
      <c r="G692" s="5"/>
      <c r="J692" s="3"/>
      <c r="K692" s="3"/>
      <c r="L692" s="6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5"/>
      <c r="AA692" s="3"/>
      <c r="AB692" s="3"/>
      <c r="AC692" s="3"/>
      <c r="AD692" s="5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7"/>
      <c r="AX692" s="7"/>
      <c r="AY692" s="7"/>
      <c r="AZ692" s="7"/>
      <c r="BA692" s="8"/>
      <c r="BB692" s="3"/>
      <c r="BC692" s="3"/>
      <c r="BD692" s="3"/>
      <c r="BE692" s="3"/>
    </row>
    <row r="693" spans="1:57" x14ac:dyDescent="0.25">
      <c r="A693" s="2"/>
      <c r="D693" s="3"/>
      <c r="E693" s="4"/>
      <c r="F693" s="5"/>
      <c r="G693" s="5"/>
      <c r="J693" s="3"/>
      <c r="K693" s="3"/>
      <c r="L693" s="6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5"/>
      <c r="AA693" s="3"/>
      <c r="AB693" s="3"/>
      <c r="AC693" s="3"/>
      <c r="AD693" s="5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7"/>
      <c r="AX693" s="7"/>
      <c r="AY693" s="7"/>
      <c r="AZ693" s="7"/>
      <c r="BA693" s="8"/>
      <c r="BB693" s="3"/>
      <c r="BC693" s="3"/>
      <c r="BD693" s="3"/>
      <c r="BE693" s="3"/>
    </row>
    <row r="694" spans="1:57" x14ac:dyDescent="0.25">
      <c r="A694" s="2"/>
      <c r="D694" s="3"/>
      <c r="E694" s="4"/>
      <c r="F694" s="5"/>
      <c r="G694" s="5"/>
      <c r="J694" s="3"/>
      <c r="K694" s="3"/>
      <c r="L694" s="6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5"/>
      <c r="AA694" s="3"/>
      <c r="AB694" s="3"/>
      <c r="AC694" s="3"/>
      <c r="AD694" s="5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7"/>
      <c r="AX694" s="7"/>
      <c r="AY694" s="7"/>
      <c r="AZ694" s="7"/>
      <c r="BA694" s="8"/>
      <c r="BB694" s="3"/>
      <c r="BC694" s="3"/>
      <c r="BD694" s="3"/>
      <c r="BE694" s="3"/>
    </row>
    <row r="695" spans="1:57" x14ac:dyDescent="0.25">
      <c r="A695" s="2"/>
      <c r="D695" s="3"/>
      <c r="E695" s="4"/>
      <c r="F695" s="5"/>
      <c r="G695" s="5"/>
      <c r="J695" s="3"/>
      <c r="K695" s="3"/>
      <c r="L695" s="6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5"/>
      <c r="AA695" s="3"/>
      <c r="AB695" s="3"/>
      <c r="AC695" s="3"/>
      <c r="AD695" s="5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7"/>
      <c r="AX695" s="7"/>
      <c r="AY695" s="7"/>
      <c r="AZ695" s="7"/>
      <c r="BA695" s="8"/>
      <c r="BB695" s="3"/>
      <c r="BC695" s="3"/>
      <c r="BD695" s="3"/>
      <c r="BE695" s="3"/>
    </row>
    <row r="696" spans="1:57" x14ac:dyDescent="0.25">
      <c r="A696" s="2"/>
      <c r="D696" s="3"/>
      <c r="E696" s="4"/>
      <c r="F696" s="5"/>
      <c r="G696" s="5"/>
      <c r="J696" s="3"/>
      <c r="K696" s="3"/>
      <c r="L696" s="6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5"/>
      <c r="AA696" s="3"/>
      <c r="AB696" s="3"/>
      <c r="AC696" s="3"/>
      <c r="AD696" s="5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7"/>
      <c r="AX696" s="7"/>
      <c r="AY696" s="7"/>
      <c r="AZ696" s="7"/>
      <c r="BA696" s="8"/>
      <c r="BB696" s="3"/>
      <c r="BC696" s="3"/>
      <c r="BD696" s="3"/>
      <c r="BE696" s="3"/>
    </row>
    <row r="697" spans="1:57" x14ac:dyDescent="0.25">
      <c r="A697" s="2"/>
      <c r="D697" s="3"/>
      <c r="E697" s="4"/>
      <c r="F697" s="5"/>
      <c r="G697" s="5"/>
      <c r="J697" s="3"/>
      <c r="K697" s="3"/>
      <c r="L697" s="6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5"/>
      <c r="AA697" s="3"/>
      <c r="AB697" s="3"/>
      <c r="AC697" s="3"/>
      <c r="AD697" s="5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7"/>
      <c r="AX697" s="7"/>
      <c r="AY697" s="7"/>
      <c r="AZ697" s="7"/>
      <c r="BA697" s="8"/>
      <c r="BB697" s="3"/>
      <c r="BC697" s="3"/>
      <c r="BD697" s="3"/>
      <c r="BE697" s="3"/>
    </row>
    <row r="698" spans="1:57" x14ac:dyDescent="0.25">
      <c r="A698" s="2"/>
      <c r="D698" s="3"/>
      <c r="E698" s="4"/>
      <c r="F698" s="5"/>
      <c r="G698" s="5"/>
      <c r="J698" s="3"/>
      <c r="K698" s="3"/>
      <c r="L698" s="6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5"/>
      <c r="AA698" s="3"/>
      <c r="AB698" s="3"/>
      <c r="AC698" s="3"/>
      <c r="AD698" s="5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7"/>
      <c r="AX698" s="7"/>
      <c r="AY698" s="7"/>
      <c r="AZ698" s="7"/>
      <c r="BA698" s="8"/>
      <c r="BB698" s="3"/>
      <c r="BC698" s="3"/>
      <c r="BD698" s="3"/>
      <c r="BE698" s="3"/>
    </row>
    <row r="699" spans="1:57" x14ac:dyDescent="0.25">
      <c r="A699" s="2"/>
      <c r="D699" s="3"/>
      <c r="E699" s="4"/>
      <c r="F699" s="5"/>
      <c r="G699" s="5"/>
      <c r="J699" s="3"/>
      <c r="K699" s="3"/>
      <c r="L699" s="6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5"/>
      <c r="AA699" s="3"/>
      <c r="AB699" s="3"/>
      <c r="AC699" s="3"/>
      <c r="AD699" s="5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7"/>
      <c r="AX699" s="7"/>
      <c r="AY699" s="7"/>
      <c r="AZ699" s="7"/>
      <c r="BA699" s="8"/>
      <c r="BB699" s="3"/>
      <c r="BC699" s="3"/>
      <c r="BD699" s="3"/>
      <c r="BE699" s="3"/>
    </row>
    <row r="700" spans="1:57" x14ac:dyDescent="0.25">
      <c r="A700" s="2"/>
      <c r="D700" s="3"/>
      <c r="E700" s="4"/>
      <c r="F700" s="5"/>
      <c r="G700" s="5"/>
      <c r="J700" s="3"/>
      <c r="K700" s="3"/>
      <c r="L700" s="6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5"/>
      <c r="AA700" s="3"/>
      <c r="AB700" s="3"/>
      <c r="AC700" s="3"/>
      <c r="AD700" s="5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7"/>
      <c r="AX700" s="7"/>
      <c r="AY700" s="7"/>
      <c r="AZ700" s="7"/>
      <c r="BA700" s="8"/>
      <c r="BB700" s="3"/>
      <c r="BC700" s="3"/>
      <c r="BD700" s="3"/>
      <c r="BE700" s="3"/>
    </row>
    <row r="701" spans="1:57" x14ac:dyDescent="0.25">
      <c r="A701" s="2"/>
      <c r="D701" s="3"/>
      <c r="E701" s="4"/>
      <c r="F701" s="5"/>
      <c r="G701" s="5"/>
      <c r="J701" s="3"/>
      <c r="K701" s="3"/>
      <c r="L701" s="6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5"/>
      <c r="AA701" s="3"/>
      <c r="AB701" s="3"/>
      <c r="AC701" s="3"/>
      <c r="AD701" s="5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7"/>
      <c r="AX701" s="7"/>
      <c r="AY701" s="7"/>
      <c r="AZ701" s="7"/>
      <c r="BA701" s="8"/>
      <c r="BB701" s="3"/>
      <c r="BC701" s="3"/>
      <c r="BD701" s="3"/>
      <c r="BE701" s="3"/>
    </row>
    <row r="702" spans="1:57" x14ac:dyDescent="0.25">
      <c r="A702" s="2"/>
      <c r="D702" s="3"/>
      <c r="E702" s="4"/>
      <c r="F702" s="5"/>
      <c r="G702" s="5"/>
      <c r="J702" s="3"/>
      <c r="K702" s="3"/>
      <c r="L702" s="6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5"/>
      <c r="AA702" s="3"/>
      <c r="AB702" s="3"/>
      <c r="AC702" s="3"/>
      <c r="AD702" s="5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7"/>
      <c r="AX702" s="7"/>
      <c r="AY702" s="7"/>
      <c r="AZ702" s="7"/>
      <c r="BA702" s="8"/>
      <c r="BB702" s="3"/>
      <c r="BC702" s="3"/>
      <c r="BD702" s="3"/>
      <c r="BE702" s="3"/>
    </row>
    <row r="703" spans="1:57" x14ac:dyDescent="0.25">
      <c r="A703" s="2"/>
      <c r="D703" s="3"/>
      <c r="E703" s="4"/>
      <c r="F703" s="5"/>
      <c r="G703" s="5"/>
      <c r="J703" s="3"/>
      <c r="K703" s="3"/>
      <c r="L703" s="6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5"/>
      <c r="AA703" s="3"/>
      <c r="AB703" s="3"/>
      <c r="AC703" s="3"/>
      <c r="AD703" s="5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7"/>
      <c r="AX703" s="7"/>
      <c r="AY703" s="7"/>
      <c r="AZ703" s="7"/>
      <c r="BA703" s="8"/>
      <c r="BB703" s="3"/>
      <c r="BC703" s="3"/>
      <c r="BD703" s="3"/>
      <c r="BE703" s="3"/>
    </row>
    <row r="704" spans="1:57" x14ac:dyDescent="0.25">
      <c r="A704" s="2"/>
      <c r="D704" s="3"/>
      <c r="E704" s="4"/>
      <c r="F704" s="5"/>
      <c r="G704" s="5"/>
      <c r="J704" s="3"/>
      <c r="K704" s="3"/>
      <c r="L704" s="6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5"/>
      <c r="AA704" s="3"/>
      <c r="AB704" s="3"/>
      <c r="AC704" s="3"/>
      <c r="AD704" s="5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7"/>
      <c r="AX704" s="7"/>
      <c r="AY704" s="7"/>
      <c r="AZ704" s="7"/>
      <c r="BA704" s="8"/>
      <c r="BB704" s="3"/>
      <c r="BC704" s="3"/>
      <c r="BD704" s="3"/>
      <c r="BE704" s="3"/>
    </row>
    <row r="705" spans="1:57" x14ac:dyDescent="0.25">
      <c r="A705" s="2"/>
      <c r="D705" s="3"/>
      <c r="E705" s="4"/>
      <c r="F705" s="5"/>
      <c r="G705" s="5"/>
      <c r="J705" s="3"/>
      <c r="K705" s="3"/>
      <c r="L705" s="6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5"/>
      <c r="AA705" s="3"/>
      <c r="AB705" s="3"/>
      <c r="AC705" s="3"/>
      <c r="AD705" s="5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7"/>
      <c r="AX705" s="7"/>
      <c r="AY705" s="7"/>
      <c r="AZ705" s="7"/>
      <c r="BA705" s="8"/>
      <c r="BB705" s="3"/>
      <c r="BC705" s="3"/>
      <c r="BD705" s="3"/>
      <c r="BE705" s="3"/>
    </row>
    <row r="706" spans="1:57" x14ac:dyDescent="0.25">
      <c r="A706" s="2"/>
      <c r="D706" s="3"/>
      <c r="E706" s="4"/>
      <c r="F706" s="5"/>
      <c r="G706" s="5"/>
      <c r="J706" s="3"/>
      <c r="K706" s="3"/>
      <c r="L706" s="6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5"/>
      <c r="AA706" s="3"/>
      <c r="AB706" s="3"/>
      <c r="AC706" s="3"/>
      <c r="AD706" s="5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7"/>
      <c r="AX706" s="7"/>
      <c r="AY706" s="7"/>
      <c r="AZ706" s="7"/>
      <c r="BA706" s="8"/>
      <c r="BB706" s="3"/>
      <c r="BC706" s="3"/>
      <c r="BD706" s="3"/>
      <c r="BE706" s="3"/>
    </row>
    <row r="707" spans="1:57" x14ac:dyDescent="0.25">
      <c r="A707" s="2"/>
      <c r="D707" s="3"/>
      <c r="E707" s="4"/>
      <c r="F707" s="5"/>
      <c r="G707" s="5"/>
      <c r="J707" s="3"/>
      <c r="K707" s="3"/>
      <c r="L707" s="6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5"/>
      <c r="AA707" s="3"/>
      <c r="AB707" s="3"/>
      <c r="AC707" s="3"/>
      <c r="AD707" s="5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7"/>
      <c r="AX707" s="7"/>
      <c r="AY707" s="7"/>
      <c r="AZ707" s="7"/>
      <c r="BA707" s="8"/>
      <c r="BB707" s="3"/>
      <c r="BC707" s="3"/>
      <c r="BD707" s="3"/>
      <c r="BE707" s="3"/>
    </row>
    <row r="708" spans="1:57" x14ac:dyDescent="0.25">
      <c r="A708" s="2"/>
      <c r="D708" s="3"/>
      <c r="E708" s="4"/>
      <c r="F708" s="5"/>
      <c r="G708" s="5"/>
      <c r="J708" s="3"/>
      <c r="K708" s="3"/>
      <c r="L708" s="6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5"/>
      <c r="AA708" s="3"/>
      <c r="AB708" s="3"/>
      <c r="AC708" s="3"/>
      <c r="AD708" s="5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7"/>
      <c r="AX708" s="7"/>
      <c r="AY708" s="7"/>
      <c r="AZ708" s="7"/>
      <c r="BA708" s="8"/>
      <c r="BB708" s="3"/>
      <c r="BC708" s="3"/>
      <c r="BD708" s="3"/>
      <c r="BE708" s="3"/>
    </row>
    <row r="709" spans="1:57" x14ac:dyDescent="0.25">
      <c r="A709" s="2"/>
      <c r="D709" s="3"/>
      <c r="E709" s="4"/>
      <c r="F709" s="5"/>
      <c r="G709" s="5"/>
      <c r="J709" s="3"/>
      <c r="K709" s="3"/>
      <c r="L709" s="6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5"/>
      <c r="AA709" s="3"/>
      <c r="AB709" s="3"/>
      <c r="AC709" s="3"/>
      <c r="AD709" s="5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7"/>
      <c r="AX709" s="7"/>
      <c r="AY709" s="7"/>
      <c r="AZ709" s="7"/>
      <c r="BA709" s="8"/>
      <c r="BB709" s="3"/>
      <c r="BC709" s="3"/>
      <c r="BD709" s="3"/>
      <c r="BE709" s="3"/>
    </row>
    <row r="710" spans="1:57" x14ac:dyDescent="0.25">
      <c r="A710" s="2"/>
      <c r="D710" s="3"/>
      <c r="E710" s="4"/>
      <c r="F710" s="5"/>
      <c r="G710" s="5"/>
      <c r="J710" s="3"/>
      <c r="K710" s="3"/>
      <c r="L710" s="6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5"/>
      <c r="AA710" s="3"/>
      <c r="AB710" s="3"/>
      <c r="AC710" s="3"/>
      <c r="AD710" s="5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7"/>
      <c r="AX710" s="7"/>
      <c r="AY710" s="7"/>
      <c r="AZ710" s="7"/>
      <c r="BA710" s="8"/>
      <c r="BB710" s="3"/>
      <c r="BC710" s="3"/>
      <c r="BD710" s="3"/>
      <c r="BE710" s="3"/>
    </row>
    <row r="711" spans="1:57" x14ac:dyDescent="0.25">
      <c r="A711" s="2"/>
      <c r="D711" s="3"/>
      <c r="E711" s="4"/>
      <c r="F711" s="5"/>
      <c r="G711" s="5"/>
      <c r="J711" s="3"/>
      <c r="K711" s="3"/>
      <c r="L711" s="6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5"/>
      <c r="AA711" s="3"/>
      <c r="AB711" s="3"/>
      <c r="AC711" s="3"/>
      <c r="AD711" s="5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7"/>
      <c r="AX711" s="7"/>
      <c r="AY711" s="7"/>
      <c r="AZ711" s="7"/>
      <c r="BA711" s="8"/>
      <c r="BB711" s="3"/>
      <c r="BC711" s="3"/>
      <c r="BD711" s="3"/>
      <c r="BE711" s="3"/>
    </row>
    <row r="712" spans="1:57" x14ac:dyDescent="0.25">
      <c r="A712" s="2"/>
      <c r="D712" s="3"/>
      <c r="E712" s="4"/>
      <c r="F712" s="5"/>
      <c r="G712" s="5"/>
      <c r="J712" s="3"/>
      <c r="K712" s="3"/>
      <c r="L712" s="6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5"/>
      <c r="AA712" s="3"/>
      <c r="AB712" s="3"/>
      <c r="AC712" s="3"/>
      <c r="AD712" s="5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7"/>
      <c r="AX712" s="7"/>
      <c r="AY712" s="7"/>
      <c r="AZ712" s="7"/>
      <c r="BA712" s="8"/>
      <c r="BB712" s="3"/>
      <c r="BC712" s="3"/>
      <c r="BD712" s="3"/>
      <c r="BE712" s="3"/>
    </row>
    <row r="713" spans="1:57" x14ac:dyDescent="0.25">
      <c r="A713" s="2"/>
      <c r="D713" s="3"/>
      <c r="E713" s="4"/>
      <c r="F713" s="5"/>
      <c r="G713" s="5"/>
      <c r="J713" s="3"/>
      <c r="K713" s="3"/>
      <c r="L713" s="6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5"/>
      <c r="AA713" s="3"/>
      <c r="AB713" s="3"/>
      <c r="AC713" s="3"/>
      <c r="AD713" s="5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7"/>
      <c r="AX713" s="7"/>
      <c r="AY713" s="7"/>
      <c r="AZ713" s="7"/>
      <c r="BA713" s="8"/>
      <c r="BB713" s="3"/>
      <c r="BC713" s="3"/>
      <c r="BD713" s="3"/>
      <c r="BE713" s="3"/>
    </row>
    <row r="714" spans="1:57" x14ac:dyDescent="0.25">
      <c r="A714" s="2"/>
      <c r="D714" s="3"/>
      <c r="E714" s="4"/>
      <c r="F714" s="5"/>
      <c r="G714" s="5"/>
      <c r="J714" s="3"/>
      <c r="K714" s="3"/>
      <c r="L714" s="6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5"/>
      <c r="AA714" s="3"/>
      <c r="AB714" s="3"/>
      <c r="AC714" s="3"/>
      <c r="AD714" s="5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7"/>
      <c r="AX714" s="7"/>
      <c r="AY714" s="7"/>
      <c r="AZ714" s="7"/>
      <c r="BA714" s="8"/>
      <c r="BB714" s="3"/>
      <c r="BC714" s="3"/>
      <c r="BD714" s="3"/>
      <c r="BE714" s="3"/>
    </row>
    <row r="715" spans="1:57" x14ac:dyDescent="0.25">
      <c r="A715" s="2"/>
      <c r="D715" s="3"/>
      <c r="E715" s="4"/>
      <c r="F715" s="5"/>
      <c r="G715" s="5"/>
      <c r="J715" s="3"/>
      <c r="K715" s="3"/>
      <c r="L715" s="6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5"/>
      <c r="AA715" s="3"/>
      <c r="AB715" s="3"/>
      <c r="AC715" s="3"/>
      <c r="AD715" s="5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7"/>
      <c r="AX715" s="7"/>
      <c r="AY715" s="7"/>
      <c r="AZ715" s="7"/>
      <c r="BA715" s="8"/>
      <c r="BB715" s="3"/>
      <c r="BC715" s="3"/>
      <c r="BD715" s="3"/>
      <c r="BE715" s="3"/>
    </row>
    <row r="716" spans="1:57" x14ac:dyDescent="0.25">
      <c r="A716" s="2"/>
      <c r="D716" s="3"/>
      <c r="E716" s="4"/>
      <c r="F716" s="5"/>
      <c r="G716" s="5"/>
      <c r="J716" s="3"/>
      <c r="K716" s="3"/>
      <c r="L716" s="6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5"/>
      <c r="AA716" s="3"/>
      <c r="AB716" s="3"/>
      <c r="AC716" s="3"/>
      <c r="AD716" s="5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7"/>
      <c r="AX716" s="7"/>
      <c r="AY716" s="7"/>
      <c r="AZ716" s="7"/>
      <c r="BA716" s="8"/>
      <c r="BB716" s="3"/>
      <c r="BC716" s="3"/>
      <c r="BD716" s="3"/>
      <c r="BE716" s="3"/>
    </row>
    <row r="717" spans="1:57" x14ac:dyDescent="0.25">
      <c r="A717" s="2"/>
      <c r="D717" s="3"/>
      <c r="E717" s="4"/>
      <c r="F717" s="5"/>
      <c r="G717" s="5"/>
      <c r="J717" s="3"/>
      <c r="K717" s="3"/>
      <c r="L717" s="6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5"/>
      <c r="AA717" s="3"/>
      <c r="AB717" s="3"/>
      <c r="AC717" s="3"/>
      <c r="AD717" s="5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7"/>
      <c r="AX717" s="7"/>
      <c r="AY717" s="7"/>
      <c r="AZ717" s="7"/>
      <c r="BA717" s="8"/>
      <c r="BB717" s="3"/>
      <c r="BC717" s="3"/>
      <c r="BD717" s="3"/>
      <c r="BE717" s="3"/>
    </row>
    <row r="718" spans="1:57" x14ac:dyDescent="0.25">
      <c r="A718" s="2"/>
      <c r="D718" s="3"/>
      <c r="E718" s="4"/>
      <c r="F718" s="5"/>
      <c r="G718" s="5"/>
      <c r="J718" s="3"/>
      <c r="K718" s="3"/>
      <c r="L718" s="6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5"/>
      <c r="AA718" s="3"/>
      <c r="AB718" s="3"/>
      <c r="AC718" s="3"/>
      <c r="AD718" s="5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7"/>
      <c r="AX718" s="7"/>
      <c r="AY718" s="7"/>
      <c r="AZ718" s="7"/>
      <c r="BA718" s="8"/>
      <c r="BB718" s="3"/>
      <c r="BC718" s="3"/>
      <c r="BD718" s="3"/>
      <c r="BE718" s="3"/>
    </row>
    <row r="719" spans="1:57" x14ac:dyDescent="0.25">
      <c r="A719" s="2"/>
      <c r="D719" s="3"/>
      <c r="E719" s="4"/>
      <c r="F719" s="5"/>
      <c r="G719" s="5"/>
      <c r="J719" s="3"/>
      <c r="K719" s="3"/>
      <c r="L719" s="6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5"/>
      <c r="AA719" s="3"/>
      <c r="AB719" s="3"/>
      <c r="AC719" s="3"/>
      <c r="AD719" s="5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7"/>
      <c r="AX719" s="7"/>
      <c r="AY719" s="7"/>
      <c r="AZ719" s="7"/>
      <c r="BA719" s="8"/>
      <c r="BB719" s="3"/>
      <c r="BC719" s="3"/>
      <c r="BD719" s="3"/>
      <c r="BE719" s="3"/>
    </row>
    <row r="720" spans="1:57" x14ac:dyDescent="0.25">
      <c r="A720" s="2"/>
      <c r="D720" s="3"/>
      <c r="E720" s="4"/>
      <c r="F720" s="5"/>
      <c r="G720" s="5"/>
      <c r="J720" s="3"/>
      <c r="K720" s="3"/>
      <c r="L720" s="6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5"/>
      <c r="AA720" s="3"/>
      <c r="AB720" s="3"/>
      <c r="AC720" s="3"/>
      <c r="AD720" s="5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7"/>
      <c r="AX720" s="7"/>
      <c r="AY720" s="7"/>
      <c r="AZ720" s="7"/>
      <c r="BA720" s="8"/>
      <c r="BB720" s="3"/>
      <c r="BC720" s="3"/>
      <c r="BD720" s="3"/>
      <c r="BE720" s="3"/>
    </row>
    <row r="721" spans="1:57" x14ac:dyDescent="0.25">
      <c r="A721" s="2"/>
      <c r="D721" s="3"/>
      <c r="E721" s="4"/>
      <c r="F721" s="5"/>
      <c r="G721" s="5"/>
      <c r="J721" s="3"/>
      <c r="K721" s="3"/>
      <c r="L721" s="6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5"/>
      <c r="AA721" s="3"/>
      <c r="AB721" s="3"/>
      <c r="AC721" s="3"/>
      <c r="AD721" s="5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7"/>
      <c r="AX721" s="7"/>
      <c r="AY721" s="7"/>
      <c r="AZ721" s="7"/>
      <c r="BA721" s="8"/>
      <c r="BB721" s="3"/>
      <c r="BC721" s="3"/>
      <c r="BD721" s="3"/>
      <c r="BE721" s="3"/>
    </row>
    <row r="722" spans="1:57" x14ac:dyDescent="0.25">
      <c r="A722" s="2"/>
      <c r="D722" s="3"/>
      <c r="E722" s="4"/>
      <c r="F722" s="5"/>
      <c r="G722" s="5"/>
      <c r="J722" s="3"/>
      <c r="K722" s="3"/>
      <c r="L722" s="6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5"/>
      <c r="AA722" s="3"/>
      <c r="AB722" s="3"/>
      <c r="AC722" s="3"/>
      <c r="AD722" s="5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7"/>
      <c r="AX722" s="7"/>
      <c r="AY722" s="7"/>
      <c r="AZ722" s="7"/>
      <c r="BA722" s="8"/>
      <c r="BB722" s="3"/>
      <c r="BC722" s="3"/>
      <c r="BD722" s="3"/>
      <c r="BE722" s="3"/>
    </row>
    <row r="723" spans="1:57" x14ac:dyDescent="0.25">
      <c r="A723" s="2"/>
      <c r="D723" s="3"/>
      <c r="E723" s="4"/>
      <c r="F723" s="5"/>
      <c r="G723" s="5"/>
      <c r="J723" s="3"/>
      <c r="K723" s="3"/>
      <c r="L723" s="6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5"/>
      <c r="AA723" s="3"/>
      <c r="AB723" s="3"/>
      <c r="AC723" s="3"/>
      <c r="AD723" s="5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7"/>
      <c r="AX723" s="7"/>
      <c r="AY723" s="7"/>
      <c r="AZ723" s="7"/>
      <c r="BA723" s="8"/>
      <c r="BB723" s="3"/>
      <c r="BC723" s="3"/>
      <c r="BD723" s="3"/>
      <c r="BE723" s="3"/>
    </row>
    <row r="724" spans="1:57" x14ac:dyDescent="0.25">
      <c r="A724" s="2"/>
      <c r="D724" s="3"/>
      <c r="E724" s="4"/>
      <c r="F724" s="5"/>
      <c r="G724" s="5"/>
      <c r="J724" s="3"/>
      <c r="K724" s="3"/>
      <c r="L724" s="6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5"/>
      <c r="AA724" s="3"/>
      <c r="AB724" s="3"/>
      <c r="AC724" s="3"/>
      <c r="AD724" s="5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7"/>
      <c r="AX724" s="7"/>
      <c r="AY724" s="7"/>
      <c r="AZ724" s="7"/>
      <c r="BA724" s="8"/>
      <c r="BB724" s="3"/>
      <c r="BC724" s="3"/>
      <c r="BD724" s="3"/>
      <c r="BE724" s="3"/>
    </row>
    <row r="725" spans="1:57" x14ac:dyDescent="0.25">
      <c r="A725" s="2"/>
      <c r="D725" s="3"/>
      <c r="E725" s="4"/>
      <c r="F725" s="5"/>
      <c r="G725" s="5"/>
      <c r="J725" s="3"/>
      <c r="K725" s="3"/>
      <c r="L725" s="6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5"/>
      <c r="AA725" s="3"/>
      <c r="AB725" s="3"/>
      <c r="AC725" s="3"/>
      <c r="AD725" s="5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7"/>
      <c r="AX725" s="7"/>
      <c r="AY725" s="7"/>
      <c r="AZ725" s="7"/>
      <c r="BA725" s="8"/>
      <c r="BB725" s="3"/>
      <c r="BC725" s="3"/>
      <c r="BD725" s="3"/>
      <c r="BE725" s="3"/>
    </row>
    <row r="726" spans="1:57" x14ac:dyDescent="0.25">
      <c r="A726" s="2"/>
      <c r="D726" s="3"/>
      <c r="E726" s="4"/>
      <c r="F726" s="5"/>
      <c r="G726" s="5"/>
      <c r="J726" s="3"/>
      <c r="K726" s="3"/>
      <c r="L726" s="6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5"/>
      <c r="AA726" s="3"/>
      <c r="AB726" s="3"/>
      <c r="AC726" s="3"/>
      <c r="AD726" s="5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7"/>
      <c r="AX726" s="7"/>
      <c r="AY726" s="7"/>
      <c r="AZ726" s="7"/>
      <c r="BA726" s="8"/>
      <c r="BB726" s="3"/>
      <c r="BC726" s="3"/>
      <c r="BD726" s="3"/>
      <c r="BE726" s="3"/>
    </row>
    <row r="727" spans="1:57" x14ac:dyDescent="0.25">
      <c r="A727" s="2"/>
      <c r="D727" s="3"/>
      <c r="E727" s="4"/>
      <c r="F727" s="5"/>
      <c r="G727" s="5"/>
      <c r="J727" s="3"/>
      <c r="K727" s="3"/>
      <c r="L727" s="6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5"/>
      <c r="AA727" s="3"/>
      <c r="AB727" s="3"/>
      <c r="AC727" s="3"/>
      <c r="AD727" s="5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7"/>
      <c r="AX727" s="7"/>
      <c r="AY727" s="7"/>
      <c r="AZ727" s="7"/>
      <c r="BA727" s="8"/>
      <c r="BB727" s="3"/>
      <c r="BC727" s="3"/>
      <c r="BD727" s="3"/>
      <c r="BE727" s="3"/>
    </row>
    <row r="728" spans="1:57" x14ac:dyDescent="0.25">
      <c r="A728" s="2"/>
      <c r="D728" s="3"/>
      <c r="E728" s="4"/>
      <c r="F728" s="5"/>
      <c r="G728" s="5"/>
      <c r="J728" s="3"/>
      <c r="K728" s="3"/>
      <c r="L728" s="6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5"/>
      <c r="AA728" s="3"/>
      <c r="AB728" s="3"/>
      <c r="AC728" s="3"/>
      <c r="AD728" s="5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7"/>
      <c r="AX728" s="7"/>
      <c r="AY728" s="7"/>
      <c r="AZ728" s="7"/>
      <c r="BA728" s="8"/>
      <c r="BB728" s="3"/>
      <c r="BC728" s="3"/>
      <c r="BD728" s="3"/>
      <c r="BE728" s="3"/>
    </row>
    <row r="729" spans="1:57" x14ac:dyDescent="0.25">
      <c r="A729" s="2"/>
      <c r="D729" s="3"/>
      <c r="E729" s="4"/>
      <c r="F729" s="5"/>
      <c r="G729" s="5"/>
      <c r="J729" s="3"/>
      <c r="K729" s="3"/>
      <c r="L729" s="6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5"/>
      <c r="AA729" s="3"/>
      <c r="AB729" s="3"/>
      <c r="AC729" s="3"/>
      <c r="AD729" s="5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7"/>
      <c r="AX729" s="7"/>
      <c r="AY729" s="7"/>
      <c r="AZ729" s="7"/>
      <c r="BA729" s="8"/>
      <c r="BB729" s="3"/>
      <c r="BC729" s="3"/>
      <c r="BD729" s="3"/>
      <c r="BE729" s="3"/>
    </row>
    <row r="730" spans="1:57" x14ac:dyDescent="0.25">
      <c r="A730" s="2"/>
      <c r="D730" s="3"/>
      <c r="E730" s="4"/>
      <c r="F730" s="5"/>
      <c r="G730" s="5"/>
      <c r="J730" s="3"/>
      <c r="K730" s="3"/>
      <c r="L730" s="6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5"/>
      <c r="AA730" s="3"/>
      <c r="AB730" s="3"/>
      <c r="AC730" s="3"/>
      <c r="AD730" s="5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7"/>
      <c r="AX730" s="7"/>
      <c r="AY730" s="7"/>
      <c r="AZ730" s="7"/>
      <c r="BA730" s="8"/>
      <c r="BB730" s="3"/>
      <c r="BC730" s="3"/>
      <c r="BD730" s="3"/>
      <c r="BE730" s="3"/>
    </row>
    <row r="731" spans="1:57" x14ac:dyDescent="0.25">
      <c r="A731" s="2"/>
      <c r="D731" s="3"/>
      <c r="E731" s="4"/>
      <c r="F731" s="5"/>
      <c r="G731" s="5"/>
      <c r="J731" s="3"/>
      <c r="K731" s="3"/>
      <c r="L731" s="6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5"/>
      <c r="AA731" s="3"/>
      <c r="AB731" s="3"/>
      <c r="AC731" s="3"/>
      <c r="AD731" s="5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7"/>
      <c r="AX731" s="7"/>
      <c r="AY731" s="7"/>
      <c r="AZ731" s="7"/>
      <c r="BA731" s="8"/>
      <c r="BB731" s="3"/>
      <c r="BC731" s="3"/>
      <c r="BD731" s="3"/>
      <c r="BE731" s="3"/>
    </row>
    <row r="732" spans="1:57" x14ac:dyDescent="0.25">
      <c r="A732" s="2"/>
      <c r="D732" s="3"/>
      <c r="E732" s="4"/>
      <c r="F732" s="5"/>
      <c r="G732" s="5"/>
      <c r="J732" s="3"/>
      <c r="K732" s="3"/>
      <c r="L732" s="6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5"/>
      <c r="AA732" s="3"/>
      <c r="AB732" s="3"/>
      <c r="AC732" s="3"/>
      <c r="AD732" s="5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7"/>
      <c r="AX732" s="7"/>
      <c r="AY732" s="7"/>
      <c r="AZ732" s="7"/>
      <c r="BA732" s="8"/>
      <c r="BB732" s="3"/>
      <c r="BC732" s="3"/>
      <c r="BD732" s="3"/>
      <c r="BE732" s="3"/>
    </row>
    <row r="733" spans="1:57" x14ac:dyDescent="0.25">
      <c r="A733" s="2"/>
      <c r="D733" s="3"/>
      <c r="E733" s="4"/>
      <c r="F733" s="5"/>
      <c r="G733" s="5"/>
      <c r="J733" s="3"/>
      <c r="K733" s="3"/>
      <c r="L733" s="6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5"/>
      <c r="AA733" s="3"/>
      <c r="AB733" s="3"/>
      <c r="AC733" s="3"/>
      <c r="AD733" s="5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7"/>
      <c r="AX733" s="7"/>
      <c r="AY733" s="7"/>
      <c r="AZ733" s="7"/>
      <c r="BA733" s="8"/>
      <c r="BB733" s="3"/>
      <c r="BC733" s="3"/>
      <c r="BD733" s="3"/>
      <c r="BE733" s="3"/>
    </row>
    <row r="734" spans="1:57" x14ac:dyDescent="0.25">
      <c r="A734" s="2"/>
      <c r="D734" s="3"/>
      <c r="E734" s="4"/>
      <c r="F734" s="5"/>
      <c r="G734" s="5"/>
      <c r="J734" s="3"/>
      <c r="K734" s="3"/>
      <c r="L734" s="6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5"/>
      <c r="AA734" s="3"/>
      <c r="AB734" s="3"/>
      <c r="AC734" s="3"/>
      <c r="AD734" s="5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7"/>
      <c r="AX734" s="7"/>
      <c r="AY734" s="7"/>
      <c r="AZ734" s="7"/>
      <c r="BA734" s="8"/>
      <c r="BB734" s="3"/>
      <c r="BC734" s="3"/>
      <c r="BD734" s="3"/>
      <c r="BE734" s="3"/>
    </row>
    <row r="735" spans="1:57" x14ac:dyDescent="0.25">
      <c r="A735" s="2"/>
      <c r="D735" s="3"/>
      <c r="E735" s="4"/>
      <c r="F735" s="5"/>
      <c r="G735" s="5"/>
      <c r="J735" s="3"/>
      <c r="K735" s="3"/>
      <c r="L735" s="6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5"/>
      <c r="AA735" s="3"/>
      <c r="AB735" s="3"/>
      <c r="AC735" s="3"/>
      <c r="AD735" s="5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7"/>
      <c r="AX735" s="7"/>
      <c r="AY735" s="7"/>
      <c r="AZ735" s="7"/>
      <c r="BA735" s="8"/>
      <c r="BB735" s="3"/>
      <c r="BC735" s="3"/>
      <c r="BD735" s="3"/>
      <c r="BE735" s="3"/>
    </row>
    <row r="736" spans="1:57" x14ac:dyDescent="0.25">
      <c r="A736" s="2"/>
      <c r="D736" s="3"/>
      <c r="E736" s="4"/>
      <c r="F736" s="5"/>
      <c r="G736" s="5"/>
      <c r="J736" s="3"/>
      <c r="K736" s="3"/>
      <c r="L736" s="6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5"/>
      <c r="AA736" s="3"/>
      <c r="AB736" s="3"/>
      <c r="AC736" s="3"/>
      <c r="AD736" s="5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7"/>
      <c r="AX736" s="7"/>
      <c r="AY736" s="7"/>
      <c r="AZ736" s="7"/>
      <c r="BA736" s="8"/>
      <c r="BB736" s="3"/>
      <c r="BC736" s="3"/>
      <c r="BD736" s="3"/>
      <c r="BE736" s="3"/>
    </row>
    <row r="737" spans="1:57" x14ac:dyDescent="0.25">
      <c r="A737" s="2"/>
      <c r="D737" s="3"/>
      <c r="E737" s="4"/>
      <c r="F737" s="5"/>
      <c r="G737" s="5"/>
      <c r="J737" s="3"/>
      <c r="K737" s="3"/>
      <c r="L737" s="6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5"/>
      <c r="AA737" s="3"/>
      <c r="AB737" s="3"/>
      <c r="AC737" s="3"/>
      <c r="AD737" s="5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7"/>
      <c r="AX737" s="7"/>
      <c r="AY737" s="7"/>
      <c r="AZ737" s="7"/>
      <c r="BA737" s="8"/>
      <c r="BB737" s="3"/>
      <c r="BC737" s="3"/>
      <c r="BD737" s="3"/>
      <c r="BE737" s="3"/>
    </row>
    <row r="738" spans="1:57" x14ac:dyDescent="0.25">
      <c r="A738" s="2"/>
      <c r="D738" s="3"/>
      <c r="E738" s="4"/>
      <c r="F738" s="5"/>
      <c r="G738" s="5"/>
      <c r="J738" s="3"/>
      <c r="K738" s="3"/>
      <c r="L738" s="6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5"/>
      <c r="AA738" s="3"/>
      <c r="AB738" s="3"/>
      <c r="AC738" s="3"/>
      <c r="AD738" s="5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7"/>
      <c r="AX738" s="7"/>
      <c r="AY738" s="7"/>
      <c r="AZ738" s="7"/>
      <c r="BA738" s="8"/>
      <c r="BB738" s="3"/>
      <c r="BC738" s="3"/>
      <c r="BD738" s="3"/>
      <c r="BE738" s="3"/>
    </row>
    <row r="739" spans="1:57" x14ac:dyDescent="0.25">
      <c r="A739" s="2"/>
      <c r="D739" s="3"/>
      <c r="E739" s="4"/>
      <c r="F739" s="5"/>
      <c r="G739" s="5"/>
      <c r="J739" s="3"/>
      <c r="K739" s="3"/>
      <c r="L739" s="6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5"/>
      <c r="AA739" s="3"/>
      <c r="AB739" s="3"/>
      <c r="AC739" s="3"/>
      <c r="AD739" s="5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7"/>
      <c r="AX739" s="7"/>
      <c r="AY739" s="7"/>
      <c r="AZ739" s="7"/>
      <c r="BA739" s="8"/>
      <c r="BB739" s="3"/>
      <c r="BC739" s="3"/>
      <c r="BD739" s="3"/>
      <c r="BE739" s="3"/>
    </row>
    <row r="740" spans="1:57" x14ac:dyDescent="0.25">
      <c r="A740" s="2"/>
      <c r="D740" s="3"/>
      <c r="E740" s="4"/>
      <c r="F740" s="5"/>
      <c r="G740" s="5"/>
      <c r="J740" s="3"/>
      <c r="K740" s="3"/>
      <c r="L740" s="6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5"/>
      <c r="AA740" s="3"/>
      <c r="AB740" s="3"/>
      <c r="AC740" s="3"/>
      <c r="AD740" s="5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7"/>
      <c r="AX740" s="7"/>
      <c r="AY740" s="7"/>
      <c r="AZ740" s="7"/>
      <c r="BA740" s="8"/>
      <c r="BB740" s="3"/>
      <c r="BC740" s="3"/>
      <c r="BD740" s="3"/>
      <c r="BE740" s="3"/>
    </row>
    <row r="741" spans="1:57" x14ac:dyDescent="0.25">
      <c r="A741" s="2"/>
      <c r="D741" s="3"/>
      <c r="E741" s="4"/>
      <c r="F741" s="5"/>
      <c r="G741" s="5"/>
      <c r="J741" s="3"/>
      <c r="K741" s="3"/>
      <c r="L741" s="6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5"/>
      <c r="AA741" s="3"/>
      <c r="AB741" s="3"/>
      <c r="AC741" s="3"/>
      <c r="AD741" s="5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7"/>
      <c r="AX741" s="7"/>
      <c r="AY741" s="7"/>
      <c r="AZ741" s="7"/>
      <c r="BA741" s="8"/>
      <c r="BB741" s="3"/>
      <c r="BC741" s="3"/>
      <c r="BD741" s="3"/>
      <c r="BE741" s="3"/>
    </row>
    <row r="742" spans="1:57" x14ac:dyDescent="0.25">
      <c r="A742" s="2"/>
      <c r="D742" s="3"/>
      <c r="E742" s="4"/>
      <c r="F742" s="5"/>
      <c r="G742" s="5"/>
      <c r="J742" s="3"/>
      <c r="K742" s="3"/>
      <c r="L742" s="6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5"/>
      <c r="AA742" s="3"/>
      <c r="AB742" s="3"/>
      <c r="AC742" s="3"/>
      <c r="AD742" s="5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7"/>
      <c r="AX742" s="7"/>
      <c r="AY742" s="7"/>
      <c r="AZ742" s="7"/>
      <c r="BA742" s="8"/>
      <c r="BB742" s="3"/>
      <c r="BC742" s="3"/>
      <c r="BD742" s="3"/>
      <c r="BE742" s="3"/>
    </row>
    <row r="743" spans="1:57" x14ac:dyDescent="0.25">
      <c r="A743" s="2"/>
      <c r="D743" s="3"/>
      <c r="E743" s="4"/>
      <c r="F743" s="5"/>
      <c r="G743" s="5"/>
      <c r="J743" s="3"/>
      <c r="K743" s="3"/>
      <c r="L743" s="6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5"/>
      <c r="AA743" s="3"/>
      <c r="AB743" s="3"/>
      <c r="AC743" s="3"/>
      <c r="AD743" s="5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7"/>
      <c r="AX743" s="7"/>
      <c r="AY743" s="7"/>
      <c r="AZ743" s="7"/>
      <c r="BA743" s="8"/>
      <c r="BB743" s="3"/>
      <c r="BC743" s="3"/>
      <c r="BD743" s="3"/>
      <c r="BE743" s="3"/>
    </row>
    <row r="744" spans="1:57" x14ac:dyDescent="0.25">
      <c r="A744" s="2"/>
      <c r="D744" s="3"/>
      <c r="E744" s="4"/>
      <c r="F744" s="5"/>
      <c r="G744" s="5"/>
      <c r="J744" s="3"/>
      <c r="K744" s="3"/>
      <c r="L744" s="6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5"/>
      <c r="AA744" s="3"/>
      <c r="AB744" s="3"/>
      <c r="AC744" s="3"/>
      <c r="AD744" s="5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7"/>
      <c r="AX744" s="7"/>
      <c r="AY744" s="7"/>
      <c r="AZ744" s="7"/>
      <c r="BA744" s="8"/>
      <c r="BB744" s="3"/>
      <c r="BC744" s="3"/>
      <c r="BD744" s="3"/>
      <c r="BE744" s="3"/>
    </row>
    <row r="745" spans="1:57" x14ac:dyDescent="0.25">
      <c r="A745" s="2"/>
      <c r="D745" s="3"/>
      <c r="E745" s="4"/>
      <c r="F745" s="5"/>
      <c r="G745" s="5"/>
      <c r="J745" s="3"/>
      <c r="K745" s="3"/>
      <c r="L745" s="6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5"/>
      <c r="AA745" s="3"/>
      <c r="AB745" s="3"/>
      <c r="AC745" s="3"/>
      <c r="AD745" s="5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7"/>
      <c r="AX745" s="7"/>
      <c r="AY745" s="7"/>
      <c r="AZ745" s="7"/>
      <c r="BA745" s="8"/>
      <c r="BB745" s="3"/>
      <c r="BC745" s="3"/>
      <c r="BD745" s="3"/>
      <c r="BE745" s="3"/>
    </row>
    <row r="746" spans="1:57" x14ac:dyDescent="0.25">
      <c r="A746" s="2"/>
      <c r="D746" s="3"/>
      <c r="E746" s="4"/>
      <c r="F746" s="5"/>
      <c r="G746" s="5"/>
      <c r="J746" s="3"/>
      <c r="K746" s="3"/>
      <c r="L746" s="6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5"/>
      <c r="AA746" s="3"/>
      <c r="AB746" s="3"/>
      <c r="AC746" s="3"/>
      <c r="AD746" s="5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7"/>
      <c r="AX746" s="7"/>
      <c r="AY746" s="7"/>
      <c r="AZ746" s="7"/>
      <c r="BA746" s="8"/>
      <c r="BB746" s="3"/>
      <c r="BC746" s="3"/>
      <c r="BD746" s="3"/>
      <c r="BE746" s="3"/>
    </row>
    <row r="747" spans="1:57" x14ac:dyDescent="0.25">
      <c r="A747" s="2"/>
      <c r="D747" s="3"/>
      <c r="E747" s="4"/>
      <c r="F747" s="5"/>
      <c r="G747" s="5"/>
      <c r="J747" s="3"/>
      <c r="K747" s="3"/>
      <c r="L747" s="6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5"/>
      <c r="AA747" s="3"/>
      <c r="AB747" s="3"/>
      <c r="AC747" s="3"/>
      <c r="AD747" s="5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7"/>
      <c r="AX747" s="7"/>
      <c r="AY747" s="7"/>
      <c r="AZ747" s="7"/>
      <c r="BA747" s="8"/>
      <c r="BB747" s="3"/>
      <c r="BC747" s="3"/>
      <c r="BD747" s="3"/>
      <c r="BE747" s="3"/>
    </row>
    <row r="748" spans="1:57" x14ac:dyDescent="0.25">
      <c r="A748" s="2"/>
      <c r="D748" s="3"/>
      <c r="E748" s="4"/>
      <c r="F748" s="5"/>
      <c r="G748" s="5"/>
      <c r="J748" s="3"/>
      <c r="K748" s="3"/>
      <c r="L748" s="6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5"/>
      <c r="AA748" s="3"/>
      <c r="AB748" s="3"/>
      <c r="AC748" s="3"/>
      <c r="AD748" s="5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7"/>
      <c r="AX748" s="7"/>
      <c r="AY748" s="7"/>
      <c r="AZ748" s="7"/>
      <c r="BA748" s="8"/>
      <c r="BB748" s="3"/>
      <c r="BC748" s="3"/>
      <c r="BD748" s="3"/>
      <c r="BE748" s="3"/>
    </row>
    <row r="749" spans="1:57" x14ac:dyDescent="0.25">
      <c r="A749" s="2"/>
      <c r="D749" s="3"/>
      <c r="E749" s="4"/>
      <c r="F749" s="5"/>
      <c r="G749" s="5"/>
      <c r="J749" s="3"/>
      <c r="K749" s="3"/>
      <c r="L749" s="6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5"/>
      <c r="AA749" s="3"/>
      <c r="AB749" s="3"/>
      <c r="AC749" s="3"/>
      <c r="AD749" s="5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7"/>
      <c r="AX749" s="7"/>
      <c r="AY749" s="7"/>
      <c r="AZ749" s="7"/>
      <c r="BA749" s="8"/>
      <c r="BB749" s="3"/>
      <c r="BC749" s="3"/>
      <c r="BD749" s="3"/>
      <c r="BE749" s="3"/>
    </row>
    <row r="750" spans="1:57" x14ac:dyDescent="0.25">
      <c r="A750" s="2"/>
      <c r="D750" s="3"/>
      <c r="E750" s="4"/>
      <c r="F750" s="5"/>
      <c r="G750" s="5"/>
      <c r="J750" s="3"/>
      <c r="K750" s="3"/>
      <c r="L750" s="6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5"/>
      <c r="AA750" s="3"/>
      <c r="AB750" s="3"/>
      <c r="AC750" s="3"/>
      <c r="AD750" s="5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7"/>
      <c r="AX750" s="7"/>
      <c r="AY750" s="7"/>
      <c r="AZ750" s="7"/>
      <c r="BA750" s="8"/>
      <c r="BB750" s="3"/>
      <c r="BC750" s="3"/>
      <c r="BD750" s="3"/>
      <c r="BE750" s="3"/>
    </row>
    <row r="751" spans="1:57" x14ac:dyDescent="0.25">
      <c r="A751" s="2"/>
      <c r="D751" s="3"/>
      <c r="E751" s="4"/>
      <c r="F751" s="5"/>
      <c r="G751" s="5"/>
      <c r="J751" s="3"/>
      <c r="K751" s="3"/>
      <c r="L751" s="6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5"/>
      <c r="AA751" s="3"/>
      <c r="AB751" s="3"/>
      <c r="AC751" s="3"/>
      <c r="AD751" s="5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7"/>
      <c r="AX751" s="7"/>
      <c r="AY751" s="7"/>
      <c r="AZ751" s="7"/>
      <c r="BA751" s="8"/>
      <c r="BB751" s="3"/>
      <c r="BC751" s="3"/>
      <c r="BD751" s="3"/>
      <c r="BE751" s="3"/>
    </row>
    <row r="752" spans="1:57" x14ac:dyDescent="0.25">
      <c r="A752" s="2"/>
      <c r="D752" s="3"/>
      <c r="E752" s="4"/>
      <c r="F752" s="5"/>
      <c r="G752" s="5"/>
      <c r="J752" s="3"/>
      <c r="K752" s="3"/>
      <c r="L752" s="6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5"/>
      <c r="AA752" s="3"/>
      <c r="AB752" s="3"/>
      <c r="AC752" s="3"/>
      <c r="AD752" s="5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7"/>
      <c r="AX752" s="7"/>
      <c r="AY752" s="7"/>
      <c r="AZ752" s="7"/>
      <c r="BA752" s="8"/>
      <c r="BB752" s="3"/>
      <c r="BC752" s="3"/>
      <c r="BD752" s="3"/>
      <c r="BE752" s="3"/>
    </row>
    <row r="753" spans="1:57" x14ac:dyDescent="0.25">
      <c r="A753" s="2"/>
      <c r="D753" s="3"/>
      <c r="E753" s="4"/>
      <c r="F753" s="5"/>
      <c r="G753" s="5"/>
      <c r="J753" s="3"/>
      <c r="K753" s="3"/>
      <c r="L753" s="6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5"/>
      <c r="AA753" s="3"/>
      <c r="AB753" s="3"/>
      <c r="AC753" s="3"/>
      <c r="AD753" s="5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7"/>
      <c r="AX753" s="7"/>
      <c r="AY753" s="7"/>
      <c r="AZ753" s="7"/>
      <c r="BA753" s="8"/>
      <c r="BB753" s="3"/>
      <c r="BC753" s="3"/>
      <c r="BD753" s="3"/>
      <c r="BE753" s="3"/>
    </row>
    <row r="754" spans="1:57" x14ac:dyDescent="0.25">
      <c r="A754" s="2"/>
      <c r="D754" s="3"/>
      <c r="E754" s="4"/>
      <c r="F754" s="5"/>
      <c r="G754" s="5"/>
      <c r="J754" s="3"/>
      <c r="K754" s="3"/>
      <c r="L754" s="6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5"/>
      <c r="AA754" s="3"/>
      <c r="AB754" s="3"/>
      <c r="AC754" s="3"/>
      <c r="AD754" s="5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7"/>
      <c r="AX754" s="7"/>
      <c r="AY754" s="7"/>
      <c r="AZ754" s="7"/>
      <c r="BA754" s="8"/>
      <c r="BB754" s="3"/>
      <c r="BC754" s="3"/>
      <c r="BD754" s="3"/>
      <c r="BE754" s="3"/>
    </row>
    <row r="755" spans="1:57" x14ac:dyDescent="0.25">
      <c r="A755" s="2"/>
      <c r="D755" s="3"/>
      <c r="E755" s="4"/>
      <c r="F755" s="5"/>
      <c r="G755" s="5"/>
      <c r="J755" s="3"/>
      <c r="K755" s="3"/>
      <c r="L755" s="6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5"/>
      <c r="AA755" s="3"/>
      <c r="AB755" s="3"/>
      <c r="AC755" s="3"/>
      <c r="AD755" s="5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7"/>
      <c r="AX755" s="7"/>
      <c r="AY755" s="7"/>
      <c r="AZ755" s="7"/>
      <c r="BA755" s="8"/>
      <c r="BB755" s="3"/>
      <c r="BC755" s="3"/>
      <c r="BD755" s="3"/>
      <c r="BE755" s="3"/>
    </row>
    <row r="756" spans="1:57" x14ac:dyDescent="0.25">
      <c r="A756" s="2"/>
      <c r="D756" s="3"/>
      <c r="E756" s="4"/>
      <c r="F756" s="5"/>
      <c r="G756" s="5"/>
      <c r="J756" s="3"/>
      <c r="K756" s="3"/>
      <c r="L756" s="6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5"/>
      <c r="AA756" s="3"/>
      <c r="AB756" s="3"/>
      <c r="AC756" s="3"/>
      <c r="AD756" s="5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7"/>
      <c r="AX756" s="7"/>
      <c r="AY756" s="7"/>
      <c r="AZ756" s="7"/>
      <c r="BA756" s="8"/>
      <c r="BB756" s="3"/>
      <c r="BC756" s="3"/>
      <c r="BD756" s="3"/>
      <c r="BE756" s="3"/>
    </row>
    <row r="757" spans="1:57" x14ac:dyDescent="0.25">
      <c r="A757" s="2"/>
      <c r="D757" s="3"/>
      <c r="E757" s="4"/>
      <c r="F757" s="5"/>
      <c r="G757" s="5"/>
      <c r="J757" s="3"/>
      <c r="K757" s="3"/>
      <c r="L757" s="6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5"/>
      <c r="AA757" s="3"/>
      <c r="AB757" s="3"/>
      <c r="AC757" s="3"/>
      <c r="AD757" s="5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7"/>
      <c r="AX757" s="7"/>
      <c r="AY757" s="7"/>
      <c r="AZ757" s="7"/>
      <c r="BA757" s="8"/>
      <c r="BB757" s="3"/>
      <c r="BC757" s="3"/>
      <c r="BD757" s="3"/>
      <c r="BE757" s="3"/>
    </row>
    <row r="758" spans="1:57" x14ac:dyDescent="0.25">
      <c r="A758" s="2"/>
      <c r="D758" s="3"/>
      <c r="E758" s="4"/>
      <c r="F758" s="5"/>
      <c r="G758" s="5"/>
      <c r="J758" s="3"/>
      <c r="K758" s="3"/>
      <c r="L758" s="6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5"/>
      <c r="AA758" s="3"/>
      <c r="AB758" s="3"/>
      <c r="AC758" s="3"/>
      <c r="AD758" s="5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7"/>
      <c r="AX758" s="7"/>
      <c r="AY758" s="7"/>
      <c r="AZ758" s="7"/>
      <c r="BA758" s="8"/>
      <c r="BB758" s="3"/>
      <c r="BC758" s="3"/>
      <c r="BD758" s="3"/>
      <c r="BE758" s="3"/>
    </row>
    <row r="759" spans="1:57" x14ac:dyDescent="0.25">
      <c r="A759" s="2"/>
      <c r="D759" s="3"/>
      <c r="E759" s="4"/>
      <c r="F759" s="5"/>
      <c r="G759" s="5"/>
      <c r="J759" s="3"/>
      <c r="K759" s="3"/>
      <c r="L759" s="6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5"/>
      <c r="AA759" s="3"/>
      <c r="AB759" s="3"/>
      <c r="AC759" s="3"/>
      <c r="AD759" s="5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7"/>
      <c r="AX759" s="7"/>
      <c r="AY759" s="7"/>
      <c r="AZ759" s="7"/>
      <c r="BA759" s="8"/>
      <c r="BB759" s="3"/>
      <c r="BC759" s="3"/>
      <c r="BD759" s="3"/>
      <c r="BE759" s="3"/>
    </row>
    <row r="760" spans="1:57" x14ac:dyDescent="0.25">
      <c r="A760" s="2"/>
      <c r="D760" s="3"/>
      <c r="E760" s="4"/>
      <c r="F760" s="5"/>
      <c r="G760" s="5"/>
      <c r="J760" s="3"/>
      <c r="K760" s="3"/>
      <c r="L760" s="6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5"/>
      <c r="AA760" s="3"/>
      <c r="AB760" s="3"/>
      <c r="AC760" s="3"/>
      <c r="AD760" s="5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7"/>
      <c r="AX760" s="7"/>
      <c r="AY760" s="7"/>
      <c r="AZ760" s="7"/>
      <c r="BA760" s="8"/>
      <c r="BB760" s="3"/>
      <c r="BC760" s="3"/>
      <c r="BD760" s="3"/>
      <c r="BE760" s="3"/>
    </row>
    <row r="761" spans="1:57" x14ac:dyDescent="0.25">
      <c r="A761" s="2"/>
      <c r="D761" s="3"/>
      <c r="E761" s="4"/>
      <c r="F761" s="5"/>
      <c r="G761" s="5"/>
      <c r="J761" s="3"/>
      <c r="K761" s="3"/>
      <c r="L761" s="6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5"/>
      <c r="AA761" s="3"/>
      <c r="AB761" s="3"/>
      <c r="AC761" s="3"/>
      <c r="AD761" s="5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7"/>
      <c r="AX761" s="7"/>
      <c r="AY761" s="7"/>
      <c r="AZ761" s="7"/>
      <c r="BA761" s="8"/>
      <c r="BB761" s="3"/>
      <c r="BC761" s="3"/>
      <c r="BD761" s="3"/>
      <c r="BE761" s="3"/>
    </row>
    <row r="762" spans="1:57" x14ac:dyDescent="0.25">
      <c r="A762" s="2"/>
      <c r="D762" s="3"/>
      <c r="E762" s="4"/>
      <c r="F762" s="5"/>
      <c r="G762" s="5"/>
      <c r="J762" s="3"/>
      <c r="K762" s="3"/>
      <c r="L762" s="6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5"/>
      <c r="AA762" s="3"/>
      <c r="AB762" s="3"/>
      <c r="AC762" s="3"/>
      <c r="AD762" s="5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7"/>
      <c r="AX762" s="7"/>
      <c r="AY762" s="7"/>
      <c r="AZ762" s="7"/>
      <c r="BA762" s="8"/>
      <c r="BB762" s="3"/>
      <c r="BC762" s="3"/>
      <c r="BD762" s="3"/>
      <c r="BE762" s="3"/>
    </row>
    <row r="763" spans="1:57" x14ac:dyDescent="0.25">
      <c r="A763" s="2"/>
      <c r="D763" s="3"/>
      <c r="E763" s="4"/>
      <c r="F763" s="5"/>
      <c r="G763" s="5"/>
      <c r="J763" s="3"/>
      <c r="K763" s="3"/>
      <c r="L763" s="6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5"/>
      <c r="AA763" s="3"/>
      <c r="AB763" s="3"/>
      <c r="AC763" s="3"/>
      <c r="AD763" s="5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7"/>
      <c r="AX763" s="7"/>
      <c r="AY763" s="7"/>
      <c r="AZ763" s="7"/>
      <c r="BA763" s="8"/>
      <c r="BB763" s="3"/>
      <c r="BC763" s="3"/>
      <c r="BD763" s="3"/>
      <c r="BE763" s="3"/>
    </row>
    <row r="764" spans="1:57" x14ac:dyDescent="0.25">
      <c r="A764" s="2"/>
      <c r="D764" s="3"/>
      <c r="E764" s="4"/>
      <c r="F764" s="5"/>
      <c r="G764" s="5"/>
      <c r="J764" s="3"/>
      <c r="K764" s="3"/>
      <c r="L764" s="6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5"/>
      <c r="AA764" s="3"/>
      <c r="AB764" s="3"/>
      <c r="AC764" s="3"/>
      <c r="AD764" s="5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7"/>
      <c r="AX764" s="7"/>
      <c r="AY764" s="7"/>
      <c r="AZ764" s="7"/>
      <c r="BA764" s="8"/>
      <c r="BB764" s="3"/>
      <c r="BC764" s="3"/>
      <c r="BD764" s="3"/>
      <c r="BE764" s="3"/>
    </row>
    <row r="765" spans="1:57" x14ac:dyDescent="0.25">
      <c r="A765" s="2"/>
      <c r="D765" s="3"/>
      <c r="E765" s="4"/>
      <c r="F765" s="5"/>
      <c r="G765" s="5"/>
      <c r="J765" s="3"/>
      <c r="K765" s="3"/>
      <c r="L765" s="6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5"/>
      <c r="AA765" s="3"/>
      <c r="AB765" s="3"/>
      <c r="AC765" s="3"/>
      <c r="AD765" s="5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7"/>
      <c r="AX765" s="7"/>
      <c r="AY765" s="7"/>
      <c r="AZ765" s="7"/>
      <c r="BA765" s="8"/>
      <c r="BB765" s="3"/>
      <c r="BC765" s="3"/>
      <c r="BD765" s="3"/>
      <c r="BE765" s="3"/>
    </row>
    <row r="766" spans="1:57" x14ac:dyDescent="0.25">
      <c r="A766" s="2"/>
      <c r="D766" s="3"/>
      <c r="E766" s="4"/>
      <c r="F766" s="5"/>
      <c r="G766" s="5"/>
      <c r="J766" s="3"/>
      <c r="K766" s="3"/>
      <c r="L766" s="6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5"/>
      <c r="AA766" s="3"/>
      <c r="AB766" s="3"/>
      <c r="AC766" s="3"/>
      <c r="AD766" s="5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7"/>
      <c r="AX766" s="7"/>
      <c r="AY766" s="7"/>
      <c r="AZ766" s="7"/>
      <c r="BA766" s="8"/>
      <c r="BB766" s="3"/>
      <c r="BC766" s="3"/>
      <c r="BD766" s="3"/>
      <c r="BE766" s="3"/>
    </row>
    <row r="767" spans="1:57" x14ac:dyDescent="0.25">
      <c r="A767" s="2"/>
      <c r="D767" s="3"/>
      <c r="E767" s="4"/>
      <c r="F767" s="5"/>
      <c r="G767" s="5"/>
      <c r="J767" s="3"/>
      <c r="K767" s="3"/>
      <c r="L767" s="6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5"/>
      <c r="AA767" s="3"/>
      <c r="AB767" s="3"/>
      <c r="AC767" s="3"/>
      <c r="AD767" s="5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7"/>
      <c r="AX767" s="7"/>
      <c r="AY767" s="7"/>
      <c r="AZ767" s="7"/>
      <c r="BA767" s="8"/>
      <c r="BB767" s="3"/>
      <c r="BC767" s="3"/>
      <c r="BD767" s="3"/>
      <c r="BE767" s="3"/>
    </row>
    <row r="768" spans="1:57" x14ac:dyDescent="0.25">
      <c r="A768" s="2"/>
      <c r="D768" s="3"/>
      <c r="E768" s="4"/>
      <c r="F768" s="5"/>
      <c r="G768" s="5"/>
      <c r="J768" s="3"/>
      <c r="K768" s="3"/>
      <c r="L768" s="6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5"/>
      <c r="AA768" s="3"/>
      <c r="AB768" s="3"/>
      <c r="AC768" s="3"/>
      <c r="AD768" s="5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7"/>
      <c r="AX768" s="7"/>
      <c r="AY768" s="7"/>
      <c r="AZ768" s="7"/>
      <c r="BA768" s="8"/>
      <c r="BB768" s="3"/>
      <c r="BC768" s="3"/>
      <c r="BD768" s="3"/>
      <c r="BE768" s="3"/>
    </row>
    <row r="769" spans="1:57" x14ac:dyDescent="0.25">
      <c r="A769" s="2"/>
      <c r="D769" s="3"/>
      <c r="E769" s="4"/>
      <c r="F769" s="5"/>
      <c r="G769" s="5"/>
      <c r="J769" s="3"/>
      <c r="K769" s="3"/>
      <c r="L769" s="6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5"/>
      <c r="AA769" s="3"/>
      <c r="AB769" s="3"/>
      <c r="AC769" s="3"/>
      <c r="AD769" s="5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7"/>
      <c r="AX769" s="7"/>
      <c r="AY769" s="7"/>
      <c r="AZ769" s="7"/>
      <c r="BA769" s="8"/>
      <c r="BB769" s="3"/>
      <c r="BC769" s="3"/>
      <c r="BD769" s="3"/>
      <c r="BE769" s="3"/>
    </row>
    <row r="770" spans="1:57" x14ac:dyDescent="0.25">
      <c r="A770" s="2"/>
      <c r="D770" s="3"/>
      <c r="E770" s="4"/>
      <c r="F770" s="5"/>
      <c r="G770" s="5"/>
      <c r="J770" s="3"/>
      <c r="K770" s="3"/>
      <c r="L770" s="6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5"/>
      <c r="AA770" s="3"/>
      <c r="AB770" s="3"/>
      <c r="AC770" s="3"/>
      <c r="AD770" s="5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7"/>
      <c r="AX770" s="7"/>
      <c r="AY770" s="7"/>
      <c r="AZ770" s="7"/>
      <c r="BA770" s="8"/>
      <c r="BB770" s="3"/>
      <c r="BC770" s="3"/>
      <c r="BD770" s="3"/>
      <c r="BE770" s="3"/>
    </row>
    <row r="771" spans="1:57" x14ac:dyDescent="0.25">
      <c r="A771" s="2"/>
      <c r="D771" s="3"/>
      <c r="E771" s="4"/>
      <c r="F771" s="5"/>
      <c r="G771" s="5"/>
      <c r="J771" s="3"/>
      <c r="K771" s="3"/>
      <c r="L771" s="6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5"/>
      <c r="AA771" s="3"/>
      <c r="AB771" s="3"/>
      <c r="AC771" s="3"/>
      <c r="AD771" s="5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7"/>
      <c r="AX771" s="7"/>
      <c r="AY771" s="7"/>
      <c r="AZ771" s="7"/>
      <c r="BA771" s="8"/>
      <c r="BB771" s="3"/>
      <c r="BC771" s="3"/>
      <c r="BD771" s="3"/>
      <c r="BE771" s="3"/>
    </row>
    <row r="772" spans="1:57" x14ac:dyDescent="0.25">
      <c r="A772" s="2"/>
      <c r="D772" s="3"/>
      <c r="E772" s="4"/>
      <c r="F772" s="5"/>
      <c r="G772" s="5"/>
      <c r="J772" s="3"/>
      <c r="K772" s="3"/>
      <c r="L772" s="6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5"/>
      <c r="AA772" s="3"/>
      <c r="AB772" s="3"/>
      <c r="AC772" s="3"/>
      <c r="AD772" s="5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7"/>
      <c r="AX772" s="7"/>
      <c r="AY772" s="7"/>
      <c r="AZ772" s="7"/>
      <c r="BA772" s="8"/>
      <c r="BB772" s="3"/>
      <c r="BC772" s="3"/>
      <c r="BD772" s="3"/>
      <c r="BE772" s="3"/>
    </row>
    <row r="773" spans="1:57" x14ac:dyDescent="0.25">
      <c r="A773" s="2"/>
      <c r="D773" s="3"/>
      <c r="E773" s="4"/>
      <c r="F773" s="5"/>
      <c r="G773" s="5"/>
      <c r="J773" s="3"/>
      <c r="K773" s="3"/>
      <c r="L773" s="6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5"/>
      <c r="AA773" s="3"/>
      <c r="AB773" s="3"/>
      <c r="AC773" s="3"/>
      <c r="AD773" s="5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7"/>
      <c r="AX773" s="7"/>
      <c r="AY773" s="7"/>
      <c r="AZ773" s="7"/>
      <c r="BA773" s="8"/>
      <c r="BB773" s="3"/>
      <c r="BC773" s="3"/>
      <c r="BD773" s="3"/>
      <c r="BE773" s="3"/>
    </row>
    <row r="774" spans="1:57" x14ac:dyDescent="0.25">
      <c r="A774" s="2"/>
      <c r="D774" s="3"/>
      <c r="E774" s="4"/>
      <c r="F774" s="5"/>
      <c r="G774" s="5"/>
      <c r="J774" s="3"/>
      <c r="K774" s="3"/>
      <c r="L774" s="6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5"/>
      <c r="AA774" s="3"/>
      <c r="AB774" s="3"/>
      <c r="AC774" s="3"/>
      <c r="AD774" s="5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7"/>
      <c r="AX774" s="7"/>
      <c r="AY774" s="7"/>
      <c r="AZ774" s="7"/>
      <c r="BA774" s="8"/>
      <c r="BB774" s="3"/>
      <c r="BC774" s="3"/>
      <c r="BD774" s="3"/>
      <c r="BE774" s="3"/>
    </row>
    <row r="775" spans="1:57" x14ac:dyDescent="0.25">
      <c r="A775" s="2"/>
      <c r="D775" s="3"/>
      <c r="E775" s="4"/>
      <c r="F775" s="5"/>
      <c r="G775" s="5"/>
      <c r="J775" s="3"/>
      <c r="K775" s="3"/>
      <c r="L775" s="6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5"/>
      <c r="AA775" s="3"/>
      <c r="AB775" s="3"/>
      <c r="AC775" s="3"/>
      <c r="AD775" s="5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7"/>
      <c r="AX775" s="7"/>
      <c r="AY775" s="7"/>
      <c r="AZ775" s="7"/>
      <c r="BA775" s="8"/>
      <c r="BB775" s="3"/>
      <c r="BC775" s="3"/>
      <c r="BD775" s="3"/>
      <c r="BE775" s="3"/>
    </row>
    <row r="776" spans="1:57" x14ac:dyDescent="0.25">
      <c r="A776" s="2"/>
      <c r="D776" s="3"/>
      <c r="E776" s="4"/>
      <c r="F776" s="5"/>
      <c r="G776" s="5"/>
      <c r="J776" s="3"/>
      <c r="K776" s="3"/>
      <c r="L776" s="6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5"/>
      <c r="AA776" s="3"/>
      <c r="AB776" s="3"/>
      <c r="AC776" s="3"/>
      <c r="AD776" s="5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7"/>
      <c r="AX776" s="7"/>
      <c r="AY776" s="7"/>
      <c r="AZ776" s="7"/>
      <c r="BA776" s="8"/>
      <c r="BB776" s="3"/>
      <c r="BC776" s="3"/>
      <c r="BD776" s="3"/>
      <c r="BE776" s="3"/>
    </row>
    <row r="777" spans="1:57" x14ac:dyDescent="0.25">
      <c r="A777" s="2"/>
      <c r="D777" s="3"/>
      <c r="E777" s="4"/>
      <c r="F777" s="5"/>
      <c r="G777" s="5"/>
      <c r="J777" s="3"/>
      <c r="K777" s="3"/>
      <c r="L777" s="6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5"/>
      <c r="AA777" s="3"/>
      <c r="AB777" s="3"/>
      <c r="AC777" s="3"/>
      <c r="AD777" s="5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7"/>
      <c r="AX777" s="7"/>
      <c r="AY777" s="7"/>
      <c r="AZ777" s="7"/>
      <c r="BA777" s="8"/>
      <c r="BB777" s="3"/>
      <c r="BC777" s="3"/>
      <c r="BD777" s="3"/>
      <c r="BE777" s="3"/>
    </row>
    <row r="778" spans="1:57" x14ac:dyDescent="0.25">
      <c r="A778" s="2"/>
      <c r="D778" s="3"/>
      <c r="E778" s="4"/>
      <c r="F778" s="5"/>
      <c r="G778" s="5"/>
      <c r="J778" s="3"/>
      <c r="K778" s="3"/>
      <c r="L778" s="6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5"/>
      <c r="AA778" s="3"/>
      <c r="AB778" s="3"/>
      <c r="AC778" s="3"/>
      <c r="AD778" s="5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7"/>
      <c r="AX778" s="7"/>
      <c r="AY778" s="7"/>
      <c r="AZ778" s="7"/>
      <c r="BA778" s="8"/>
      <c r="BB778" s="3"/>
      <c r="BC778" s="3"/>
      <c r="BD778" s="3"/>
      <c r="BE778" s="3"/>
    </row>
    <row r="779" spans="1:57" x14ac:dyDescent="0.25">
      <c r="A779" s="2"/>
      <c r="D779" s="3"/>
      <c r="E779" s="4"/>
      <c r="F779" s="5"/>
      <c r="G779" s="5"/>
      <c r="J779" s="3"/>
      <c r="K779" s="3"/>
      <c r="L779" s="6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5"/>
      <c r="AA779" s="3"/>
      <c r="AB779" s="3"/>
      <c r="AC779" s="3"/>
      <c r="AD779" s="5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7"/>
      <c r="AX779" s="7"/>
      <c r="AY779" s="7"/>
      <c r="AZ779" s="7"/>
      <c r="BA779" s="8"/>
      <c r="BB779" s="3"/>
      <c r="BC779" s="3"/>
      <c r="BD779" s="3"/>
      <c r="BE779" s="3"/>
    </row>
    <row r="780" spans="1:57" x14ac:dyDescent="0.25">
      <c r="A780" s="2"/>
      <c r="D780" s="3"/>
      <c r="E780" s="4"/>
      <c r="F780" s="5"/>
      <c r="G780" s="5"/>
      <c r="J780" s="3"/>
      <c r="K780" s="3"/>
      <c r="L780" s="6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5"/>
      <c r="AA780" s="3"/>
      <c r="AB780" s="3"/>
      <c r="AC780" s="3"/>
      <c r="AD780" s="5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7"/>
      <c r="AX780" s="7"/>
      <c r="AY780" s="7"/>
      <c r="AZ780" s="7"/>
      <c r="BA780" s="8"/>
      <c r="BB780" s="3"/>
      <c r="BC780" s="3"/>
      <c r="BD780" s="3"/>
      <c r="BE780" s="3"/>
    </row>
    <row r="781" spans="1:57" x14ac:dyDescent="0.25">
      <c r="A781" s="2"/>
      <c r="D781" s="3"/>
      <c r="E781" s="4"/>
      <c r="F781" s="5"/>
      <c r="G781" s="5"/>
      <c r="J781" s="3"/>
      <c r="K781" s="3"/>
      <c r="L781" s="6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5"/>
      <c r="AA781" s="3"/>
      <c r="AB781" s="3"/>
      <c r="AC781" s="3"/>
      <c r="AD781" s="5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7"/>
      <c r="AX781" s="7"/>
      <c r="AY781" s="7"/>
      <c r="AZ781" s="7"/>
      <c r="BA781" s="8"/>
      <c r="BB781" s="3"/>
      <c r="BC781" s="3"/>
      <c r="BD781" s="3"/>
      <c r="BE781" s="3"/>
    </row>
    <row r="782" spans="1:57" x14ac:dyDescent="0.25">
      <c r="A782" s="2"/>
      <c r="D782" s="3"/>
      <c r="E782" s="4"/>
      <c r="F782" s="5"/>
      <c r="G782" s="5"/>
      <c r="J782" s="3"/>
      <c r="K782" s="3"/>
      <c r="L782" s="6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5"/>
      <c r="AA782" s="3"/>
      <c r="AB782" s="3"/>
      <c r="AC782" s="3"/>
      <c r="AD782" s="5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7"/>
      <c r="AX782" s="7"/>
      <c r="AY782" s="7"/>
      <c r="AZ782" s="7"/>
      <c r="BA782" s="8"/>
      <c r="BB782" s="3"/>
      <c r="BC782" s="3"/>
      <c r="BD782" s="3"/>
      <c r="BE782" s="3"/>
    </row>
    <row r="783" spans="1:57" x14ac:dyDescent="0.25">
      <c r="A783" s="2"/>
      <c r="D783" s="3"/>
      <c r="E783" s="4"/>
      <c r="F783" s="5"/>
      <c r="G783" s="5"/>
      <c r="J783" s="3"/>
      <c r="K783" s="3"/>
      <c r="L783" s="6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5"/>
      <c r="AA783" s="3"/>
      <c r="AB783" s="3"/>
      <c r="AC783" s="3"/>
      <c r="AD783" s="5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7"/>
      <c r="AX783" s="7"/>
      <c r="AY783" s="7"/>
      <c r="AZ783" s="7"/>
      <c r="BA783" s="8"/>
      <c r="BB783" s="3"/>
      <c r="BC783" s="3"/>
      <c r="BD783" s="3"/>
      <c r="BE783" s="3"/>
    </row>
    <row r="784" spans="1:57" x14ac:dyDescent="0.25">
      <c r="A784" s="2"/>
      <c r="D784" s="3"/>
      <c r="E784" s="4"/>
      <c r="F784" s="5"/>
      <c r="G784" s="5"/>
      <c r="J784" s="3"/>
      <c r="K784" s="3"/>
      <c r="L784" s="6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5"/>
      <c r="AA784" s="3"/>
      <c r="AB784" s="3"/>
      <c r="AC784" s="3"/>
      <c r="AD784" s="5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7"/>
      <c r="AX784" s="7"/>
      <c r="AY784" s="7"/>
      <c r="AZ784" s="7"/>
      <c r="BA784" s="8"/>
      <c r="BB784" s="3"/>
      <c r="BC784" s="3"/>
      <c r="BD784" s="3"/>
      <c r="BE784" s="3"/>
    </row>
    <row r="785" spans="1:57" x14ac:dyDescent="0.25">
      <c r="A785" s="2"/>
      <c r="D785" s="3"/>
      <c r="E785" s="4"/>
      <c r="F785" s="5"/>
      <c r="G785" s="5"/>
      <c r="J785" s="3"/>
      <c r="K785" s="3"/>
      <c r="L785" s="6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5"/>
      <c r="AA785" s="3"/>
      <c r="AB785" s="3"/>
      <c r="AC785" s="3"/>
      <c r="AD785" s="5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7"/>
      <c r="AX785" s="7"/>
      <c r="AY785" s="7"/>
      <c r="AZ785" s="7"/>
      <c r="BA785" s="8"/>
      <c r="BB785" s="3"/>
      <c r="BC785" s="3"/>
      <c r="BD785" s="3"/>
      <c r="BE785" s="3"/>
    </row>
    <row r="786" spans="1:57" x14ac:dyDescent="0.25">
      <c r="A786" s="2"/>
      <c r="D786" s="3"/>
      <c r="E786" s="4"/>
      <c r="F786" s="5"/>
      <c r="G786" s="5"/>
      <c r="J786" s="3"/>
      <c r="K786" s="3"/>
      <c r="L786" s="6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5"/>
      <c r="AA786" s="3"/>
      <c r="AB786" s="3"/>
      <c r="AC786" s="3"/>
      <c r="AD786" s="5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7"/>
      <c r="AX786" s="7"/>
      <c r="AY786" s="7"/>
      <c r="AZ786" s="7"/>
      <c r="BA786" s="8"/>
      <c r="BB786" s="3"/>
      <c r="BC786" s="3"/>
      <c r="BD786" s="3"/>
      <c r="BE786" s="3"/>
    </row>
    <row r="787" spans="1:57" x14ac:dyDescent="0.25">
      <c r="A787" s="2"/>
      <c r="D787" s="3"/>
      <c r="E787" s="4"/>
      <c r="F787" s="5"/>
      <c r="G787" s="5"/>
      <c r="J787" s="3"/>
      <c r="K787" s="3"/>
      <c r="L787" s="6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5"/>
      <c r="AA787" s="3"/>
      <c r="AB787" s="3"/>
      <c r="AC787" s="3"/>
      <c r="AD787" s="5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7"/>
      <c r="AX787" s="7"/>
      <c r="AY787" s="7"/>
      <c r="AZ787" s="7"/>
      <c r="BA787" s="8"/>
      <c r="BB787" s="3"/>
      <c r="BC787" s="3"/>
      <c r="BD787" s="3"/>
      <c r="BE787" s="3"/>
    </row>
    <row r="788" spans="1:57" x14ac:dyDescent="0.25">
      <c r="A788" s="2"/>
      <c r="D788" s="3"/>
      <c r="E788" s="4"/>
      <c r="F788" s="5"/>
      <c r="G788" s="5"/>
      <c r="J788" s="3"/>
      <c r="K788" s="3"/>
      <c r="L788" s="6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5"/>
      <c r="AA788" s="3"/>
      <c r="AB788" s="3"/>
      <c r="AC788" s="3"/>
      <c r="AD788" s="5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7"/>
      <c r="AX788" s="7"/>
      <c r="AY788" s="7"/>
      <c r="AZ788" s="7"/>
      <c r="BA788" s="8"/>
      <c r="BB788" s="3"/>
      <c r="BC788" s="3"/>
      <c r="BD788" s="3"/>
      <c r="BE788" s="3"/>
    </row>
    <row r="789" spans="1:57" x14ac:dyDescent="0.25">
      <c r="A789" s="2"/>
      <c r="D789" s="3"/>
      <c r="E789" s="4"/>
      <c r="F789" s="5"/>
      <c r="G789" s="5"/>
      <c r="J789" s="3"/>
      <c r="K789" s="3"/>
      <c r="L789" s="6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5"/>
      <c r="AA789" s="3"/>
      <c r="AB789" s="3"/>
      <c r="AC789" s="3"/>
      <c r="AD789" s="5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7"/>
      <c r="AX789" s="7"/>
      <c r="AY789" s="7"/>
      <c r="AZ789" s="7"/>
      <c r="BA789" s="8"/>
      <c r="BB789" s="3"/>
      <c r="BC789" s="3"/>
      <c r="BD789" s="3"/>
      <c r="BE789" s="3"/>
    </row>
    <row r="790" spans="1:57" x14ac:dyDescent="0.25">
      <c r="A790" s="2"/>
      <c r="D790" s="3"/>
      <c r="E790" s="4"/>
      <c r="F790" s="5"/>
      <c r="G790" s="5"/>
      <c r="J790" s="3"/>
      <c r="K790" s="3"/>
      <c r="L790" s="6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5"/>
      <c r="AA790" s="3"/>
      <c r="AB790" s="3"/>
      <c r="AC790" s="3"/>
      <c r="AD790" s="5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7"/>
      <c r="AX790" s="7"/>
      <c r="AY790" s="7"/>
      <c r="AZ790" s="7"/>
      <c r="BA790" s="8"/>
      <c r="BB790" s="3"/>
      <c r="BC790" s="3"/>
      <c r="BD790" s="3"/>
      <c r="BE790" s="3"/>
    </row>
    <row r="791" spans="1:57" x14ac:dyDescent="0.25">
      <c r="A791" s="2"/>
      <c r="D791" s="3"/>
      <c r="E791" s="4"/>
      <c r="F791" s="5"/>
      <c r="G791" s="5"/>
      <c r="J791" s="3"/>
      <c r="K791" s="3"/>
      <c r="L791" s="6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5"/>
      <c r="AA791" s="3"/>
      <c r="AB791" s="3"/>
      <c r="AC791" s="3"/>
      <c r="AD791" s="5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7"/>
      <c r="AX791" s="7"/>
      <c r="AY791" s="7"/>
      <c r="AZ791" s="7"/>
      <c r="BA791" s="8"/>
      <c r="BB791" s="3"/>
      <c r="BC791" s="3"/>
      <c r="BD791" s="3"/>
      <c r="BE791" s="3"/>
    </row>
    <row r="792" spans="1:57" x14ac:dyDescent="0.25">
      <c r="A792" s="2"/>
      <c r="D792" s="3"/>
      <c r="E792" s="4"/>
      <c r="F792" s="5"/>
      <c r="G792" s="5"/>
      <c r="J792" s="3"/>
      <c r="K792" s="3"/>
      <c r="L792" s="6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5"/>
      <c r="AA792" s="3"/>
      <c r="AB792" s="3"/>
      <c r="AC792" s="3"/>
      <c r="AD792" s="5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7"/>
      <c r="AX792" s="7"/>
      <c r="AY792" s="7"/>
      <c r="AZ792" s="7"/>
      <c r="BA792" s="8"/>
      <c r="BB792" s="3"/>
      <c r="BC792" s="3"/>
      <c r="BD792" s="3"/>
      <c r="BE792" s="3"/>
    </row>
    <row r="793" spans="1:57" x14ac:dyDescent="0.25">
      <c r="A793" s="2"/>
      <c r="D793" s="3"/>
      <c r="E793" s="4"/>
      <c r="F793" s="5"/>
      <c r="G793" s="5"/>
      <c r="J793" s="3"/>
      <c r="K793" s="3"/>
      <c r="L793" s="6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5"/>
      <c r="AA793" s="3"/>
      <c r="AB793" s="3"/>
      <c r="AC793" s="3"/>
      <c r="AD793" s="5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7"/>
      <c r="AX793" s="7"/>
      <c r="AY793" s="7"/>
      <c r="AZ793" s="7"/>
      <c r="BA793" s="8"/>
      <c r="BB793" s="3"/>
      <c r="BC793" s="3"/>
      <c r="BD793" s="3"/>
      <c r="BE793" s="3"/>
    </row>
    <row r="794" spans="1:57" x14ac:dyDescent="0.25">
      <c r="A794" s="2"/>
      <c r="D794" s="3"/>
      <c r="E794" s="4"/>
      <c r="F794" s="5"/>
      <c r="G794" s="5"/>
      <c r="J794" s="3"/>
      <c r="K794" s="3"/>
      <c r="L794" s="6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5"/>
      <c r="AA794" s="3"/>
      <c r="AB794" s="3"/>
      <c r="AC794" s="3"/>
      <c r="AD794" s="5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7"/>
      <c r="AX794" s="7"/>
      <c r="AY794" s="7"/>
      <c r="AZ794" s="7"/>
      <c r="BA794" s="8"/>
      <c r="BB794" s="3"/>
      <c r="BC794" s="3"/>
      <c r="BD794" s="3"/>
      <c r="BE794" s="3"/>
    </row>
    <row r="795" spans="1:57" x14ac:dyDescent="0.25">
      <c r="A795" s="2"/>
      <c r="D795" s="3"/>
      <c r="E795" s="4"/>
      <c r="F795" s="5"/>
      <c r="G795" s="5"/>
      <c r="J795" s="3"/>
      <c r="K795" s="3"/>
      <c r="L795" s="6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5"/>
      <c r="AA795" s="3"/>
      <c r="AB795" s="3"/>
      <c r="AC795" s="3"/>
      <c r="AD795" s="5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7"/>
      <c r="AX795" s="7"/>
      <c r="AY795" s="7"/>
      <c r="AZ795" s="7"/>
      <c r="BA795" s="8"/>
      <c r="BB795" s="3"/>
      <c r="BC795" s="3"/>
      <c r="BD795" s="3"/>
      <c r="BE795" s="3"/>
    </row>
    <row r="796" spans="1:57" x14ac:dyDescent="0.25">
      <c r="A796" s="2"/>
      <c r="D796" s="3"/>
      <c r="E796" s="4"/>
      <c r="F796" s="5"/>
      <c r="G796" s="5"/>
      <c r="J796" s="3"/>
      <c r="K796" s="3"/>
      <c r="L796" s="6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5"/>
      <c r="AA796" s="3"/>
      <c r="AB796" s="3"/>
      <c r="AC796" s="3"/>
      <c r="AD796" s="5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7"/>
      <c r="AX796" s="7"/>
      <c r="AY796" s="7"/>
      <c r="AZ796" s="7"/>
      <c r="BA796" s="8"/>
      <c r="BB796" s="3"/>
      <c r="BC796" s="3"/>
      <c r="BD796" s="3"/>
      <c r="BE796" s="3"/>
    </row>
    <row r="797" spans="1:57" x14ac:dyDescent="0.25">
      <c r="A797" s="2"/>
      <c r="D797" s="3"/>
      <c r="E797" s="4"/>
      <c r="F797" s="5"/>
      <c r="G797" s="5"/>
      <c r="J797" s="3"/>
      <c r="K797" s="3"/>
      <c r="L797" s="6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5"/>
      <c r="AA797" s="3"/>
      <c r="AB797" s="3"/>
      <c r="AC797" s="3"/>
      <c r="AD797" s="5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7"/>
      <c r="AX797" s="7"/>
      <c r="AY797" s="7"/>
      <c r="AZ797" s="7"/>
      <c r="BA797" s="8"/>
      <c r="BB797" s="3"/>
      <c r="BC797" s="3"/>
      <c r="BD797" s="3"/>
      <c r="BE797" s="3"/>
    </row>
    <row r="798" spans="1:57" x14ac:dyDescent="0.25">
      <c r="A798" s="2"/>
      <c r="D798" s="3"/>
      <c r="E798" s="4"/>
      <c r="F798" s="5"/>
      <c r="G798" s="5"/>
      <c r="J798" s="3"/>
      <c r="K798" s="3"/>
      <c r="L798" s="6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5"/>
      <c r="AA798" s="3"/>
      <c r="AB798" s="3"/>
      <c r="AC798" s="3"/>
      <c r="AD798" s="5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7"/>
      <c r="AX798" s="7"/>
      <c r="AY798" s="7"/>
      <c r="AZ798" s="7"/>
      <c r="BA798" s="8"/>
      <c r="BB798" s="3"/>
      <c r="BC798" s="3"/>
      <c r="BD798" s="3"/>
      <c r="BE798" s="3"/>
    </row>
    <row r="799" spans="1:57" x14ac:dyDescent="0.25">
      <c r="A799" s="2"/>
      <c r="D799" s="3"/>
      <c r="E799" s="4"/>
      <c r="F799" s="5"/>
      <c r="G799" s="5"/>
      <c r="J799" s="3"/>
      <c r="K799" s="3"/>
      <c r="L799" s="6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5"/>
      <c r="AA799" s="3"/>
      <c r="AB799" s="3"/>
      <c r="AC799" s="3"/>
      <c r="AD799" s="5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7"/>
      <c r="AX799" s="7"/>
      <c r="AY799" s="7"/>
      <c r="AZ799" s="7"/>
      <c r="BA799" s="8"/>
      <c r="BB799" s="3"/>
      <c r="BC799" s="3"/>
      <c r="BD799" s="3"/>
      <c r="BE799" s="3"/>
    </row>
    <row r="800" spans="1:57" x14ac:dyDescent="0.25">
      <c r="A800" s="2"/>
      <c r="D800" s="3"/>
      <c r="E800" s="4"/>
      <c r="F800" s="5"/>
      <c r="G800" s="5"/>
      <c r="J800" s="3"/>
      <c r="K800" s="3"/>
      <c r="L800" s="6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5"/>
      <c r="AA800" s="3"/>
      <c r="AB800" s="3"/>
      <c r="AC800" s="3"/>
      <c r="AD800" s="5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7"/>
      <c r="AX800" s="7"/>
      <c r="AY800" s="7"/>
      <c r="AZ800" s="7"/>
      <c r="BA800" s="8"/>
      <c r="BB800" s="3"/>
      <c r="BC800" s="3"/>
      <c r="BD800" s="3"/>
      <c r="BE800" s="3"/>
    </row>
    <row r="801" spans="1:57" x14ac:dyDescent="0.25">
      <c r="A801" s="2"/>
      <c r="D801" s="3"/>
      <c r="E801" s="4"/>
      <c r="F801" s="5"/>
      <c r="G801" s="5"/>
      <c r="J801" s="3"/>
      <c r="K801" s="3"/>
      <c r="L801" s="6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5"/>
      <c r="AA801" s="3"/>
      <c r="AB801" s="3"/>
      <c r="AC801" s="3"/>
      <c r="AD801" s="5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7"/>
      <c r="AX801" s="7"/>
      <c r="AY801" s="7"/>
      <c r="AZ801" s="7"/>
      <c r="BA801" s="8"/>
      <c r="BB801" s="3"/>
      <c r="BC801" s="3"/>
      <c r="BD801" s="3"/>
      <c r="BE801" s="3"/>
    </row>
    <row r="802" spans="1:57" x14ac:dyDescent="0.25">
      <c r="A802" s="2"/>
      <c r="D802" s="3"/>
      <c r="E802" s="4"/>
      <c r="F802" s="5"/>
      <c r="G802" s="5"/>
      <c r="J802" s="3"/>
      <c r="K802" s="3"/>
      <c r="L802" s="6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5"/>
      <c r="AA802" s="3"/>
      <c r="AB802" s="3"/>
      <c r="AC802" s="3"/>
      <c r="AD802" s="5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7"/>
      <c r="AX802" s="7"/>
      <c r="AY802" s="7"/>
      <c r="AZ802" s="7"/>
      <c r="BA802" s="8"/>
      <c r="BB802" s="3"/>
      <c r="BC802" s="3"/>
      <c r="BD802" s="3"/>
      <c r="BE802" s="3"/>
    </row>
    <row r="803" spans="1:57" x14ac:dyDescent="0.25">
      <c r="A803" s="2"/>
      <c r="D803" s="3"/>
      <c r="E803" s="4"/>
      <c r="F803" s="5"/>
      <c r="G803" s="5"/>
      <c r="J803" s="3"/>
      <c r="K803" s="3"/>
      <c r="L803" s="6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5"/>
      <c r="AA803" s="3"/>
      <c r="AB803" s="3"/>
      <c r="AC803" s="3"/>
      <c r="AD803" s="5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7"/>
      <c r="AX803" s="7"/>
      <c r="AY803" s="7"/>
      <c r="AZ803" s="7"/>
      <c r="BA803" s="8"/>
      <c r="BB803" s="3"/>
      <c r="BC803" s="3"/>
      <c r="BD803" s="3"/>
      <c r="BE803" s="3"/>
    </row>
    <row r="804" spans="1:57" x14ac:dyDescent="0.25">
      <c r="A804" s="2"/>
      <c r="D804" s="3"/>
      <c r="E804" s="4"/>
      <c r="F804" s="5"/>
      <c r="G804" s="5"/>
      <c r="J804" s="3"/>
      <c r="K804" s="3"/>
      <c r="L804" s="6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5"/>
      <c r="AA804" s="3"/>
      <c r="AB804" s="3"/>
      <c r="AC804" s="3"/>
      <c r="AD804" s="5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7"/>
      <c r="AX804" s="7"/>
      <c r="AY804" s="7"/>
      <c r="AZ804" s="7"/>
      <c r="BA804" s="8"/>
      <c r="BB804" s="3"/>
      <c r="BC804" s="3"/>
      <c r="BD804" s="3"/>
      <c r="BE804" s="3"/>
    </row>
    <row r="805" spans="1:57" x14ac:dyDescent="0.25">
      <c r="A805" s="2"/>
      <c r="D805" s="3"/>
      <c r="E805" s="4"/>
      <c r="F805" s="5"/>
      <c r="G805" s="5"/>
      <c r="J805" s="3"/>
      <c r="K805" s="3"/>
      <c r="L805" s="6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5"/>
      <c r="AA805" s="3"/>
      <c r="AB805" s="3"/>
      <c r="AC805" s="3"/>
      <c r="AD805" s="5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7"/>
      <c r="AX805" s="7"/>
      <c r="AY805" s="7"/>
      <c r="AZ805" s="7"/>
      <c r="BA805" s="8"/>
      <c r="BB805" s="3"/>
      <c r="BC805" s="3"/>
      <c r="BD805" s="3"/>
      <c r="BE805" s="3"/>
    </row>
    <row r="806" spans="1:57" x14ac:dyDescent="0.25">
      <c r="A806" s="2"/>
      <c r="D806" s="3"/>
      <c r="E806" s="4"/>
      <c r="F806" s="5"/>
      <c r="G806" s="5"/>
      <c r="J806" s="3"/>
      <c r="K806" s="3"/>
      <c r="L806" s="6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5"/>
      <c r="AA806" s="3"/>
      <c r="AB806" s="3"/>
      <c r="AC806" s="3"/>
      <c r="AD806" s="5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7"/>
      <c r="AX806" s="7"/>
      <c r="AY806" s="7"/>
      <c r="AZ806" s="7"/>
      <c r="BA806" s="8"/>
      <c r="BB806" s="3"/>
      <c r="BC806" s="3"/>
      <c r="BD806" s="3"/>
      <c r="BE806" s="3"/>
    </row>
    <row r="807" spans="1:57" x14ac:dyDescent="0.25">
      <c r="A807" s="2"/>
      <c r="D807" s="3"/>
      <c r="E807" s="4"/>
      <c r="F807" s="5"/>
      <c r="G807" s="5"/>
      <c r="J807" s="3"/>
      <c r="K807" s="3"/>
      <c r="L807" s="6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5"/>
      <c r="AA807" s="3"/>
      <c r="AB807" s="3"/>
      <c r="AC807" s="3"/>
      <c r="AD807" s="5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7"/>
      <c r="AX807" s="7"/>
      <c r="AY807" s="7"/>
      <c r="AZ807" s="7"/>
      <c r="BA807" s="8"/>
      <c r="BB807" s="3"/>
      <c r="BC807" s="3"/>
      <c r="BD807" s="3"/>
      <c r="BE807" s="3"/>
    </row>
    <row r="808" spans="1:57" x14ac:dyDescent="0.25">
      <c r="A808" s="2"/>
      <c r="D808" s="3"/>
      <c r="E808" s="4"/>
      <c r="F808" s="5"/>
      <c r="G808" s="5"/>
      <c r="J808" s="3"/>
      <c r="K808" s="3"/>
      <c r="L808" s="6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5"/>
      <c r="AA808" s="3"/>
      <c r="AB808" s="3"/>
      <c r="AC808" s="3"/>
      <c r="AD808" s="5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7"/>
      <c r="AX808" s="7"/>
      <c r="AY808" s="7"/>
      <c r="AZ808" s="7"/>
      <c r="BA808" s="8"/>
      <c r="BB808" s="3"/>
      <c r="BC808" s="3"/>
      <c r="BD808" s="3"/>
      <c r="BE808" s="3"/>
    </row>
    <row r="809" spans="1:57" x14ac:dyDescent="0.25">
      <c r="A809" s="2"/>
      <c r="D809" s="3"/>
      <c r="E809" s="4"/>
      <c r="F809" s="5"/>
      <c r="G809" s="5"/>
      <c r="J809" s="3"/>
      <c r="K809" s="3"/>
      <c r="L809" s="6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5"/>
      <c r="AA809" s="3"/>
      <c r="AB809" s="3"/>
      <c r="AC809" s="3"/>
      <c r="AD809" s="5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7"/>
      <c r="AX809" s="7"/>
      <c r="AY809" s="7"/>
      <c r="AZ809" s="7"/>
      <c r="BA809" s="8"/>
      <c r="BB809" s="3"/>
      <c r="BC809" s="3"/>
      <c r="BD809" s="3"/>
      <c r="BE809" s="3"/>
    </row>
    <row r="810" spans="1:57" x14ac:dyDescent="0.25">
      <c r="A810" s="2"/>
      <c r="D810" s="3"/>
      <c r="E810" s="4"/>
      <c r="F810" s="5"/>
      <c r="G810" s="5"/>
      <c r="J810" s="3"/>
      <c r="K810" s="3"/>
      <c r="L810" s="6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5"/>
      <c r="AA810" s="3"/>
      <c r="AB810" s="3"/>
      <c r="AC810" s="3"/>
      <c r="AD810" s="5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7"/>
      <c r="AX810" s="7"/>
      <c r="AY810" s="7"/>
      <c r="AZ810" s="7"/>
      <c r="BA810" s="8"/>
      <c r="BB810" s="3"/>
      <c r="BC810" s="3"/>
      <c r="BD810" s="3"/>
      <c r="BE810" s="3"/>
    </row>
    <row r="811" spans="1:57" x14ac:dyDescent="0.25">
      <c r="A811" s="2"/>
      <c r="D811" s="3"/>
      <c r="E811" s="4"/>
      <c r="F811" s="5"/>
      <c r="G811" s="5"/>
      <c r="J811" s="3"/>
      <c r="K811" s="3"/>
      <c r="L811" s="6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5"/>
      <c r="AA811" s="3"/>
      <c r="AB811" s="3"/>
      <c r="AC811" s="3"/>
      <c r="AD811" s="5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7"/>
      <c r="AX811" s="7"/>
      <c r="AY811" s="7"/>
      <c r="AZ811" s="7"/>
      <c r="BA811" s="8"/>
      <c r="BB811" s="3"/>
      <c r="BC811" s="3"/>
      <c r="BD811" s="3"/>
      <c r="BE811" s="3"/>
    </row>
    <row r="812" spans="1:57" x14ac:dyDescent="0.25">
      <c r="A812" s="2"/>
      <c r="D812" s="3"/>
      <c r="E812" s="4"/>
      <c r="F812" s="5"/>
      <c r="G812" s="5"/>
      <c r="J812" s="3"/>
      <c r="K812" s="3"/>
      <c r="L812" s="6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5"/>
      <c r="AA812" s="3"/>
      <c r="AB812" s="3"/>
      <c r="AC812" s="3"/>
      <c r="AD812" s="5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7"/>
      <c r="AX812" s="7"/>
      <c r="AY812" s="7"/>
      <c r="AZ812" s="7"/>
      <c r="BA812" s="8"/>
      <c r="BB812" s="3"/>
      <c r="BC812" s="3"/>
      <c r="BD812" s="3"/>
      <c r="BE812" s="3"/>
    </row>
    <row r="813" spans="1:57" x14ac:dyDescent="0.25">
      <c r="A813" s="2"/>
      <c r="D813" s="3"/>
      <c r="E813" s="4"/>
      <c r="F813" s="5"/>
      <c r="G813" s="5"/>
      <c r="J813" s="3"/>
      <c r="K813" s="3"/>
      <c r="L813" s="6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5"/>
      <c r="AA813" s="3"/>
      <c r="AB813" s="3"/>
      <c r="AC813" s="3"/>
      <c r="AD813" s="5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7"/>
      <c r="AX813" s="7"/>
      <c r="AY813" s="7"/>
      <c r="AZ813" s="7"/>
      <c r="BA813" s="8"/>
      <c r="BB813" s="3"/>
      <c r="BC813" s="3"/>
      <c r="BD813" s="3"/>
      <c r="BE813" s="3"/>
    </row>
    <row r="814" spans="1:57" x14ac:dyDescent="0.25">
      <c r="A814" s="2"/>
      <c r="D814" s="3"/>
      <c r="E814" s="4"/>
      <c r="F814" s="5"/>
      <c r="G814" s="5"/>
      <c r="J814" s="3"/>
      <c r="K814" s="3"/>
      <c r="L814" s="6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5"/>
      <c r="AA814" s="3"/>
      <c r="AB814" s="3"/>
      <c r="AC814" s="3"/>
      <c r="AD814" s="5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7"/>
      <c r="AX814" s="7"/>
      <c r="AY814" s="7"/>
      <c r="AZ814" s="7"/>
      <c r="BA814" s="8"/>
      <c r="BB814" s="3"/>
      <c r="BC814" s="3"/>
      <c r="BD814" s="3"/>
      <c r="BE814" s="3"/>
    </row>
    <row r="815" spans="1:57" x14ac:dyDescent="0.25">
      <c r="A815" s="2"/>
      <c r="D815" s="3"/>
      <c r="E815" s="4"/>
      <c r="F815" s="5"/>
      <c r="G815" s="5"/>
      <c r="J815" s="3"/>
      <c r="K815" s="3"/>
      <c r="L815" s="6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5"/>
      <c r="AA815" s="3"/>
      <c r="AB815" s="3"/>
      <c r="AC815" s="3"/>
      <c r="AD815" s="5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7"/>
      <c r="AX815" s="7"/>
      <c r="AY815" s="7"/>
      <c r="AZ815" s="7"/>
      <c r="BA815" s="8"/>
      <c r="BB815" s="3"/>
      <c r="BC815" s="3"/>
      <c r="BD815" s="3"/>
      <c r="BE815" s="3"/>
    </row>
    <row r="816" spans="1:57" x14ac:dyDescent="0.25">
      <c r="A816" s="2"/>
      <c r="D816" s="3"/>
      <c r="E816" s="4"/>
      <c r="F816" s="5"/>
      <c r="G816" s="5"/>
      <c r="J816" s="3"/>
      <c r="K816" s="3"/>
      <c r="L816" s="6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5"/>
      <c r="AA816" s="3"/>
      <c r="AB816" s="3"/>
      <c r="AC816" s="3"/>
      <c r="AD816" s="5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7"/>
      <c r="AX816" s="7"/>
      <c r="AY816" s="7"/>
      <c r="AZ816" s="7"/>
      <c r="BA816" s="8"/>
      <c r="BB816" s="3"/>
      <c r="BC816" s="3"/>
      <c r="BD816" s="3"/>
      <c r="BE816" s="3"/>
    </row>
    <row r="817" spans="1:57" x14ac:dyDescent="0.25">
      <c r="A817" s="2"/>
      <c r="D817" s="3"/>
      <c r="E817" s="4"/>
      <c r="F817" s="5"/>
      <c r="G817" s="5"/>
      <c r="J817" s="3"/>
      <c r="K817" s="3"/>
      <c r="L817" s="6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5"/>
      <c r="AA817" s="3"/>
      <c r="AB817" s="3"/>
      <c r="AC817" s="3"/>
      <c r="AD817" s="5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7"/>
      <c r="AX817" s="7"/>
      <c r="AY817" s="7"/>
      <c r="AZ817" s="7"/>
      <c r="BA817" s="8"/>
      <c r="BB817" s="3"/>
      <c r="BC817" s="3"/>
      <c r="BD817" s="3"/>
      <c r="BE817" s="3"/>
    </row>
    <row r="818" spans="1:57" x14ac:dyDescent="0.25">
      <c r="A818" s="2"/>
      <c r="D818" s="3"/>
      <c r="E818" s="4"/>
      <c r="F818" s="5"/>
      <c r="G818" s="5"/>
      <c r="J818" s="3"/>
      <c r="K818" s="3"/>
      <c r="L818" s="6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5"/>
      <c r="AA818" s="3"/>
      <c r="AB818" s="3"/>
      <c r="AC818" s="3"/>
      <c r="AD818" s="5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7"/>
      <c r="AX818" s="7"/>
      <c r="AY818" s="7"/>
      <c r="AZ818" s="7"/>
      <c r="BA818" s="8"/>
      <c r="BB818" s="3"/>
      <c r="BC818" s="3"/>
      <c r="BD818" s="3"/>
      <c r="BE818" s="3"/>
    </row>
    <row r="819" spans="1:57" x14ac:dyDescent="0.25">
      <c r="A819" s="2"/>
      <c r="D819" s="3"/>
      <c r="E819" s="4"/>
      <c r="F819" s="5"/>
      <c r="G819" s="5"/>
      <c r="J819" s="3"/>
      <c r="K819" s="3"/>
      <c r="L819" s="6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5"/>
      <c r="AA819" s="3"/>
      <c r="AB819" s="3"/>
      <c r="AC819" s="3"/>
      <c r="AD819" s="5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7"/>
      <c r="AX819" s="7"/>
      <c r="AY819" s="7"/>
      <c r="AZ819" s="7"/>
      <c r="BA819" s="8"/>
      <c r="BB819" s="3"/>
      <c r="BC819" s="3"/>
      <c r="BD819" s="3"/>
      <c r="BE819" s="3"/>
    </row>
    <row r="820" spans="1:57" x14ac:dyDescent="0.25">
      <c r="A820" s="2"/>
      <c r="D820" s="3"/>
      <c r="E820" s="4"/>
      <c r="F820" s="5"/>
      <c r="G820" s="5"/>
      <c r="J820" s="3"/>
      <c r="K820" s="3"/>
      <c r="L820" s="6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5"/>
      <c r="AA820" s="3"/>
      <c r="AB820" s="3"/>
      <c r="AC820" s="3"/>
      <c r="AD820" s="5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7"/>
      <c r="AX820" s="7"/>
      <c r="AY820" s="7"/>
      <c r="AZ820" s="7"/>
      <c r="BA820" s="8"/>
      <c r="BB820" s="3"/>
      <c r="BC820" s="3"/>
      <c r="BD820" s="3"/>
      <c r="BE820" s="3"/>
    </row>
    <row r="821" spans="1:57" x14ac:dyDescent="0.25">
      <c r="A821" s="2"/>
      <c r="D821" s="3"/>
      <c r="E821" s="4"/>
      <c r="F821" s="5"/>
      <c r="G821" s="5"/>
      <c r="J821" s="3"/>
      <c r="K821" s="3"/>
      <c r="L821" s="6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5"/>
      <c r="AA821" s="3"/>
      <c r="AB821" s="3"/>
      <c r="AC821" s="3"/>
      <c r="AD821" s="5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7"/>
      <c r="AX821" s="7"/>
      <c r="AY821" s="7"/>
      <c r="AZ821" s="7"/>
      <c r="BA821" s="8"/>
      <c r="BB821" s="3"/>
      <c r="BC821" s="3"/>
      <c r="BD821" s="3"/>
      <c r="BE821" s="3"/>
    </row>
    <row r="822" spans="1:57" x14ac:dyDescent="0.25">
      <c r="A822" s="2"/>
      <c r="D822" s="3"/>
      <c r="E822" s="4"/>
      <c r="F822" s="5"/>
      <c r="G822" s="5"/>
      <c r="J822" s="3"/>
      <c r="K822" s="3"/>
      <c r="L822" s="6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5"/>
      <c r="AA822" s="3"/>
      <c r="AB822" s="3"/>
      <c r="AC822" s="3"/>
      <c r="AD822" s="5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7"/>
      <c r="AX822" s="7"/>
      <c r="AY822" s="7"/>
      <c r="AZ822" s="7"/>
      <c r="BA822" s="8"/>
      <c r="BB822" s="3"/>
      <c r="BC822" s="3"/>
      <c r="BD822" s="3"/>
      <c r="BE822" s="3"/>
    </row>
    <row r="823" spans="1:57" x14ac:dyDescent="0.25">
      <c r="A823" s="2"/>
      <c r="D823" s="3"/>
      <c r="E823" s="4"/>
      <c r="F823" s="5"/>
      <c r="G823" s="5"/>
      <c r="J823" s="3"/>
      <c r="K823" s="3"/>
      <c r="L823" s="6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5"/>
      <c r="AA823" s="3"/>
      <c r="AB823" s="3"/>
      <c r="AC823" s="3"/>
      <c r="AD823" s="5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7"/>
      <c r="AX823" s="7"/>
      <c r="AY823" s="7"/>
      <c r="AZ823" s="7"/>
      <c r="BA823" s="8"/>
      <c r="BB823" s="3"/>
      <c r="BC823" s="3"/>
      <c r="BD823" s="3"/>
      <c r="BE823" s="3"/>
    </row>
    <row r="824" spans="1:57" x14ac:dyDescent="0.25">
      <c r="A824" s="2"/>
      <c r="D824" s="3"/>
      <c r="E824" s="4"/>
      <c r="F824" s="5"/>
      <c r="G824" s="5"/>
      <c r="J824" s="3"/>
      <c r="K824" s="3"/>
      <c r="L824" s="6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5"/>
      <c r="AA824" s="3"/>
      <c r="AB824" s="3"/>
      <c r="AC824" s="3"/>
      <c r="AD824" s="5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7"/>
      <c r="AX824" s="7"/>
      <c r="AY824" s="7"/>
      <c r="AZ824" s="7"/>
      <c r="BA824" s="8"/>
      <c r="BB824" s="3"/>
      <c r="BC824" s="3"/>
      <c r="BD824" s="3"/>
      <c r="BE824" s="3"/>
    </row>
    <row r="825" spans="1:57" x14ac:dyDescent="0.25">
      <c r="A825" s="2"/>
      <c r="D825" s="3"/>
      <c r="E825" s="4"/>
      <c r="F825" s="5"/>
      <c r="G825" s="5"/>
      <c r="J825" s="3"/>
      <c r="K825" s="3"/>
      <c r="L825" s="6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5"/>
      <c r="AA825" s="3"/>
      <c r="AB825" s="3"/>
      <c r="AC825" s="3"/>
      <c r="AD825" s="5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7"/>
      <c r="AX825" s="7"/>
      <c r="AY825" s="7"/>
      <c r="AZ825" s="7"/>
      <c r="BA825" s="8"/>
      <c r="BB825" s="3"/>
      <c r="BC825" s="3"/>
      <c r="BD825" s="3"/>
      <c r="BE825" s="3"/>
    </row>
    <row r="826" spans="1:57" x14ac:dyDescent="0.25">
      <c r="A826" s="2"/>
      <c r="D826" s="3"/>
      <c r="E826" s="4"/>
      <c r="F826" s="5"/>
      <c r="G826" s="5"/>
      <c r="J826" s="3"/>
      <c r="K826" s="3"/>
      <c r="L826" s="6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5"/>
      <c r="AA826" s="3"/>
      <c r="AB826" s="3"/>
      <c r="AC826" s="3"/>
      <c r="AD826" s="5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7"/>
      <c r="AX826" s="7"/>
      <c r="AY826" s="7"/>
      <c r="AZ826" s="7"/>
      <c r="BA826" s="8"/>
      <c r="BB826" s="3"/>
      <c r="BC826" s="3"/>
      <c r="BD826" s="3"/>
      <c r="BE826" s="3"/>
    </row>
    <row r="827" spans="1:57" x14ac:dyDescent="0.25">
      <c r="A827" s="2"/>
      <c r="D827" s="3"/>
      <c r="E827" s="4"/>
      <c r="F827" s="5"/>
      <c r="G827" s="5"/>
      <c r="J827" s="3"/>
      <c r="K827" s="3"/>
      <c r="L827" s="6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5"/>
      <c r="AA827" s="3"/>
      <c r="AB827" s="3"/>
      <c r="AC827" s="3"/>
      <c r="AD827" s="5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7"/>
      <c r="AX827" s="7"/>
      <c r="AY827" s="7"/>
      <c r="AZ827" s="7"/>
      <c r="BA827" s="8"/>
      <c r="BB827" s="3"/>
      <c r="BC827" s="3"/>
      <c r="BD827" s="3"/>
      <c r="BE827" s="3"/>
    </row>
    <row r="828" spans="1:57" x14ac:dyDescent="0.25">
      <c r="A828" s="2"/>
      <c r="D828" s="3"/>
      <c r="E828" s="4"/>
      <c r="F828" s="5"/>
      <c r="G828" s="5"/>
      <c r="J828" s="3"/>
      <c r="K828" s="3"/>
      <c r="L828" s="6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5"/>
      <c r="AA828" s="3"/>
      <c r="AB828" s="3"/>
      <c r="AC828" s="3"/>
      <c r="AD828" s="5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7"/>
      <c r="AX828" s="7"/>
      <c r="AY828" s="7"/>
      <c r="AZ828" s="7"/>
      <c r="BA828" s="8"/>
      <c r="BB828" s="3"/>
      <c r="BC828" s="3"/>
      <c r="BD828" s="3"/>
      <c r="BE828" s="3"/>
    </row>
    <row r="829" spans="1:57" x14ac:dyDescent="0.25">
      <c r="A829" s="2"/>
      <c r="D829" s="3"/>
      <c r="E829" s="4"/>
      <c r="F829" s="5"/>
      <c r="G829" s="5"/>
      <c r="J829" s="3"/>
      <c r="K829" s="3"/>
      <c r="L829" s="6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5"/>
      <c r="AA829" s="3"/>
      <c r="AB829" s="3"/>
      <c r="AC829" s="3"/>
      <c r="AD829" s="5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7"/>
      <c r="AX829" s="7"/>
      <c r="AY829" s="7"/>
      <c r="AZ829" s="7"/>
      <c r="BA829" s="8"/>
      <c r="BB829" s="3"/>
      <c r="BC829" s="3"/>
      <c r="BD829" s="3"/>
      <c r="BE829" s="3"/>
    </row>
    <row r="830" spans="1:57" x14ac:dyDescent="0.25">
      <c r="A830" s="2"/>
      <c r="D830" s="3"/>
      <c r="E830" s="4"/>
      <c r="F830" s="5"/>
      <c r="G830" s="5"/>
      <c r="J830" s="3"/>
      <c r="K830" s="3"/>
      <c r="L830" s="6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5"/>
      <c r="AA830" s="3"/>
      <c r="AB830" s="3"/>
      <c r="AC830" s="3"/>
      <c r="AD830" s="5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7"/>
      <c r="AX830" s="7"/>
      <c r="AY830" s="7"/>
      <c r="AZ830" s="7"/>
      <c r="BA830" s="8"/>
      <c r="BB830" s="3"/>
      <c r="BC830" s="3"/>
      <c r="BD830" s="3"/>
      <c r="BE830" s="3"/>
    </row>
    <row r="831" spans="1:57" x14ac:dyDescent="0.25">
      <c r="A831" s="2"/>
      <c r="D831" s="3"/>
      <c r="E831" s="4"/>
      <c r="F831" s="5"/>
      <c r="G831" s="5"/>
      <c r="J831" s="3"/>
      <c r="K831" s="3"/>
      <c r="L831" s="6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5"/>
      <c r="AA831" s="3"/>
      <c r="AB831" s="3"/>
      <c r="AC831" s="3"/>
      <c r="AD831" s="5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7"/>
      <c r="AX831" s="7"/>
      <c r="AY831" s="7"/>
      <c r="AZ831" s="7"/>
      <c r="BA831" s="8"/>
      <c r="BB831" s="3"/>
      <c r="BC831" s="3"/>
      <c r="BD831" s="3"/>
      <c r="BE831" s="3"/>
    </row>
    <row r="832" spans="1:57" x14ac:dyDescent="0.25">
      <c r="A832" s="2"/>
      <c r="D832" s="3"/>
      <c r="E832" s="4"/>
      <c r="F832" s="5"/>
      <c r="G832" s="5"/>
      <c r="J832" s="3"/>
      <c r="K832" s="3"/>
      <c r="L832" s="6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5"/>
      <c r="AA832" s="3"/>
      <c r="AB832" s="3"/>
      <c r="AC832" s="3"/>
      <c r="AD832" s="5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7"/>
      <c r="AX832" s="7"/>
      <c r="AY832" s="7"/>
      <c r="AZ832" s="7"/>
      <c r="BA832" s="8"/>
      <c r="BB832" s="3"/>
      <c r="BC832" s="3"/>
      <c r="BD832" s="3"/>
      <c r="BE832" s="3"/>
    </row>
    <row r="833" spans="1:57" x14ac:dyDescent="0.25">
      <c r="A833" s="2"/>
      <c r="D833" s="3"/>
      <c r="E833" s="4"/>
      <c r="F833" s="5"/>
      <c r="G833" s="5"/>
      <c r="J833" s="3"/>
      <c r="K833" s="3"/>
      <c r="L833" s="6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5"/>
      <c r="AA833" s="3"/>
      <c r="AB833" s="3"/>
      <c r="AC833" s="3"/>
      <c r="AD833" s="5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7"/>
      <c r="AX833" s="7"/>
      <c r="AY833" s="7"/>
      <c r="AZ833" s="7"/>
      <c r="BA833" s="8"/>
      <c r="BB833" s="3"/>
      <c r="BC833" s="3"/>
      <c r="BD833" s="3"/>
      <c r="BE833" s="3"/>
    </row>
    <row r="834" spans="1:57" x14ac:dyDescent="0.25">
      <c r="A834" s="2"/>
      <c r="D834" s="3"/>
      <c r="E834" s="4"/>
      <c r="F834" s="5"/>
      <c r="G834" s="5"/>
      <c r="J834" s="3"/>
      <c r="K834" s="3"/>
      <c r="L834" s="6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5"/>
      <c r="AA834" s="3"/>
      <c r="AB834" s="3"/>
      <c r="AC834" s="3"/>
      <c r="AD834" s="5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7"/>
      <c r="AX834" s="7"/>
      <c r="AY834" s="7"/>
      <c r="AZ834" s="7"/>
      <c r="BA834" s="8"/>
      <c r="BB834" s="3"/>
      <c r="BC834" s="3"/>
      <c r="BD834" s="3"/>
      <c r="BE834" s="3"/>
    </row>
    <row r="835" spans="1:57" x14ac:dyDescent="0.25">
      <c r="A835" s="2"/>
      <c r="D835" s="3"/>
      <c r="E835" s="4"/>
      <c r="F835" s="5"/>
      <c r="G835" s="5"/>
      <c r="J835" s="3"/>
      <c r="K835" s="3"/>
      <c r="L835" s="6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5"/>
      <c r="AA835" s="3"/>
      <c r="AB835" s="3"/>
      <c r="AC835" s="3"/>
      <c r="AD835" s="5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7"/>
      <c r="AX835" s="7"/>
      <c r="AY835" s="7"/>
      <c r="AZ835" s="7"/>
      <c r="BA835" s="8"/>
      <c r="BB835" s="3"/>
      <c r="BC835" s="3"/>
      <c r="BD835" s="3"/>
      <c r="BE835" s="3"/>
    </row>
    <row r="836" spans="1:57" x14ac:dyDescent="0.25">
      <c r="A836" s="2"/>
      <c r="D836" s="3"/>
      <c r="E836" s="4"/>
      <c r="F836" s="5"/>
      <c r="G836" s="5"/>
      <c r="J836" s="3"/>
      <c r="K836" s="3"/>
      <c r="L836" s="6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5"/>
      <c r="AA836" s="3"/>
      <c r="AB836" s="3"/>
      <c r="AC836" s="3"/>
      <c r="AD836" s="5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7"/>
      <c r="AX836" s="7"/>
      <c r="AY836" s="7"/>
      <c r="AZ836" s="7"/>
      <c r="BA836" s="8"/>
      <c r="BB836" s="3"/>
      <c r="BC836" s="3"/>
      <c r="BD836" s="3"/>
      <c r="BE836" s="3"/>
    </row>
    <row r="837" spans="1:57" x14ac:dyDescent="0.25">
      <c r="A837" s="2"/>
      <c r="D837" s="3"/>
      <c r="E837" s="4"/>
      <c r="F837" s="5"/>
      <c r="G837" s="5"/>
      <c r="J837" s="3"/>
      <c r="K837" s="3"/>
      <c r="L837" s="6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5"/>
      <c r="AA837" s="3"/>
      <c r="AB837" s="3"/>
      <c r="AC837" s="3"/>
      <c r="AD837" s="5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7"/>
      <c r="AX837" s="7"/>
      <c r="AY837" s="7"/>
      <c r="AZ837" s="7"/>
      <c r="BA837" s="8"/>
      <c r="BB837" s="3"/>
      <c r="BC837" s="3"/>
      <c r="BD837" s="3"/>
      <c r="BE837" s="3"/>
    </row>
    <row r="838" spans="1:57" x14ac:dyDescent="0.25">
      <c r="A838" s="2"/>
      <c r="D838" s="3"/>
      <c r="E838" s="4"/>
      <c r="F838" s="5"/>
      <c r="G838" s="5"/>
      <c r="J838" s="3"/>
      <c r="K838" s="3"/>
      <c r="L838" s="6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5"/>
      <c r="AA838" s="3"/>
      <c r="AB838" s="3"/>
      <c r="AC838" s="3"/>
      <c r="AD838" s="5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7"/>
      <c r="AX838" s="7"/>
      <c r="AY838" s="7"/>
      <c r="AZ838" s="7"/>
      <c r="BA838" s="8"/>
      <c r="BB838" s="3"/>
      <c r="BC838" s="3"/>
      <c r="BD838" s="3"/>
      <c r="BE838" s="3"/>
    </row>
    <row r="839" spans="1:57" x14ac:dyDescent="0.25">
      <c r="A839" s="2"/>
      <c r="D839" s="3"/>
      <c r="E839" s="4"/>
      <c r="F839" s="5"/>
      <c r="G839" s="5"/>
      <c r="J839" s="3"/>
      <c r="K839" s="3"/>
      <c r="L839" s="6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5"/>
      <c r="AA839" s="3"/>
      <c r="AB839" s="3"/>
      <c r="AC839" s="3"/>
      <c r="AD839" s="5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7"/>
      <c r="AX839" s="7"/>
      <c r="AY839" s="7"/>
      <c r="AZ839" s="7"/>
      <c r="BA839" s="8"/>
      <c r="BB839" s="3"/>
      <c r="BC839" s="3"/>
      <c r="BD839" s="3"/>
      <c r="BE839" s="3"/>
    </row>
    <row r="840" spans="1:57" x14ac:dyDescent="0.25">
      <c r="A840" s="2"/>
      <c r="D840" s="3"/>
      <c r="E840" s="4"/>
      <c r="F840" s="5"/>
      <c r="G840" s="5"/>
      <c r="J840" s="3"/>
      <c r="K840" s="3"/>
      <c r="L840" s="6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5"/>
      <c r="AA840" s="3"/>
      <c r="AB840" s="3"/>
      <c r="AC840" s="3"/>
      <c r="AD840" s="5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7"/>
      <c r="AX840" s="7"/>
      <c r="AY840" s="7"/>
      <c r="AZ840" s="7"/>
      <c r="BA840" s="8"/>
      <c r="BB840" s="3"/>
      <c r="BC840" s="3"/>
      <c r="BD840" s="3"/>
      <c r="BE840" s="3"/>
    </row>
    <row r="841" spans="1:57" x14ac:dyDescent="0.25">
      <c r="A841" s="2"/>
      <c r="D841" s="3"/>
      <c r="E841" s="4"/>
      <c r="F841" s="5"/>
      <c r="G841" s="5"/>
      <c r="J841" s="3"/>
      <c r="K841" s="3"/>
      <c r="L841" s="6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5"/>
      <c r="AA841" s="3"/>
      <c r="AB841" s="3"/>
      <c r="AC841" s="3"/>
      <c r="AD841" s="5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7"/>
      <c r="AX841" s="7"/>
      <c r="AY841" s="7"/>
      <c r="AZ841" s="7"/>
      <c r="BA841" s="8"/>
      <c r="BB841" s="3"/>
      <c r="BC841" s="3"/>
      <c r="BD841" s="3"/>
      <c r="BE841" s="3"/>
    </row>
    <row r="842" spans="1:57" x14ac:dyDescent="0.25">
      <c r="A842" s="2"/>
      <c r="D842" s="3"/>
      <c r="E842" s="4"/>
      <c r="F842" s="5"/>
      <c r="G842" s="5"/>
      <c r="J842" s="3"/>
      <c r="K842" s="3"/>
      <c r="L842" s="6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5"/>
      <c r="AA842" s="3"/>
      <c r="AB842" s="3"/>
      <c r="AC842" s="3"/>
      <c r="AD842" s="5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7"/>
      <c r="AX842" s="7"/>
      <c r="AY842" s="7"/>
      <c r="AZ842" s="7"/>
      <c r="BA842" s="8"/>
      <c r="BB842" s="3"/>
      <c r="BC842" s="3"/>
      <c r="BD842" s="3"/>
      <c r="BE842" s="3"/>
    </row>
    <row r="843" spans="1:57" x14ac:dyDescent="0.25">
      <c r="A843" s="2"/>
      <c r="D843" s="3"/>
      <c r="E843" s="4"/>
      <c r="F843" s="5"/>
      <c r="G843" s="5"/>
      <c r="J843" s="3"/>
      <c r="K843" s="3"/>
      <c r="L843" s="6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5"/>
      <c r="AA843" s="3"/>
      <c r="AB843" s="3"/>
      <c r="AC843" s="3"/>
      <c r="AD843" s="5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7"/>
      <c r="AX843" s="7"/>
      <c r="AY843" s="7"/>
      <c r="AZ843" s="7"/>
      <c r="BA843" s="8"/>
      <c r="BB843" s="3"/>
      <c r="BC843" s="3"/>
      <c r="BD843" s="3"/>
      <c r="BE843" s="3"/>
    </row>
    <row r="844" spans="1:57" x14ac:dyDescent="0.25">
      <c r="A844" s="2"/>
      <c r="D844" s="3"/>
      <c r="E844" s="4"/>
      <c r="F844" s="5"/>
      <c r="G844" s="5"/>
      <c r="J844" s="3"/>
      <c r="K844" s="3"/>
      <c r="L844" s="6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5"/>
      <c r="AA844" s="3"/>
      <c r="AB844" s="3"/>
      <c r="AC844" s="3"/>
      <c r="AD844" s="5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7"/>
      <c r="AX844" s="7"/>
      <c r="AY844" s="7"/>
      <c r="AZ844" s="7"/>
      <c r="BA844" s="8"/>
      <c r="BB844" s="3"/>
      <c r="BC844" s="3"/>
      <c r="BD844" s="3"/>
      <c r="BE844" s="3"/>
    </row>
    <row r="845" spans="1:57" x14ac:dyDescent="0.25">
      <c r="A845" s="2"/>
      <c r="D845" s="3"/>
      <c r="E845" s="4"/>
      <c r="F845" s="5"/>
      <c r="G845" s="5"/>
      <c r="J845" s="3"/>
      <c r="K845" s="3"/>
      <c r="L845" s="6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5"/>
      <c r="AA845" s="3"/>
      <c r="AB845" s="3"/>
      <c r="AC845" s="3"/>
      <c r="AD845" s="5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7"/>
      <c r="AX845" s="7"/>
      <c r="AY845" s="7"/>
      <c r="AZ845" s="7"/>
      <c r="BA845" s="8"/>
      <c r="BB845" s="3"/>
      <c r="BC845" s="3"/>
      <c r="BD845" s="3"/>
      <c r="BE845" s="3"/>
    </row>
    <row r="846" spans="1:57" x14ac:dyDescent="0.25">
      <c r="A846" s="2"/>
      <c r="D846" s="3"/>
      <c r="E846" s="4"/>
      <c r="F846" s="5"/>
      <c r="G846" s="5"/>
      <c r="J846" s="3"/>
      <c r="K846" s="3"/>
      <c r="L846" s="6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5"/>
      <c r="AA846" s="3"/>
      <c r="AB846" s="3"/>
      <c r="AC846" s="3"/>
      <c r="AD846" s="5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7"/>
      <c r="AX846" s="7"/>
      <c r="AY846" s="7"/>
      <c r="AZ846" s="7"/>
      <c r="BA846" s="8"/>
      <c r="BB846" s="3"/>
      <c r="BC846" s="3"/>
      <c r="BD846" s="3"/>
      <c r="BE846" s="3"/>
    </row>
    <row r="847" spans="1:57" x14ac:dyDescent="0.25">
      <c r="A847" s="2"/>
      <c r="D847" s="3"/>
      <c r="E847" s="4"/>
      <c r="F847" s="5"/>
      <c r="G847" s="5"/>
      <c r="J847" s="3"/>
      <c r="K847" s="3"/>
      <c r="L847" s="6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5"/>
      <c r="AA847" s="3"/>
      <c r="AB847" s="3"/>
      <c r="AC847" s="3"/>
      <c r="AD847" s="5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7"/>
      <c r="AX847" s="7"/>
      <c r="AY847" s="7"/>
      <c r="AZ847" s="7"/>
      <c r="BA847" s="8"/>
      <c r="BB847" s="3"/>
      <c r="BC847" s="3"/>
      <c r="BD847" s="3"/>
      <c r="BE847" s="3"/>
    </row>
    <row r="848" spans="1:57" x14ac:dyDescent="0.25">
      <c r="A848" s="2"/>
      <c r="D848" s="3"/>
      <c r="E848" s="4"/>
      <c r="F848" s="5"/>
      <c r="G848" s="5"/>
      <c r="J848" s="3"/>
      <c r="K848" s="3"/>
      <c r="L848" s="6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5"/>
      <c r="AA848" s="3"/>
      <c r="AB848" s="3"/>
      <c r="AC848" s="3"/>
      <c r="AD848" s="5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7"/>
      <c r="AX848" s="7"/>
      <c r="AY848" s="7"/>
      <c r="AZ848" s="7"/>
      <c r="BA848" s="8"/>
      <c r="BB848" s="3"/>
      <c r="BC848" s="3"/>
      <c r="BD848" s="3"/>
      <c r="BE848" s="3"/>
    </row>
    <row r="849" spans="1:57" x14ac:dyDescent="0.25">
      <c r="A849" s="2"/>
      <c r="D849" s="3"/>
      <c r="E849" s="4"/>
      <c r="F849" s="5"/>
      <c r="G849" s="5"/>
      <c r="J849" s="3"/>
      <c r="K849" s="3"/>
      <c r="L849" s="6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5"/>
      <c r="AA849" s="3"/>
      <c r="AB849" s="3"/>
      <c r="AC849" s="3"/>
      <c r="AD849" s="5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7"/>
      <c r="AX849" s="7"/>
      <c r="AY849" s="7"/>
      <c r="AZ849" s="7"/>
      <c r="BA849" s="8"/>
      <c r="BB849" s="3"/>
      <c r="BC849" s="3"/>
      <c r="BD849" s="3"/>
      <c r="BE849" s="3"/>
    </row>
    <row r="850" spans="1:57" x14ac:dyDescent="0.25">
      <c r="A850" s="2"/>
      <c r="D850" s="3"/>
      <c r="E850" s="4"/>
      <c r="F850" s="5"/>
      <c r="G850" s="5"/>
      <c r="J850" s="3"/>
      <c r="K850" s="3"/>
      <c r="L850" s="6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5"/>
      <c r="AA850" s="3"/>
      <c r="AB850" s="3"/>
      <c r="AC850" s="3"/>
      <c r="AD850" s="5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7"/>
      <c r="AX850" s="7"/>
      <c r="AY850" s="7"/>
      <c r="AZ850" s="7"/>
      <c r="BA850" s="8"/>
      <c r="BB850" s="3"/>
      <c r="BC850" s="3"/>
      <c r="BD850" s="3"/>
      <c r="BE850" s="3"/>
    </row>
    <row r="851" spans="1:57" x14ac:dyDescent="0.25">
      <c r="A851" s="2"/>
      <c r="D851" s="3"/>
      <c r="E851" s="4"/>
      <c r="F851" s="5"/>
      <c r="G851" s="5"/>
      <c r="J851" s="3"/>
      <c r="K851" s="3"/>
      <c r="L851" s="6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5"/>
      <c r="AA851" s="3"/>
      <c r="AB851" s="3"/>
      <c r="AC851" s="3"/>
      <c r="AD851" s="5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7"/>
      <c r="AX851" s="7"/>
      <c r="AY851" s="7"/>
      <c r="AZ851" s="7"/>
      <c r="BA851" s="8"/>
      <c r="BB851" s="3"/>
      <c r="BC851" s="3"/>
      <c r="BD851" s="3"/>
      <c r="BE851" s="3"/>
    </row>
    <row r="852" spans="1:57" x14ac:dyDescent="0.25">
      <c r="A852" s="2"/>
      <c r="D852" s="3"/>
      <c r="E852" s="4"/>
      <c r="F852" s="5"/>
      <c r="G852" s="5"/>
      <c r="J852" s="3"/>
      <c r="K852" s="3"/>
      <c r="L852" s="6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5"/>
      <c r="AA852" s="3"/>
      <c r="AB852" s="3"/>
      <c r="AC852" s="3"/>
      <c r="AD852" s="5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7"/>
      <c r="AX852" s="7"/>
      <c r="AY852" s="7"/>
      <c r="AZ852" s="7"/>
      <c r="BA852" s="8"/>
      <c r="BB852" s="3"/>
      <c r="BC852" s="3"/>
      <c r="BD852" s="3"/>
      <c r="BE852" s="3"/>
    </row>
    <row r="853" spans="1:57" x14ac:dyDescent="0.25">
      <c r="A853" s="2"/>
      <c r="D853" s="3"/>
      <c r="E853" s="4"/>
      <c r="F853" s="5"/>
      <c r="G853" s="5"/>
      <c r="J853" s="3"/>
      <c r="K853" s="3"/>
      <c r="L853" s="6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5"/>
      <c r="AA853" s="3"/>
      <c r="AB853" s="3"/>
      <c r="AC853" s="3"/>
      <c r="AD853" s="5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7"/>
      <c r="AX853" s="7"/>
      <c r="AY853" s="7"/>
      <c r="AZ853" s="7"/>
      <c r="BA853" s="8"/>
      <c r="BB853" s="3"/>
      <c r="BC853" s="3"/>
      <c r="BD853" s="3"/>
      <c r="BE853" s="3"/>
    </row>
    <row r="854" spans="1:57" x14ac:dyDescent="0.25">
      <c r="A854" s="2"/>
      <c r="D854" s="3"/>
      <c r="E854" s="4"/>
      <c r="F854" s="5"/>
      <c r="G854" s="5"/>
      <c r="J854" s="3"/>
      <c r="K854" s="3"/>
      <c r="L854" s="6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5"/>
      <c r="AA854" s="3"/>
      <c r="AB854" s="3"/>
      <c r="AC854" s="3"/>
      <c r="AD854" s="5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7"/>
      <c r="AX854" s="7"/>
      <c r="AY854" s="7"/>
      <c r="AZ854" s="7"/>
      <c r="BA854" s="8"/>
      <c r="BB854" s="3"/>
      <c r="BC854" s="3"/>
      <c r="BD854" s="3"/>
      <c r="BE854" s="3"/>
    </row>
    <row r="855" spans="1:57" x14ac:dyDescent="0.25">
      <c r="A855" s="2"/>
      <c r="D855" s="3"/>
      <c r="E855" s="4"/>
      <c r="F855" s="5"/>
      <c r="G855" s="5"/>
      <c r="J855" s="3"/>
      <c r="K855" s="3"/>
      <c r="L855" s="6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5"/>
      <c r="AA855" s="3"/>
      <c r="AB855" s="3"/>
      <c r="AC855" s="3"/>
      <c r="AD855" s="5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7"/>
      <c r="AX855" s="7"/>
      <c r="AY855" s="7"/>
      <c r="AZ855" s="7"/>
      <c r="BA855" s="8"/>
      <c r="BB855" s="3"/>
      <c r="BC855" s="3"/>
      <c r="BD855" s="3"/>
      <c r="BE855" s="3"/>
    </row>
    <row r="856" spans="1:57" x14ac:dyDescent="0.25">
      <c r="A856" s="2"/>
      <c r="D856" s="3"/>
      <c r="E856" s="4"/>
      <c r="F856" s="5"/>
      <c r="G856" s="5"/>
      <c r="J856" s="3"/>
      <c r="K856" s="3"/>
      <c r="L856" s="6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5"/>
      <c r="AA856" s="3"/>
      <c r="AB856" s="3"/>
      <c r="AC856" s="3"/>
      <c r="AD856" s="5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7"/>
      <c r="AX856" s="7"/>
      <c r="AY856" s="7"/>
      <c r="AZ856" s="7"/>
      <c r="BA856" s="8"/>
      <c r="BB856" s="3"/>
      <c r="BC856" s="3"/>
      <c r="BD856" s="3"/>
      <c r="BE856" s="3"/>
    </row>
    <row r="857" spans="1:57" x14ac:dyDescent="0.25">
      <c r="A857" s="2"/>
      <c r="D857" s="3"/>
      <c r="E857" s="4"/>
      <c r="F857" s="5"/>
      <c r="G857" s="5"/>
      <c r="J857" s="3"/>
      <c r="K857" s="3"/>
      <c r="L857" s="6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5"/>
      <c r="AA857" s="3"/>
      <c r="AB857" s="3"/>
      <c r="AC857" s="3"/>
      <c r="AD857" s="5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7"/>
      <c r="AX857" s="7"/>
      <c r="AY857" s="7"/>
      <c r="AZ857" s="7"/>
      <c r="BA857" s="8"/>
      <c r="BB857" s="3"/>
      <c r="BC857" s="3"/>
      <c r="BD857" s="3"/>
      <c r="BE857" s="3"/>
    </row>
    <row r="858" spans="1:57" x14ac:dyDescent="0.25">
      <c r="A858" s="2"/>
      <c r="D858" s="3"/>
      <c r="E858" s="4"/>
      <c r="F858" s="5"/>
      <c r="G858" s="5"/>
      <c r="J858" s="3"/>
      <c r="K858" s="3"/>
      <c r="L858" s="6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5"/>
      <c r="AA858" s="3"/>
      <c r="AB858" s="3"/>
      <c r="AC858" s="3"/>
      <c r="AD858" s="5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7"/>
      <c r="AX858" s="7"/>
      <c r="AY858" s="7"/>
      <c r="AZ858" s="7"/>
      <c r="BA858" s="8"/>
      <c r="BB858" s="3"/>
      <c r="BC858" s="3"/>
      <c r="BD858" s="3"/>
      <c r="BE858" s="3"/>
    </row>
    <row r="859" spans="1:57" x14ac:dyDescent="0.25">
      <c r="A859" s="2"/>
      <c r="D859" s="3"/>
      <c r="E859" s="4"/>
      <c r="F859" s="5"/>
      <c r="G859" s="5"/>
      <c r="J859" s="3"/>
      <c r="K859" s="3"/>
      <c r="L859" s="6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5"/>
      <c r="AA859" s="3"/>
      <c r="AB859" s="3"/>
      <c r="AC859" s="3"/>
      <c r="AD859" s="5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7"/>
      <c r="AX859" s="7"/>
      <c r="AY859" s="7"/>
      <c r="AZ859" s="7"/>
      <c r="BA859" s="8"/>
      <c r="BB859" s="3"/>
      <c r="BC859" s="3"/>
      <c r="BD859" s="3"/>
      <c r="BE859" s="3"/>
    </row>
    <row r="860" spans="1:57" x14ac:dyDescent="0.25">
      <c r="A860" s="2"/>
      <c r="D860" s="3"/>
      <c r="E860" s="4"/>
      <c r="F860" s="5"/>
      <c r="G860" s="5"/>
      <c r="J860" s="3"/>
      <c r="K860" s="3"/>
      <c r="L860" s="6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5"/>
      <c r="AA860" s="3"/>
      <c r="AB860" s="3"/>
      <c r="AC860" s="3"/>
      <c r="AD860" s="5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7"/>
      <c r="AX860" s="7"/>
      <c r="AY860" s="7"/>
      <c r="AZ860" s="7"/>
      <c r="BA860" s="8"/>
      <c r="BB860" s="3"/>
      <c r="BC860" s="3"/>
      <c r="BD860" s="3"/>
      <c r="BE860" s="3"/>
    </row>
    <row r="861" spans="1:57" x14ac:dyDescent="0.25">
      <c r="A861" s="2"/>
      <c r="D861" s="3"/>
      <c r="E861" s="4"/>
      <c r="F861" s="5"/>
      <c r="G861" s="5"/>
      <c r="J861" s="3"/>
      <c r="K861" s="3"/>
      <c r="L861" s="6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5"/>
      <c r="AA861" s="3"/>
      <c r="AB861" s="3"/>
      <c r="AC861" s="3"/>
      <c r="AD861" s="5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7"/>
      <c r="AX861" s="7"/>
      <c r="AY861" s="7"/>
      <c r="AZ861" s="7"/>
      <c r="BA861" s="8"/>
      <c r="BB861" s="3"/>
      <c r="BC861" s="3"/>
      <c r="BD861" s="3"/>
      <c r="BE861" s="3"/>
    </row>
    <row r="862" spans="1:57" x14ac:dyDescent="0.25">
      <c r="A862" s="2"/>
      <c r="D862" s="3"/>
      <c r="E862" s="4"/>
      <c r="F862" s="5"/>
      <c r="G862" s="5"/>
      <c r="J862" s="3"/>
      <c r="K862" s="3"/>
      <c r="L862" s="6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5"/>
      <c r="AA862" s="3"/>
      <c r="AB862" s="3"/>
      <c r="AC862" s="3"/>
      <c r="AD862" s="5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7"/>
      <c r="AX862" s="7"/>
      <c r="AY862" s="7"/>
      <c r="AZ862" s="7"/>
      <c r="BA862" s="8"/>
      <c r="BB862" s="3"/>
      <c r="BC862" s="3"/>
      <c r="BD862" s="3"/>
      <c r="BE862" s="3"/>
    </row>
    <row r="863" spans="1:57" x14ac:dyDescent="0.25">
      <c r="A863" s="2"/>
      <c r="D863" s="3"/>
      <c r="E863" s="4"/>
      <c r="F863" s="5"/>
      <c r="G863" s="5"/>
      <c r="J863" s="3"/>
      <c r="K863" s="3"/>
      <c r="L863" s="6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5"/>
      <c r="AA863" s="3"/>
      <c r="AB863" s="3"/>
      <c r="AC863" s="3"/>
      <c r="AD863" s="5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7"/>
      <c r="AX863" s="7"/>
      <c r="AY863" s="7"/>
      <c r="AZ863" s="7"/>
      <c r="BA863" s="8"/>
      <c r="BB863" s="3"/>
      <c r="BC863" s="3"/>
      <c r="BD863" s="3"/>
      <c r="BE863" s="3"/>
    </row>
    <row r="864" spans="1:57" x14ac:dyDescent="0.25">
      <c r="A864" s="2"/>
      <c r="D864" s="3"/>
      <c r="E864" s="4"/>
      <c r="F864" s="5"/>
      <c r="G864" s="5"/>
      <c r="J864" s="3"/>
      <c r="K864" s="3"/>
      <c r="L864" s="6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5"/>
      <c r="AA864" s="3"/>
      <c r="AB864" s="3"/>
      <c r="AC864" s="3"/>
      <c r="AD864" s="5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7"/>
      <c r="AX864" s="7"/>
      <c r="AY864" s="7"/>
      <c r="AZ864" s="7"/>
      <c r="BA864" s="8"/>
      <c r="BB864" s="3"/>
      <c r="BC864" s="3"/>
      <c r="BD864" s="3"/>
      <c r="BE864" s="3"/>
    </row>
    <row r="865" spans="1:57" x14ac:dyDescent="0.25">
      <c r="A865" s="2"/>
      <c r="D865" s="3"/>
      <c r="E865" s="4"/>
      <c r="F865" s="5"/>
      <c r="G865" s="5"/>
      <c r="J865" s="3"/>
      <c r="K865" s="3"/>
      <c r="L865" s="6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5"/>
      <c r="AA865" s="3"/>
      <c r="AB865" s="3"/>
      <c r="AC865" s="3"/>
      <c r="AD865" s="5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7"/>
      <c r="AX865" s="7"/>
      <c r="AY865" s="7"/>
      <c r="AZ865" s="7"/>
      <c r="BA865" s="8"/>
      <c r="BB865" s="3"/>
      <c r="BC865" s="3"/>
      <c r="BD865" s="3"/>
      <c r="BE865" s="3"/>
    </row>
    <row r="866" spans="1:57" x14ac:dyDescent="0.25">
      <c r="A866" s="2"/>
      <c r="D866" s="3"/>
      <c r="E866" s="4"/>
      <c r="F866" s="5"/>
      <c r="G866" s="5"/>
      <c r="J866" s="3"/>
      <c r="K866" s="3"/>
      <c r="L866" s="6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5"/>
      <c r="AA866" s="3"/>
      <c r="AB866" s="3"/>
      <c r="AC866" s="3"/>
      <c r="AD866" s="5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7"/>
      <c r="AX866" s="7"/>
      <c r="AY866" s="7"/>
      <c r="AZ866" s="7"/>
      <c r="BA866" s="8"/>
      <c r="BB866" s="3"/>
      <c r="BC866" s="3"/>
      <c r="BD866" s="3"/>
      <c r="BE866" s="3"/>
    </row>
    <row r="867" spans="1:57" x14ac:dyDescent="0.25">
      <c r="A867" s="2"/>
      <c r="D867" s="3"/>
      <c r="E867" s="4"/>
      <c r="F867" s="5"/>
      <c r="G867" s="5"/>
      <c r="J867" s="3"/>
      <c r="K867" s="3"/>
      <c r="L867" s="6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5"/>
      <c r="AA867" s="3"/>
      <c r="AB867" s="3"/>
      <c r="AC867" s="3"/>
      <c r="AD867" s="5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7"/>
      <c r="AX867" s="7"/>
      <c r="AY867" s="7"/>
      <c r="AZ867" s="7"/>
      <c r="BA867" s="8"/>
      <c r="BB867" s="3"/>
      <c r="BC867" s="3"/>
      <c r="BD867" s="3"/>
      <c r="BE867" s="3"/>
    </row>
    <row r="868" spans="1:57" x14ac:dyDescent="0.25">
      <c r="A868" s="2"/>
      <c r="D868" s="3"/>
      <c r="E868" s="4"/>
      <c r="F868" s="5"/>
      <c r="G868" s="5"/>
      <c r="J868" s="3"/>
      <c r="K868" s="3"/>
      <c r="L868" s="6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5"/>
      <c r="AA868" s="3"/>
      <c r="AB868" s="3"/>
      <c r="AC868" s="3"/>
      <c r="AD868" s="5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7"/>
      <c r="AX868" s="7"/>
      <c r="AY868" s="7"/>
      <c r="AZ868" s="7"/>
      <c r="BA868" s="8"/>
      <c r="BB868" s="3"/>
      <c r="BC868" s="3"/>
      <c r="BD868" s="3"/>
      <c r="BE868" s="3"/>
    </row>
    <row r="869" spans="1:57" x14ac:dyDescent="0.25">
      <c r="A869" s="2"/>
      <c r="D869" s="3"/>
      <c r="E869" s="4"/>
      <c r="F869" s="5"/>
      <c r="G869" s="5"/>
      <c r="J869" s="3"/>
      <c r="K869" s="3"/>
      <c r="L869" s="6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5"/>
      <c r="AA869" s="3"/>
      <c r="AB869" s="3"/>
      <c r="AC869" s="3"/>
      <c r="AD869" s="5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7"/>
      <c r="AX869" s="7"/>
      <c r="AY869" s="7"/>
      <c r="AZ869" s="7"/>
      <c r="BA869" s="8"/>
      <c r="BB869" s="3"/>
      <c r="BC869" s="3"/>
      <c r="BD869" s="3"/>
      <c r="BE869" s="3"/>
    </row>
    <row r="870" spans="1:57" x14ac:dyDescent="0.25">
      <c r="A870" s="2"/>
      <c r="D870" s="3"/>
      <c r="E870" s="4"/>
      <c r="F870" s="5"/>
      <c r="G870" s="5"/>
      <c r="J870" s="3"/>
      <c r="K870" s="3"/>
      <c r="L870" s="6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5"/>
      <c r="AA870" s="3"/>
      <c r="AB870" s="3"/>
      <c r="AC870" s="3"/>
      <c r="AD870" s="5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7"/>
      <c r="AX870" s="7"/>
      <c r="AY870" s="7"/>
      <c r="AZ870" s="7"/>
      <c r="BA870" s="8"/>
      <c r="BB870" s="3"/>
      <c r="BC870" s="3"/>
      <c r="BD870" s="3"/>
      <c r="BE870" s="3"/>
    </row>
    <row r="871" spans="1:57" x14ac:dyDescent="0.25">
      <c r="A871" s="2"/>
      <c r="D871" s="3"/>
      <c r="E871" s="4"/>
      <c r="F871" s="5"/>
      <c r="G871" s="5"/>
      <c r="J871" s="3"/>
      <c r="K871" s="3"/>
      <c r="L871" s="6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5"/>
      <c r="AA871" s="3"/>
      <c r="AB871" s="3"/>
      <c r="AC871" s="3"/>
      <c r="AD871" s="5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7"/>
      <c r="AX871" s="7"/>
      <c r="AY871" s="7"/>
      <c r="AZ871" s="7"/>
      <c r="BA871" s="8"/>
      <c r="BB871" s="3"/>
      <c r="BC871" s="3"/>
      <c r="BD871" s="3"/>
      <c r="BE871" s="3"/>
    </row>
    <row r="872" spans="1:57" x14ac:dyDescent="0.25">
      <c r="A872" s="2"/>
      <c r="D872" s="3"/>
      <c r="E872" s="4"/>
      <c r="F872" s="5"/>
      <c r="G872" s="5"/>
      <c r="J872" s="3"/>
      <c r="K872" s="3"/>
      <c r="L872" s="6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5"/>
      <c r="AA872" s="3"/>
      <c r="AB872" s="3"/>
      <c r="AC872" s="3"/>
      <c r="AD872" s="5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7"/>
      <c r="AX872" s="7"/>
      <c r="AY872" s="7"/>
      <c r="AZ872" s="7"/>
      <c r="BA872" s="8"/>
      <c r="BB872" s="3"/>
      <c r="BC872" s="3"/>
      <c r="BD872" s="3"/>
      <c r="BE872" s="3"/>
    </row>
    <row r="873" spans="1:57" x14ac:dyDescent="0.25">
      <c r="A873" s="2"/>
      <c r="D873" s="3"/>
      <c r="E873" s="4"/>
      <c r="F873" s="5"/>
      <c r="G873" s="5"/>
      <c r="J873" s="3"/>
      <c r="K873" s="3"/>
      <c r="L873" s="6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5"/>
      <c r="AA873" s="3"/>
      <c r="AB873" s="3"/>
      <c r="AC873" s="3"/>
      <c r="AD873" s="5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7"/>
      <c r="AX873" s="7"/>
      <c r="AY873" s="7"/>
      <c r="AZ873" s="7"/>
      <c r="BA873" s="8"/>
      <c r="BB873" s="3"/>
      <c r="BC873" s="3"/>
      <c r="BD873" s="3"/>
      <c r="BE873" s="3"/>
    </row>
    <row r="874" spans="1:57" x14ac:dyDescent="0.25">
      <c r="A874" s="2"/>
      <c r="D874" s="3"/>
      <c r="E874" s="4"/>
      <c r="F874" s="5"/>
      <c r="G874" s="5"/>
      <c r="J874" s="3"/>
      <c r="K874" s="3"/>
      <c r="L874" s="6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5"/>
      <c r="AA874" s="3"/>
      <c r="AB874" s="3"/>
      <c r="AC874" s="3"/>
      <c r="AD874" s="5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7"/>
      <c r="AX874" s="7"/>
      <c r="AY874" s="7"/>
      <c r="AZ874" s="7"/>
      <c r="BA874" s="8"/>
      <c r="BB874" s="3"/>
      <c r="BC874" s="3"/>
      <c r="BD874" s="3"/>
      <c r="BE874" s="3"/>
    </row>
    <row r="875" spans="1:57" x14ac:dyDescent="0.25">
      <c r="A875" s="2"/>
      <c r="D875" s="3"/>
      <c r="E875" s="4"/>
      <c r="F875" s="5"/>
      <c r="G875" s="5"/>
      <c r="J875" s="3"/>
      <c r="K875" s="3"/>
      <c r="L875" s="6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5"/>
      <c r="AA875" s="3"/>
      <c r="AB875" s="3"/>
      <c r="AC875" s="3"/>
      <c r="AD875" s="5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7"/>
      <c r="AX875" s="7"/>
      <c r="AY875" s="7"/>
      <c r="AZ875" s="7"/>
      <c r="BA875" s="8"/>
      <c r="BB875" s="3"/>
      <c r="BC875" s="3"/>
      <c r="BD875" s="3"/>
      <c r="BE875" s="3"/>
    </row>
    <row r="876" spans="1:57" x14ac:dyDescent="0.25">
      <c r="A876" s="2"/>
      <c r="D876" s="3"/>
      <c r="E876" s="4"/>
      <c r="F876" s="5"/>
      <c r="G876" s="5"/>
      <c r="J876" s="3"/>
      <c r="K876" s="3"/>
      <c r="L876" s="6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5"/>
      <c r="AA876" s="3"/>
      <c r="AB876" s="3"/>
      <c r="AC876" s="3"/>
      <c r="AD876" s="5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7"/>
      <c r="AX876" s="7"/>
      <c r="AY876" s="7"/>
      <c r="AZ876" s="7"/>
      <c r="BA876" s="8"/>
      <c r="BB876" s="3"/>
      <c r="BC876" s="3"/>
      <c r="BD876" s="3"/>
      <c r="BE876" s="3"/>
    </row>
    <row r="877" spans="1:57" x14ac:dyDescent="0.25">
      <c r="A877" s="2"/>
      <c r="D877" s="3"/>
      <c r="E877" s="4"/>
      <c r="F877" s="5"/>
      <c r="G877" s="5"/>
      <c r="J877" s="3"/>
      <c r="K877" s="3"/>
      <c r="L877" s="6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5"/>
      <c r="AA877" s="3"/>
      <c r="AB877" s="3"/>
      <c r="AC877" s="3"/>
      <c r="AD877" s="5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7"/>
      <c r="AX877" s="7"/>
      <c r="AY877" s="7"/>
      <c r="AZ877" s="7"/>
      <c r="BA877" s="8"/>
      <c r="BB877" s="3"/>
      <c r="BC877" s="3"/>
      <c r="BD877" s="3"/>
      <c r="BE877" s="3"/>
    </row>
    <row r="878" spans="1:57" x14ac:dyDescent="0.25">
      <c r="A878" s="2"/>
      <c r="D878" s="3"/>
      <c r="E878" s="4"/>
      <c r="F878" s="5"/>
      <c r="G878" s="5"/>
      <c r="J878" s="3"/>
      <c r="K878" s="3"/>
      <c r="L878" s="6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5"/>
      <c r="AA878" s="3"/>
      <c r="AB878" s="3"/>
      <c r="AC878" s="3"/>
      <c r="AD878" s="5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7"/>
      <c r="AX878" s="7"/>
      <c r="AY878" s="7"/>
      <c r="AZ878" s="7"/>
      <c r="BA878" s="8"/>
      <c r="BB878" s="3"/>
      <c r="BC878" s="3"/>
      <c r="BD878" s="3"/>
      <c r="BE878" s="3"/>
    </row>
    <row r="879" spans="1:57" x14ac:dyDescent="0.25">
      <c r="A879" s="2"/>
      <c r="D879" s="3"/>
      <c r="E879" s="4"/>
      <c r="F879" s="5"/>
      <c r="G879" s="5"/>
      <c r="J879" s="3"/>
      <c r="K879" s="3"/>
      <c r="L879" s="6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5"/>
      <c r="AA879" s="3"/>
      <c r="AB879" s="3"/>
      <c r="AC879" s="3"/>
      <c r="AD879" s="5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7"/>
      <c r="AX879" s="7"/>
      <c r="AY879" s="7"/>
      <c r="AZ879" s="7"/>
      <c r="BA879" s="8"/>
      <c r="BB879" s="3"/>
      <c r="BC879" s="3"/>
      <c r="BD879" s="3"/>
      <c r="BE879" s="3"/>
    </row>
    <row r="880" spans="1:57" x14ac:dyDescent="0.25">
      <c r="A880" s="2"/>
      <c r="D880" s="3"/>
      <c r="E880" s="4"/>
      <c r="F880" s="5"/>
      <c r="G880" s="5"/>
      <c r="J880" s="3"/>
      <c r="K880" s="3"/>
      <c r="L880" s="6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5"/>
      <c r="AA880" s="3"/>
      <c r="AB880" s="3"/>
      <c r="AC880" s="3"/>
      <c r="AD880" s="5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7"/>
      <c r="AX880" s="7"/>
      <c r="AY880" s="7"/>
      <c r="AZ880" s="7"/>
      <c r="BA880" s="8"/>
      <c r="BB880" s="3"/>
      <c r="BC880" s="3"/>
      <c r="BD880" s="3"/>
      <c r="BE880" s="3"/>
    </row>
    <row r="881" spans="1:57" x14ac:dyDescent="0.25">
      <c r="A881" s="2"/>
      <c r="D881" s="3"/>
      <c r="E881" s="4"/>
      <c r="F881" s="5"/>
      <c r="G881" s="5"/>
      <c r="J881" s="3"/>
      <c r="K881" s="3"/>
      <c r="L881" s="6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5"/>
      <c r="AA881" s="3"/>
      <c r="AB881" s="3"/>
      <c r="AC881" s="3"/>
      <c r="AD881" s="5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7"/>
      <c r="AX881" s="7"/>
      <c r="AY881" s="7"/>
      <c r="AZ881" s="7"/>
      <c r="BA881" s="8"/>
      <c r="BB881" s="3"/>
      <c r="BC881" s="3"/>
      <c r="BD881" s="3"/>
      <c r="BE881" s="3"/>
    </row>
    <row r="882" spans="1:57" x14ac:dyDescent="0.25">
      <c r="A882" s="2"/>
      <c r="D882" s="3"/>
      <c r="E882" s="4"/>
      <c r="F882" s="5"/>
      <c r="G882" s="5"/>
      <c r="J882" s="3"/>
      <c r="K882" s="3"/>
      <c r="L882" s="6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5"/>
      <c r="AA882" s="3"/>
      <c r="AB882" s="3"/>
      <c r="AC882" s="3"/>
      <c r="AD882" s="5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7"/>
      <c r="AX882" s="7"/>
      <c r="AY882" s="7"/>
      <c r="AZ882" s="7"/>
      <c r="BA882" s="8"/>
      <c r="BB882" s="3"/>
      <c r="BC882" s="3"/>
      <c r="BD882" s="3"/>
      <c r="BE882" s="3"/>
    </row>
    <row r="883" spans="1:57" x14ac:dyDescent="0.25">
      <c r="A883" s="2"/>
      <c r="D883" s="3"/>
      <c r="E883" s="4"/>
      <c r="F883" s="5"/>
      <c r="G883" s="5"/>
      <c r="J883" s="3"/>
      <c r="K883" s="3"/>
      <c r="L883" s="6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5"/>
      <c r="AA883" s="3"/>
      <c r="AB883" s="3"/>
      <c r="AC883" s="3"/>
      <c r="AD883" s="5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7"/>
      <c r="AX883" s="7"/>
      <c r="AY883" s="7"/>
      <c r="AZ883" s="7"/>
      <c r="BA883" s="8"/>
      <c r="BB883" s="3"/>
      <c r="BC883" s="3"/>
      <c r="BD883" s="3"/>
      <c r="BE883" s="3"/>
    </row>
    <row r="884" spans="1:57" x14ac:dyDescent="0.25">
      <c r="A884" s="2"/>
      <c r="D884" s="3"/>
      <c r="E884" s="4"/>
      <c r="F884" s="5"/>
      <c r="G884" s="5"/>
      <c r="J884" s="3"/>
      <c r="K884" s="3"/>
      <c r="L884" s="6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5"/>
      <c r="AA884" s="3"/>
      <c r="AB884" s="3"/>
      <c r="AC884" s="3"/>
      <c r="AD884" s="5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7"/>
      <c r="AX884" s="7"/>
      <c r="AY884" s="7"/>
      <c r="AZ884" s="7"/>
      <c r="BA884" s="8"/>
      <c r="BB884" s="3"/>
      <c r="BC884" s="3"/>
      <c r="BD884" s="3"/>
      <c r="BE884" s="3"/>
    </row>
    <row r="885" spans="1:57" x14ac:dyDescent="0.25">
      <c r="A885" s="2"/>
      <c r="D885" s="3"/>
      <c r="E885" s="4"/>
      <c r="F885" s="5"/>
      <c r="G885" s="5"/>
      <c r="J885" s="3"/>
      <c r="K885" s="3"/>
      <c r="L885" s="6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5"/>
      <c r="AA885" s="3"/>
      <c r="AB885" s="3"/>
      <c r="AC885" s="3"/>
      <c r="AD885" s="5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7"/>
      <c r="AX885" s="7"/>
      <c r="AY885" s="7"/>
      <c r="AZ885" s="7"/>
      <c r="BA885" s="8"/>
      <c r="BB885" s="3"/>
      <c r="BC885" s="3"/>
      <c r="BD885" s="3"/>
      <c r="BE885" s="3"/>
    </row>
    <row r="886" spans="1:57" x14ac:dyDescent="0.25">
      <c r="A886" s="2"/>
      <c r="D886" s="3"/>
      <c r="E886" s="4"/>
      <c r="F886" s="5"/>
      <c r="G886" s="5"/>
      <c r="J886" s="3"/>
      <c r="K886" s="3"/>
      <c r="L886" s="6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5"/>
      <c r="AA886" s="3"/>
      <c r="AB886" s="3"/>
      <c r="AC886" s="3"/>
      <c r="AD886" s="5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7"/>
      <c r="AX886" s="7"/>
      <c r="AY886" s="7"/>
      <c r="AZ886" s="7"/>
      <c r="BA886" s="8"/>
      <c r="BB886" s="3"/>
      <c r="BC886" s="3"/>
      <c r="BD886" s="3"/>
      <c r="BE886" s="3"/>
    </row>
    <row r="887" spans="1:57" x14ac:dyDescent="0.25">
      <c r="A887" s="2"/>
      <c r="D887" s="3"/>
      <c r="E887" s="4"/>
      <c r="F887" s="5"/>
      <c r="G887" s="5"/>
      <c r="J887" s="3"/>
      <c r="K887" s="3"/>
      <c r="L887" s="6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5"/>
      <c r="AA887" s="3"/>
      <c r="AB887" s="3"/>
      <c r="AC887" s="3"/>
      <c r="AD887" s="5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7"/>
      <c r="AX887" s="7"/>
      <c r="AY887" s="7"/>
      <c r="AZ887" s="7"/>
      <c r="BA887" s="8"/>
      <c r="BB887" s="3"/>
      <c r="BC887" s="3"/>
      <c r="BD887" s="3"/>
      <c r="BE887" s="3"/>
    </row>
    <row r="888" spans="1:57" x14ac:dyDescent="0.25">
      <c r="A888" s="2"/>
      <c r="D888" s="3"/>
      <c r="E888" s="4"/>
      <c r="F888" s="5"/>
      <c r="G888" s="5"/>
      <c r="J888" s="3"/>
      <c r="K888" s="3"/>
      <c r="L888" s="6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5"/>
      <c r="AA888" s="3"/>
      <c r="AB888" s="3"/>
      <c r="AC888" s="3"/>
      <c r="AD888" s="5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7"/>
      <c r="AX888" s="7"/>
      <c r="AY888" s="7"/>
      <c r="AZ888" s="7"/>
      <c r="BA888" s="8"/>
      <c r="BB888" s="3"/>
      <c r="BC888" s="3"/>
      <c r="BD888" s="3"/>
      <c r="BE888" s="3"/>
    </row>
    <row r="889" spans="1:57" x14ac:dyDescent="0.25">
      <c r="A889" s="2"/>
      <c r="D889" s="3"/>
      <c r="E889" s="4"/>
      <c r="F889" s="5"/>
      <c r="G889" s="5"/>
      <c r="J889" s="3"/>
      <c r="K889" s="3"/>
      <c r="L889" s="6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5"/>
      <c r="AA889" s="3"/>
      <c r="AB889" s="3"/>
      <c r="AC889" s="3"/>
      <c r="AD889" s="5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7"/>
      <c r="AX889" s="7"/>
      <c r="AY889" s="7"/>
      <c r="AZ889" s="7"/>
      <c r="BA889" s="8"/>
      <c r="BB889" s="3"/>
      <c r="BC889" s="3"/>
      <c r="BD889" s="3"/>
      <c r="BE889" s="3"/>
    </row>
    <row r="890" spans="1:57" x14ac:dyDescent="0.25">
      <c r="A890" s="2"/>
      <c r="D890" s="3"/>
      <c r="E890" s="4"/>
      <c r="F890" s="5"/>
      <c r="G890" s="5"/>
      <c r="J890" s="3"/>
      <c r="K890" s="3"/>
      <c r="L890" s="6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5"/>
      <c r="AA890" s="3"/>
      <c r="AB890" s="3"/>
      <c r="AC890" s="3"/>
      <c r="AD890" s="5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7"/>
      <c r="AX890" s="7"/>
      <c r="AY890" s="7"/>
      <c r="AZ890" s="7"/>
      <c r="BA890" s="8"/>
      <c r="BB890" s="3"/>
      <c r="BC890" s="3"/>
      <c r="BD890" s="3"/>
      <c r="BE890" s="3"/>
    </row>
    <row r="891" spans="1:57" x14ac:dyDescent="0.25">
      <c r="A891" s="2"/>
      <c r="D891" s="3"/>
      <c r="E891" s="4"/>
      <c r="F891" s="5"/>
      <c r="G891" s="5"/>
      <c r="J891" s="3"/>
      <c r="K891" s="3"/>
      <c r="L891" s="6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5"/>
      <c r="AA891" s="3"/>
      <c r="AB891" s="3"/>
      <c r="AC891" s="3"/>
      <c r="AD891" s="5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7"/>
      <c r="AX891" s="7"/>
      <c r="AY891" s="7"/>
      <c r="AZ891" s="7"/>
      <c r="BA891" s="8"/>
      <c r="BB891" s="3"/>
      <c r="BC891" s="3"/>
      <c r="BD891" s="3"/>
      <c r="BE891" s="3"/>
    </row>
    <row r="892" spans="1:57" x14ac:dyDescent="0.25">
      <c r="A892" s="2"/>
      <c r="D892" s="3"/>
      <c r="E892" s="4"/>
      <c r="F892" s="5"/>
      <c r="G892" s="5"/>
      <c r="J892" s="3"/>
      <c r="K892" s="3"/>
      <c r="L892" s="6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5"/>
      <c r="AA892" s="3"/>
      <c r="AB892" s="3"/>
      <c r="AC892" s="3"/>
      <c r="AD892" s="5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7"/>
      <c r="AX892" s="7"/>
      <c r="AY892" s="7"/>
      <c r="AZ892" s="7"/>
      <c r="BA892" s="8"/>
      <c r="BB892" s="3"/>
      <c r="BC892" s="3"/>
      <c r="BD892" s="3"/>
      <c r="BE892" s="3"/>
    </row>
    <row r="893" spans="1:57" x14ac:dyDescent="0.25">
      <c r="A893" s="2"/>
      <c r="D893" s="3"/>
      <c r="E893" s="4"/>
      <c r="F893" s="5"/>
      <c r="G893" s="5"/>
      <c r="J893" s="3"/>
      <c r="K893" s="3"/>
      <c r="L893" s="6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5"/>
      <c r="AA893" s="3"/>
      <c r="AB893" s="3"/>
      <c r="AC893" s="3"/>
      <c r="AD893" s="5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7"/>
      <c r="AX893" s="7"/>
      <c r="AY893" s="7"/>
      <c r="AZ893" s="7"/>
      <c r="BA893" s="8"/>
      <c r="BB893" s="3"/>
      <c r="BC893" s="3"/>
      <c r="BD893" s="3"/>
      <c r="BE893" s="3"/>
    </row>
    <row r="894" spans="1:57" x14ac:dyDescent="0.25">
      <c r="A894" s="2"/>
      <c r="D894" s="3"/>
      <c r="E894" s="4"/>
      <c r="F894" s="5"/>
      <c r="G894" s="5"/>
      <c r="J894" s="3"/>
      <c r="K894" s="3"/>
      <c r="L894" s="6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5"/>
      <c r="AA894" s="3"/>
      <c r="AB894" s="3"/>
      <c r="AC894" s="3"/>
      <c r="AD894" s="5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7"/>
      <c r="AX894" s="7"/>
      <c r="AY894" s="7"/>
      <c r="AZ894" s="7"/>
      <c r="BA894" s="8"/>
      <c r="BB894" s="3"/>
      <c r="BC894" s="3"/>
      <c r="BD894" s="3"/>
      <c r="BE894" s="3"/>
    </row>
    <row r="895" spans="1:57" x14ac:dyDescent="0.25">
      <c r="A895" s="2"/>
      <c r="D895" s="3"/>
      <c r="E895" s="4"/>
      <c r="F895" s="5"/>
      <c r="G895" s="5"/>
      <c r="J895" s="3"/>
      <c r="K895" s="3"/>
      <c r="L895" s="6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5"/>
      <c r="AA895" s="3"/>
      <c r="AB895" s="3"/>
      <c r="AC895" s="3"/>
      <c r="AD895" s="5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7"/>
      <c r="AX895" s="7"/>
      <c r="AY895" s="7"/>
      <c r="AZ895" s="7"/>
      <c r="BA895" s="8"/>
      <c r="BB895" s="3"/>
      <c r="BC895" s="3"/>
      <c r="BD895" s="3"/>
      <c r="BE895" s="3"/>
    </row>
    <row r="896" spans="1:57" x14ac:dyDescent="0.25">
      <c r="A896" s="2"/>
      <c r="D896" s="3"/>
      <c r="E896" s="4"/>
      <c r="F896" s="5"/>
      <c r="G896" s="5"/>
      <c r="J896" s="3"/>
      <c r="K896" s="3"/>
      <c r="L896" s="6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5"/>
      <c r="AA896" s="3"/>
      <c r="AB896" s="3"/>
      <c r="AC896" s="3"/>
      <c r="AD896" s="5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7"/>
      <c r="AX896" s="7"/>
      <c r="AY896" s="7"/>
      <c r="AZ896" s="7"/>
      <c r="BA896" s="8"/>
      <c r="BB896" s="3"/>
      <c r="BC896" s="3"/>
      <c r="BD896" s="3"/>
      <c r="BE896" s="3"/>
    </row>
    <row r="897" spans="1:57" x14ac:dyDescent="0.25">
      <c r="A897" s="2"/>
      <c r="D897" s="3"/>
      <c r="E897" s="4"/>
      <c r="F897" s="5"/>
      <c r="G897" s="5"/>
      <c r="J897" s="3"/>
      <c r="K897" s="3"/>
      <c r="L897" s="6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5"/>
      <c r="AA897" s="3"/>
      <c r="AB897" s="3"/>
      <c r="AC897" s="3"/>
      <c r="AD897" s="5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7"/>
      <c r="AX897" s="7"/>
      <c r="AY897" s="7"/>
      <c r="AZ897" s="7"/>
      <c r="BA897" s="8"/>
      <c r="BB897" s="3"/>
      <c r="BC897" s="3"/>
      <c r="BD897" s="3"/>
      <c r="BE897" s="3"/>
    </row>
    <row r="898" spans="1:57" x14ac:dyDescent="0.25">
      <c r="A898" s="2"/>
      <c r="D898" s="3"/>
      <c r="E898" s="4"/>
      <c r="F898" s="5"/>
      <c r="G898" s="5"/>
      <c r="J898" s="3"/>
      <c r="K898" s="3"/>
      <c r="L898" s="6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5"/>
      <c r="AA898" s="3"/>
      <c r="AB898" s="3"/>
      <c r="AC898" s="3"/>
      <c r="AD898" s="5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7"/>
      <c r="AX898" s="7"/>
      <c r="AY898" s="7"/>
      <c r="AZ898" s="7"/>
      <c r="BA898" s="8"/>
      <c r="BB898" s="3"/>
      <c r="BC898" s="3"/>
      <c r="BD898" s="3"/>
      <c r="BE898" s="3"/>
    </row>
    <row r="899" spans="1:57" x14ac:dyDescent="0.25">
      <c r="A899" s="2"/>
      <c r="D899" s="3"/>
      <c r="E899" s="4"/>
      <c r="F899" s="5"/>
      <c r="G899" s="5"/>
      <c r="J899" s="3"/>
      <c r="K899" s="3"/>
      <c r="L899" s="6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5"/>
      <c r="AA899" s="3"/>
      <c r="AB899" s="3"/>
      <c r="AC899" s="3"/>
      <c r="AD899" s="5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7"/>
      <c r="AX899" s="7"/>
      <c r="AY899" s="7"/>
      <c r="AZ899" s="7"/>
      <c r="BA899" s="8"/>
      <c r="BB899" s="3"/>
      <c r="BC899" s="3"/>
      <c r="BD899" s="3"/>
      <c r="BE899" s="3"/>
    </row>
    <row r="900" spans="1:57" x14ac:dyDescent="0.25">
      <c r="A900" s="2"/>
      <c r="D900" s="3"/>
      <c r="E900" s="4"/>
      <c r="F900" s="5"/>
      <c r="G900" s="5"/>
      <c r="J900" s="3"/>
      <c r="K900" s="3"/>
      <c r="L900" s="6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5"/>
      <c r="AA900" s="3"/>
      <c r="AB900" s="3"/>
      <c r="AC900" s="3"/>
      <c r="AD900" s="5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7"/>
      <c r="AX900" s="7"/>
      <c r="AY900" s="7"/>
      <c r="AZ900" s="7"/>
      <c r="BA900" s="8"/>
      <c r="BB900" s="3"/>
      <c r="BC900" s="3"/>
      <c r="BD900" s="3"/>
      <c r="BE900" s="3"/>
    </row>
    <row r="901" spans="1:57" x14ac:dyDescent="0.25">
      <c r="A901" s="2"/>
      <c r="D901" s="3"/>
      <c r="E901" s="4"/>
      <c r="F901" s="5"/>
      <c r="G901" s="5"/>
      <c r="J901" s="3"/>
      <c r="K901" s="3"/>
      <c r="L901" s="6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5"/>
      <c r="AA901" s="3"/>
      <c r="AB901" s="3"/>
      <c r="AC901" s="3"/>
      <c r="AD901" s="5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7"/>
      <c r="AX901" s="7"/>
      <c r="AY901" s="7"/>
      <c r="AZ901" s="7"/>
      <c r="BA901" s="8"/>
      <c r="BB901" s="3"/>
      <c r="BC901" s="3"/>
      <c r="BD901" s="3"/>
      <c r="BE901" s="3"/>
    </row>
    <row r="902" spans="1:57" x14ac:dyDescent="0.25">
      <c r="A902" s="2"/>
      <c r="D902" s="3"/>
      <c r="E902" s="4"/>
      <c r="F902" s="5"/>
      <c r="G902" s="5"/>
      <c r="J902" s="3"/>
      <c r="K902" s="3"/>
      <c r="L902" s="6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5"/>
      <c r="AA902" s="3"/>
      <c r="AB902" s="3"/>
      <c r="AC902" s="3"/>
      <c r="AD902" s="5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7"/>
      <c r="AX902" s="7"/>
      <c r="AY902" s="7"/>
      <c r="AZ902" s="7"/>
      <c r="BA902" s="8"/>
      <c r="BB902" s="3"/>
      <c r="BC902" s="3"/>
      <c r="BD902" s="3"/>
      <c r="BE902" s="3"/>
    </row>
    <row r="903" spans="1:57" x14ac:dyDescent="0.25">
      <c r="A903" s="2"/>
      <c r="D903" s="3"/>
      <c r="E903" s="4"/>
      <c r="F903" s="5"/>
      <c r="G903" s="5"/>
      <c r="J903" s="3"/>
      <c r="K903" s="3"/>
      <c r="L903" s="6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5"/>
      <c r="AA903" s="3"/>
      <c r="AB903" s="3"/>
      <c r="AC903" s="3"/>
      <c r="AD903" s="5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7"/>
      <c r="AX903" s="7"/>
      <c r="AY903" s="7"/>
      <c r="AZ903" s="7"/>
      <c r="BA903" s="8"/>
      <c r="BB903" s="3"/>
      <c r="BC903" s="3"/>
      <c r="BD903" s="3"/>
      <c r="BE903" s="3"/>
    </row>
    <row r="904" spans="1:57" x14ac:dyDescent="0.25">
      <c r="A904" s="2"/>
      <c r="D904" s="3"/>
      <c r="E904" s="4"/>
      <c r="F904" s="5"/>
      <c r="G904" s="5"/>
      <c r="J904" s="3"/>
      <c r="K904" s="3"/>
      <c r="L904" s="6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5"/>
      <c r="AA904" s="3"/>
      <c r="AB904" s="3"/>
      <c r="AC904" s="3"/>
      <c r="AD904" s="5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7"/>
      <c r="AX904" s="7"/>
      <c r="AY904" s="7"/>
      <c r="AZ904" s="7"/>
      <c r="BA904" s="8"/>
      <c r="BB904" s="3"/>
      <c r="BC904" s="3"/>
      <c r="BD904" s="3"/>
      <c r="BE904" s="3"/>
    </row>
    <row r="905" spans="1:57" x14ac:dyDescent="0.25">
      <c r="A905" s="2"/>
      <c r="D905" s="3"/>
      <c r="E905" s="4"/>
      <c r="F905" s="5"/>
      <c r="G905" s="5"/>
      <c r="J905" s="3"/>
      <c r="K905" s="3"/>
      <c r="L905" s="6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5"/>
      <c r="AA905" s="3"/>
      <c r="AB905" s="3"/>
      <c r="AC905" s="3"/>
      <c r="AD905" s="5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7"/>
      <c r="AX905" s="7"/>
      <c r="AY905" s="7"/>
      <c r="AZ905" s="7"/>
      <c r="BA905" s="8"/>
      <c r="BB905" s="3"/>
      <c r="BC905" s="3"/>
      <c r="BD905" s="3"/>
      <c r="BE905" s="3"/>
    </row>
    <row r="906" spans="1:57" x14ac:dyDescent="0.25">
      <c r="A906" s="2"/>
      <c r="D906" s="3"/>
      <c r="E906" s="4"/>
      <c r="F906" s="5"/>
      <c r="G906" s="5"/>
      <c r="J906" s="3"/>
      <c r="K906" s="3"/>
      <c r="L906" s="6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5"/>
      <c r="AA906" s="3"/>
      <c r="AB906" s="3"/>
      <c r="AC906" s="3"/>
      <c r="AD906" s="5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7"/>
      <c r="AX906" s="7"/>
      <c r="AY906" s="7"/>
      <c r="AZ906" s="7"/>
      <c r="BA906" s="8"/>
      <c r="BB906" s="3"/>
      <c r="BC906" s="3"/>
      <c r="BD906" s="3"/>
      <c r="BE906" s="3"/>
    </row>
    <row r="907" spans="1:57" x14ac:dyDescent="0.25">
      <c r="A907" s="2"/>
      <c r="D907" s="3"/>
      <c r="E907" s="4"/>
      <c r="F907" s="5"/>
      <c r="G907" s="5"/>
      <c r="J907" s="3"/>
      <c r="K907" s="3"/>
      <c r="L907" s="6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5"/>
      <c r="AA907" s="3"/>
      <c r="AB907" s="3"/>
      <c r="AC907" s="3"/>
      <c r="AD907" s="5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7"/>
      <c r="AX907" s="7"/>
      <c r="AY907" s="7"/>
      <c r="AZ907" s="7"/>
      <c r="BA907" s="8"/>
      <c r="BB907" s="3"/>
      <c r="BC907" s="3"/>
      <c r="BD907" s="3"/>
      <c r="BE907" s="3"/>
    </row>
    <row r="908" spans="1:57" x14ac:dyDescent="0.25">
      <c r="A908" s="2"/>
      <c r="D908" s="3"/>
      <c r="E908" s="4"/>
      <c r="F908" s="5"/>
      <c r="G908" s="5"/>
      <c r="J908" s="3"/>
      <c r="K908" s="3"/>
      <c r="L908" s="6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5"/>
      <c r="AA908" s="3"/>
      <c r="AB908" s="3"/>
      <c r="AC908" s="3"/>
      <c r="AD908" s="5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7"/>
      <c r="AX908" s="7"/>
      <c r="AY908" s="7"/>
      <c r="AZ908" s="7"/>
      <c r="BA908" s="8"/>
      <c r="BB908" s="3"/>
      <c r="BC908" s="3"/>
      <c r="BD908" s="3"/>
      <c r="BE908" s="3"/>
    </row>
    <row r="909" spans="1:57" x14ac:dyDescent="0.25">
      <c r="A909" s="2"/>
      <c r="D909" s="3"/>
      <c r="E909" s="4"/>
      <c r="F909" s="5"/>
      <c r="G909" s="5"/>
      <c r="J909" s="3"/>
      <c r="K909" s="3"/>
      <c r="L909" s="6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5"/>
      <c r="AA909" s="3"/>
      <c r="AB909" s="3"/>
      <c r="AC909" s="3"/>
      <c r="AD909" s="5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7"/>
      <c r="AX909" s="7"/>
      <c r="AY909" s="7"/>
      <c r="AZ909" s="7"/>
      <c r="BA909" s="8"/>
      <c r="BB909" s="3"/>
      <c r="BC909" s="3"/>
      <c r="BD909" s="3"/>
      <c r="BE909" s="3"/>
    </row>
    <row r="910" spans="1:57" x14ac:dyDescent="0.25">
      <c r="A910" s="2"/>
      <c r="D910" s="3"/>
      <c r="E910" s="4"/>
      <c r="F910" s="5"/>
      <c r="G910" s="5"/>
      <c r="J910" s="3"/>
      <c r="K910" s="3"/>
      <c r="L910" s="6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5"/>
      <c r="AA910" s="3"/>
      <c r="AB910" s="3"/>
      <c r="AC910" s="3"/>
      <c r="AD910" s="5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7"/>
      <c r="AX910" s="7"/>
      <c r="AY910" s="7"/>
      <c r="AZ910" s="7"/>
      <c r="BA910" s="8"/>
      <c r="BB910" s="3"/>
      <c r="BC910" s="3"/>
      <c r="BD910" s="3"/>
      <c r="BE910" s="3"/>
    </row>
    <row r="911" spans="1:57" x14ac:dyDescent="0.25">
      <c r="A911" s="2"/>
      <c r="D911" s="3"/>
      <c r="E911" s="4"/>
      <c r="F911" s="5"/>
      <c r="G911" s="5"/>
      <c r="J911" s="3"/>
      <c r="K911" s="3"/>
      <c r="L911" s="6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5"/>
      <c r="AA911" s="3"/>
      <c r="AB911" s="3"/>
      <c r="AC911" s="3"/>
      <c r="AD911" s="5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7"/>
      <c r="AX911" s="7"/>
      <c r="AY911" s="7"/>
      <c r="AZ911" s="7"/>
      <c r="BA911" s="8"/>
      <c r="BB911" s="3"/>
      <c r="BC911" s="3"/>
      <c r="BD911" s="3"/>
      <c r="BE911" s="3"/>
    </row>
    <row r="912" spans="1:57" x14ac:dyDescent="0.25">
      <c r="A912" s="2"/>
      <c r="D912" s="3"/>
      <c r="E912" s="4"/>
      <c r="F912" s="5"/>
      <c r="G912" s="5"/>
      <c r="J912" s="3"/>
      <c r="K912" s="3"/>
      <c r="L912" s="6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5"/>
      <c r="AA912" s="3"/>
      <c r="AB912" s="3"/>
      <c r="AC912" s="3"/>
      <c r="AD912" s="5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7"/>
      <c r="AX912" s="7"/>
      <c r="AY912" s="7"/>
      <c r="AZ912" s="7"/>
      <c r="BA912" s="8"/>
      <c r="BB912" s="3"/>
      <c r="BC912" s="3"/>
      <c r="BD912" s="3"/>
      <c r="BE912" s="3"/>
    </row>
    <row r="913" spans="1:57" x14ac:dyDescent="0.25">
      <c r="A913" s="2"/>
      <c r="D913" s="3"/>
      <c r="E913" s="4"/>
      <c r="F913" s="5"/>
      <c r="G913" s="5"/>
      <c r="J913" s="3"/>
      <c r="K913" s="3"/>
      <c r="L913" s="6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5"/>
      <c r="AA913" s="3"/>
      <c r="AB913" s="3"/>
      <c r="AC913" s="3"/>
      <c r="AD913" s="5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7"/>
      <c r="AX913" s="7"/>
      <c r="AY913" s="7"/>
      <c r="AZ913" s="7"/>
      <c r="BA913" s="8"/>
      <c r="BB913" s="3"/>
      <c r="BC913" s="3"/>
      <c r="BD913" s="3"/>
      <c r="BE913" s="3"/>
    </row>
    <row r="914" spans="1:57" x14ac:dyDescent="0.25">
      <c r="A914" s="2"/>
      <c r="D914" s="3"/>
      <c r="E914" s="4"/>
      <c r="F914" s="5"/>
      <c r="G914" s="5"/>
      <c r="J914" s="3"/>
      <c r="K914" s="3"/>
      <c r="L914" s="6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5"/>
      <c r="AA914" s="3"/>
      <c r="AB914" s="3"/>
      <c r="AC914" s="3"/>
      <c r="AD914" s="5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7"/>
      <c r="AX914" s="7"/>
      <c r="AY914" s="7"/>
      <c r="AZ914" s="7"/>
      <c r="BA914" s="8"/>
      <c r="BB914" s="3"/>
      <c r="BC914" s="3"/>
      <c r="BD914" s="3"/>
      <c r="BE914" s="3"/>
    </row>
    <row r="915" spans="1:57" x14ac:dyDescent="0.25">
      <c r="A915" s="2"/>
      <c r="D915" s="3"/>
      <c r="E915" s="4"/>
      <c r="F915" s="5"/>
      <c r="G915" s="5"/>
      <c r="J915" s="3"/>
      <c r="K915" s="3"/>
      <c r="L915" s="6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5"/>
      <c r="AA915" s="3"/>
      <c r="AB915" s="3"/>
      <c r="AC915" s="3"/>
      <c r="AD915" s="5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7"/>
      <c r="AX915" s="7"/>
      <c r="AY915" s="7"/>
      <c r="AZ915" s="7"/>
      <c r="BA915" s="8"/>
      <c r="BB915" s="3"/>
      <c r="BC915" s="3"/>
      <c r="BD915" s="3"/>
      <c r="BE915" s="3"/>
    </row>
    <row r="916" spans="1:57" x14ac:dyDescent="0.25">
      <c r="A916" s="2"/>
      <c r="D916" s="3"/>
      <c r="E916" s="4"/>
      <c r="F916" s="5"/>
      <c r="G916" s="5"/>
      <c r="J916" s="3"/>
      <c r="K916" s="3"/>
      <c r="L916" s="6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5"/>
      <c r="AA916" s="3"/>
      <c r="AB916" s="3"/>
      <c r="AC916" s="3"/>
      <c r="AD916" s="5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7"/>
      <c r="AX916" s="7"/>
      <c r="AY916" s="7"/>
      <c r="AZ916" s="7"/>
      <c r="BA916" s="8"/>
      <c r="BB916" s="3"/>
      <c r="BC916" s="3"/>
      <c r="BD916" s="3"/>
      <c r="BE916" s="3"/>
    </row>
    <row r="917" spans="1:57" x14ac:dyDescent="0.25">
      <c r="A917" s="2"/>
      <c r="D917" s="3"/>
      <c r="E917" s="4"/>
      <c r="F917" s="5"/>
      <c r="G917" s="5"/>
      <c r="J917" s="3"/>
      <c r="K917" s="3"/>
      <c r="L917" s="6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5"/>
      <c r="AA917" s="3"/>
      <c r="AB917" s="3"/>
      <c r="AC917" s="3"/>
      <c r="AD917" s="5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7"/>
      <c r="AX917" s="7"/>
      <c r="AY917" s="7"/>
      <c r="AZ917" s="7"/>
      <c r="BA917" s="8"/>
      <c r="BB917" s="3"/>
      <c r="BC917" s="3"/>
      <c r="BD917" s="3"/>
      <c r="BE917" s="3"/>
    </row>
    <row r="918" spans="1:57" x14ac:dyDescent="0.25">
      <c r="A918" s="2"/>
      <c r="D918" s="3"/>
      <c r="E918" s="4"/>
      <c r="F918" s="5"/>
      <c r="G918" s="5"/>
      <c r="J918" s="3"/>
      <c r="K918" s="3"/>
      <c r="L918" s="6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5"/>
      <c r="AA918" s="3"/>
      <c r="AB918" s="3"/>
      <c r="AC918" s="3"/>
      <c r="AD918" s="5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7"/>
      <c r="AX918" s="7"/>
      <c r="AY918" s="7"/>
      <c r="AZ918" s="7"/>
      <c r="BA918" s="8"/>
      <c r="BB918" s="3"/>
      <c r="BC918" s="3"/>
      <c r="BD918" s="3"/>
      <c r="BE918" s="3"/>
    </row>
    <row r="919" spans="1:57" x14ac:dyDescent="0.25">
      <c r="A919" s="2"/>
      <c r="D919" s="3"/>
      <c r="E919" s="4"/>
      <c r="F919" s="5"/>
      <c r="G919" s="5"/>
      <c r="J919" s="3"/>
      <c r="K919" s="3"/>
      <c r="L919" s="6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5"/>
      <c r="AA919" s="3"/>
      <c r="AB919" s="3"/>
      <c r="AC919" s="3"/>
      <c r="AD919" s="5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7"/>
      <c r="AX919" s="7"/>
      <c r="AY919" s="7"/>
      <c r="AZ919" s="7"/>
      <c r="BA919" s="8"/>
      <c r="BB919" s="3"/>
      <c r="BC919" s="3"/>
      <c r="BD919" s="3"/>
      <c r="BE919" s="3"/>
    </row>
    <row r="920" spans="1:57" x14ac:dyDescent="0.25">
      <c r="A920" s="2"/>
      <c r="D920" s="3"/>
      <c r="E920" s="4"/>
      <c r="F920" s="5"/>
      <c r="G920" s="5"/>
      <c r="J920" s="3"/>
      <c r="K920" s="3"/>
      <c r="L920" s="6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5"/>
      <c r="AA920" s="3"/>
      <c r="AB920" s="3"/>
      <c r="AC920" s="3"/>
      <c r="AD920" s="5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7"/>
      <c r="AX920" s="7"/>
      <c r="AY920" s="7"/>
      <c r="AZ920" s="7"/>
      <c r="BA920" s="8"/>
      <c r="BB920" s="3"/>
      <c r="BC920" s="3"/>
      <c r="BD920" s="3"/>
      <c r="BE920" s="3"/>
    </row>
    <row r="921" spans="1:57" x14ac:dyDescent="0.25">
      <c r="A921" s="2"/>
      <c r="D921" s="3"/>
      <c r="E921" s="4"/>
      <c r="F921" s="5"/>
      <c r="G921" s="5"/>
      <c r="J921" s="3"/>
      <c r="K921" s="3"/>
      <c r="L921" s="6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5"/>
      <c r="AA921" s="3"/>
      <c r="AB921" s="3"/>
      <c r="AC921" s="3"/>
      <c r="AD921" s="5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7"/>
      <c r="AX921" s="7"/>
      <c r="AY921" s="7"/>
      <c r="AZ921" s="7"/>
      <c r="BA921" s="8"/>
      <c r="BB921" s="3"/>
      <c r="BC921" s="3"/>
      <c r="BD921" s="3"/>
      <c r="BE921" s="3"/>
    </row>
    <row r="922" spans="1:57" x14ac:dyDescent="0.25">
      <c r="A922" s="2"/>
      <c r="D922" s="3"/>
      <c r="E922" s="4"/>
      <c r="F922" s="5"/>
      <c r="G922" s="5"/>
      <c r="J922" s="3"/>
      <c r="K922" s="3"/>
      <c r="L922" s="6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5"/>
      <c r="AA922" s="3"/>
      <c r="AB922" s="3"/>
      <c r="AC922" s="3"/>
      <c r="AD922" s="5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7"/>
      <c r="AX922" s="7"/>
      <c r="AY922" s="7"/>
      <c r="AZ922" s="7"/>
      <c r="BA922" s="8"/>
      <c r="BB922" s="3"/>
      <c r="BC922" s="3"/>
      <c r="BD922" s="3"/>
      <c r="BE922" s="3"/>
    </row>
    <row r="923" spans="1:57" x14ac:dyDescent="0.25">
      <c r="A923" s="2"/>
      <c r="D923" s="3"/>
      <c r="E923" s="4"/>
      <c r="F923" s="5"/>
      <c r="G923" s="5"/>
      <c r="J923" s="3"/>
      <c r="K923" s="3"/>
      <c r="L923" s="6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5"/>
      <c r="AA923" s="3"/>
      <c r="AB923" s="3"/>
      <c r="AC923" s="3"/>
      <c r="AD923" s="5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7"/>
      <c r="AX923" s="7"/>
      <c r="AY923" s="7"/>
      <c r="AZ923" s="7"/>
      <c r="BA923" s="8"/>
      <c r="BB923" s="3"/>
      <c r="BC923" s="3"/>
      <c r="BD923" s="3"/>
      <c r="BE923" s="3"/>
    </row>
    <row r="924" spans="1:57" x14ac:dyDescent="0.25">
      <c r="A924" s="2"/>
      <c r="D924" s="3"/>
      <c r="E924" s="4"/>
      <c r="F924" s="5"/>
      <c r="G924" s="5"/>
      <c r="J924" s="3"/>
      <c r="K924" s="3"/>
      <c r="L924" s="6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5"/>
      <c r="AA924" s="3"/>
      <c r="AB924" s="3"/>
      <c r="AC924" s="3"/>
      <c r="AD924" s="5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7"/>
      <c r="AX924" s="7"/>
      <c r="AY924" s="7"/>
      <c r="AZ924" s="7"/>
      <c r="BA924" s="8"/>
      <c r="BB924" s="3"/>
      <c r="BC924" s="3"/>
      <c r="BD924" s="3"/>
      <c r="BE924" s="3"/>
    </row>
    <row r="925" spans="1:57" x14ac:dyDescent="0.25">
      <c r="A925" s="2"/>
      <c r="D925" s="3"/>
      <c r="E925" s="4"/>
      <c r="F925" s="5"/>
      <c r="G925" s="5"/>
      <c r="J925" s="3"/>
      <c r="K925" s="3"/>
      <c r="L925" s="6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5"/>
      <c r="AA925" s="3"/>
      <c r="AB925" s="3"/>
      <c r="AC925" s="3"/>
      <c r="AD925" s="5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7"/>
      <c r="AX925" s="7"/>
      <c r="AY925" s="7"/>
      <c r="AZ925" s="7"/>
      <c r="BA925" s="8"/>
      <c r="BB925" s="3"/>
      <c r="BC925" s="3"/>
      <c r="BD925" s="3"/>
      <c r="BE925" s="3"/>
    </row>
    <row r="926" spans="1:57" x14ac:dyDescent="0.25">
      <c r="A926" s="2"/>
      <c r="D926" s="3"/>
      <c r="E926" s="4"/>
      <c r="F926" s="5"/>
      <c r="G926" s="5"/>
      <c r="J926" s="3"/>
      <c r="K926" s="3"/>
      <c r="L926" s="6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5"/>
      <c r="AA926" s="3"/>
      <c r="AB926" s="3"/>
      <c r="AC926" s="3"/>
      <c r="AD926" s="5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7"/>
      <c r="AX926" s="7"/>
      <c r="AY926" s="7"/>
      <c r="AZ926" s="7"/>
      <c r="BA926" s="8"/>
      <c r="BB926" s="3"/>
      <c r="BC926" s="3"/>
      <c r="BD926" s="3"/>
      <c r="BE926" s="3"/>
    </row>
    <row r="927" spans="1:57" x14ac:dyDescent="0.25">
      <c r="A927" s="2"/>
      <c r="D927" s="3"/>
      <c r="E927" s="4"/>
      <c r="F927" s="5"/>
      <c r="G927" s="5"/>
      <c r="J927" s="3"/>
      <c r="K927" s="3"/>
      <c r="L927" s="6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5"/>
      <c r="AA927" s="3"/>
      <c r="AB927" s="3"/>
      <c r="AC927" s="3"/>
      <c r="AD927" s="5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7"/>
      <c r="AX927" s="7"/>
      <c r="AY927" s="7"/>
      <c r="AZ927" s="7"/>
      <c r="BA927" s="8"/>
      <c r="BB927" s="3"/>
      <c r="BC927" s="3"/>
      <c r="BD927" s="3"/>
      <c r="BE927" s="3"/>
    </row>
    <row r="928" spans="1:57" x14ac:dyDescent="0.25">
      <c r="A928" s="2"/>
      <c r="D928" s="3"/>
      <c r="E928" s="4"/>
      <c r="F928" s="5"/>
      <c r="G928" s="5"/>
      <c r="J928" s="3"/>
      <c r="K928" s="3"/>
      <c r="L928" s="6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5"/>
      <c r="AA928" s="3"/>
      <c r="AB928" s="3"/>
      <c r="AC928" s="3"/>
      <c r="AD928" s="5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7"/>
      <c r="AX928" s="7"/>
      <c r="AY928" s="7"/>
      <c r="AZ928" s="7"/>
      <c r="BA928" s="8"/>
      <c r="BB928" s="3"/>
      <c r="BC928" s="3"/>
      <c r="BD928" s="3"/>
      <c r="BE928" s="3"/>
    </row>
    <row r="929" spans="1:57" x14ac:dyDescent="0.25">
      <c r="A929" s="2"/>
      <c r="D929" s="3"/>
      <c r="E929" s="4"/>
      <c r="F929" s="5"/>
      <c r="G929" s="5"/>
      <c r="J929" s="3"/>
      <c r="K929" s="3"/>
      <c r="L929" s="6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5"/>
      <c r="AA929" s="3"/>
      <c r="AB929" s="3"/>
      <c r="AC929" s="3"/>
      <c r="AD929" s="5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7"/>
      <c r="AX929" s="7"/>
      <c r="AY929" s="7"/>
      <c r="AZ929" s="7"/>
      <c r="BA929" s="8"/>
      <c r="BB929" s="3"/>
      <c r="BC929" s="3"/>
      <c r="BD929" s="3"/>
      <c r="BE929" s="3"/>
    </row>
    <row r="930" spans="1:57" x14ac:dyDescent="0.25">
      <c r="A930" s="2"/>
      <c r="D930" s="3"/>
      <c r="E930" s="4"/>
      <c r="F930" s="5"/>
      <c r="G930" s="5"/>
      <c r="J930" s="3"/>
      <c r="K930" s="3"/>
      <c r="L930" s="6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5"/>
      <c r="AA930" s="3"/>
      <c r="AB930" s="3"/>
      <c r="AC930" s="3"/>
      <c r="AD930" s="5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7"/>
      <c r="AX930" s="7"/>
      <c r="AY930" s="7"/>
      <c r="AZ930" s="7"/>
      <c r="BA930" s="8"/>
      <c r="BB930" s="3"/>
      <c r="BC930" s="3"/>
      <c r="BD930" s="3"/>
      <c r="BE930" s="3"/>
    </row>
    <row r="931" spans="1:57" x14ac:dyDescent="0.25">
      <c r="A931" s="2"/>
      <c r="D931" s="3"/>
      <c r="E931" s="4"/>
      <c r="F931" s="5"/>
      <c r="G931" s="5"/>
      <c r="J931" s="3"/>
      <c r="K931" s="3"/>
      <c r="L931" s="6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5"/>
      <c r="AA931" s="3"/>
      <c r="AB931" s="3"/>
      <c r="AC931" s="3"/>
      <c r="AD931" s="5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7"/>
      <c r="AX931" s="7"/>
      <c r="AY931" s="7"/>
      <c r="AZ931" s="7"/>
      <c r="BA931" s="8"/>
      <c r="BB931" s="3"/>
      <c r="BC931" s="3"/>
      <c r="BD931" s="3"/>
      <c r="BE931" s="3"/>
    </row>
    <row r="932" spans="1:57" x14ac:dyDescent="0.25">
      <c r="A932" s="2"/>
      <c r="D932" s="3"/>
      <c r="E932" s="4"/>
      <c r="F932" s="5"/>
      <c r="G932" s="5"/>
      <c r="J932" s="3"/>
      <c r="K932" s="3"/>
      <c r="L932" s="6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5"/>
      <c r="AA932" s="3"/>
      <c r="AB932" s="3"/>
      <c r="AC932" s="3"/>
      <c r="AD932" s="5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7"/>
      <c r="AX932" s="7"/>
      <c r="AY932" s="7"/>
      <c r="AZ932" s="7"/>
      <c r="BA932" s="8"/>
      <c r="BB932" s="3"/>
      <c r="BC932" s="3"/>
      <c r="BD932" s="3"/>
      <c r="BE932" s="3"/>
    </row>
    <row r="933" spans="1:57" x14ac:dyDescent="0.25">
      <c r="A933" s="2"/>
      <c r="D933" s="3"/>
      <c r="E933" s="4"/>
      <c r="F933" s="5"/>
      <c r="G933" s="5"/>
      <c r="J933" s="3"/>
      <c r="K933" s="3"/>
      <c r="L933" s="6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5"/>
      <c r="AA933" s="3"/>
      <c r="AB933" s="3"/>
      <c r="AC933" s="3"/>
      <c r="AD933" s="5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7"/>
      <c r="AX933" s="7"/>
      <c r="AY933" s="7"/>
      <c r="AZ933" s="7"/>
      <c r="BA933" s="8"/>
      <c r="BB933" s="3"/>
      <c r="BC933" s="3"/>
      <c r="BD933" s="3"/>
      <c r="BE933" s="3"/>
    </row>
    <row r="934" spans="1:57" x14ac:dyDescent="0.25">
      <c r="A934" s="2"/>
      <c r="D934" s="3"/>
      <c r="E934" s="4"/>
      <c r="F934" s="5"/>
      <c r="G934" s="5"/>
      <c r="J934" s="3"/>
      <c r="K934" s="3"/>
      <c r="L934" s="6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5"/>
      <c r="AA934" s="3"/>
      <c r="AB934" s="3"/>
      <c r="AC934" s="3"/>
      <c r="AD934" s="5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7"/>
      <c r="AX934" s="7"/>
      <c r="AY934" s="7"/>
      <c r="AZ934" s="7"/>
      <c r="BA934" s="8"/>
      <c r="BB934" s="3"/>
      <c r="BC934" s="3"/>
      <c r="BD934" s="3"/>
      <c r="BE934" s="3"/>
    </row>
    <row r="935" spans="1:57" x14ac:dyDescent="0.25">
      <c r="A935" s="2"/>
      <c r="D935" s="3"/>
      <c r="E935" s="4"/>
      <c r="F935" s="5"/>
      <c r="G935" s="5"/>
      <c r="J935" s="3"/>
      <c r="K935" s="3"/>
      <c r="L935" s="6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5"/>
      <c r="AA935" s="3"/>
      <c r="AB935" s="3"/>
      <c r="AC935" s="3"/>
      <c r="AD935" s="5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7"/>
      <c r="AX935" s="7"/>
      <c r="AY935" s="7"/>
      <c r="AZ935" s="7"/>
      <c r="BA935" s="8"/>
      <c r="BB935" s="3"/>
      <c r="BC935" s="3"/>
      <c r="BD935" s="3"/>
      <c r="BE935" s="3"/>
    </row>
    <row r="936" spans="1:57" x14ac:dyDescent="0.25">
      <c r="A936" s="2"/>
      <c r="D936" s="3"/>
      <c r="E936" s="4"/>
      <c r="F936" s="5"/>
      <c r="G936" s="5"/>
      <c r="J936" s="3"/>
      <c r="K936" s="3"/>
      <c r="L936" s="6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5"/>
      <c r="AA936" s="3"/>
      <c r="AB936" s="3"/>
      <c r="AC936" s="3"/>
      <c r="AD936" s="5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7"/>
      <c r="AX936" s="7"/>
      <c r="AY936" s="7"/>
      <c r="AZ936" s="7"/>
      <c r="BA936" s="8"/>
      <c r="BB936" s="3"/>
      <c r="BC936" s="3"/>
      <c r="BD936" s="3"/>
      <c r="BE936" s="3"/>
    </row>
    <row r="937" spans="1:57" x14ac:dyDescent="0.25">
      <c r="A937" s="2"/>
      <c r="D937" s="3"/>
      <c r="E937" s="4"/>
      <c r="F937" s="5"/>
      <c r="G937" s="5"/>
      <c r="J937" s="3"/>
      <c r="K937" s="3"/>
      <c r="L937" s="6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5"/>
      <c r="AA937" s="3"/>
      <c r="AB937" s="3"/>
      <c r="AC937" s="3"/>
      <c r="AD937" s="5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7"/>
      <c r="AX937" s="7"/>
      <c r="AY937" s="7"/>
      <c r="AZ937" s="7"/>
      <c r="BA937" s="8"/>
      <c r="BB937" s="3"/>
      <c r="BC937" s="3"/>
      <c r="BD937" s="3"/>
      <c r="BE937" s="3"/>
    </row>
    <row r="938" spans="1:57" x14ac:dyDescent="0.25">
      <c r="A938" s="2"/>
      <c r="D938" s="3"/>
      <c r="E938" s="4"/>
      <c r="F938" s="5"/>
      <c r="G938" s="5"/>
      <c r="J938" s="3"/>
      <c r="K938" s="3"/>
      <c r="L938" s="6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5"/>
      <c r="AA938" s="3"/>
      <c r="AB938" s="3"/>
      <c r="AC938" s="3"/>
      <c r="AD938" s="5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7"/>
      <c r="AX938" s="7"/>
      <c r="AY938" s="7"/>
      <c r="AZ938" s="7"/>
      <c r="BA938" s="8"/>
      <c r="BB938" s="3"/>
      <c r="BC938" s="3"/>
      <c r="BD938" s="3"/>
      <c r="BE938" s="3"/>
    </row>
    <row r="939" spans="1:57" x14ac:dyDescent="0.25">
      <c r="A939" s="2"/>
      <c r="D939" s="3"/>
      <c r="E939" s="4"/>
      <c r="F939" s="5"/>
      <c r="G939" s="5"/>
      <c r="J939" s="3"/>
      <c r="K939" s="3"/>
      <c r="L939" s="6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5"/>
      <c r="AA939" s="3"/>
      <c r="AB939" s="3"/>
      <c r="AC939" s="3"/>
      <c r="AD939" s="5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7"/>
      <c r="AX939" s="7"/>
      <c r="AY939" s="7"/>
      <c r="AZ939" s="7"/>
      <c r="BA939" s="8"/>
      <c r="BB939" s="3"/>
      <c r="BC939" s="3"/>
      <c r="BD939" s="3"/>
      <c r="BE939" s="3"/>
    </row>
    <row r="940" spans="1:57" x14ac:dyDescent="0.25">
      <c r="A940" s="2"/>
      <c r="D940" s="3"/>
      <c r="E940" s="4"/>
      <c r="F940" s="5"/>
      <c r="G940" s="5"/>
      <c r="J940" s="3"/>
      <c r="K940" s="3"/>
      <c r="L940" s="6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5"/>
      <c r="AA940" s="3"/>
      <c r="AB940" s="3"/>
      <c r="AC940" s="3"/>
      <c r="AD940" s="5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7"/>
      <c r="AX940" s="7"/>
      <c r="AY940" s="7"/>
      <c r="AZ940" s="7"/>
      <c r="BA940" s="8"/>
      <c r="BB940" s="3"/>
      <c r="BC940" s="3"/>
      <c r="BD940" s="3"/>
      <c r="BE940" s="3"/>
    </row>
    <row r="941" spans="1:57" x14ac:dyDescent="0.25">
      <c r="A941" s="2"/>
      <c r="D941" s="3"/>
      <c r="E941" s="4"/>
      <c r="F941" s="5"/>
      <c r="G941" s="5"/>
      <c r="J941" s="3"/>
      <c r="K941" s="3"/>
      <c r="L941" s="6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5"/>
      <c r="AA941" s="3"/>
      <c r="AB941" s="3"/>
      <c r="AC941" s="3"/>
      <c r="AD941" s="5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7"/>
      <c r="AX941" s="7"/>
      <c r="AY941" s="7"/>
      <c r="AZ941" s="7"/>
      <c r="BA941" s="8"/>
      <c r="BB941" s="3"/>
      <c r="BC941" s="3"/>
      <c r="BD941" s="3"/>
      <c r="BE941" s="3"/>
    </row>
    <row r="942" spans="1:57" x14ac:dyDescent="0.25">
      <c r="A942" s="2"/>
      <c r="D942" s="3"/>
      <c r="E942" s="4"/>
      <c r="F942" s="5"/>
      <c r="G942" s="5"/>
      <c r="J942" s="3"/>
      <c r="K942" s="3"/>
      <c r="L942" s="6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5"/>
      <c r="AA942" s="3"/>
      <c r="AB942" s="3"/>
      <c r="AC942" s="3"/>
      <c r="AD942" s="5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7"/>
      <c r="AX942" s="7"/>
      <c r="AY942" s="7"/>
      <c r="AZ942" s="7"/>
      <c r="BA942" s="8"/>
      <c r="BB942" s="3"/>
      <c r="BC942" s="3"/>
      <c r="BD942" s="3"/>
      <c r="BE942" s="3"/>
    </row>
    <row r="943" spans="1:57" x14ac:dyDescent="0.25">
      <c r="A943" s="2"/>
      <c r="D943" s="3"/>
      <c r="E943" s="4"/>
      <c r="F943" s="5"/>
      <c r="G943" s="5"/>
      <c r="J943" s="3"/>
      <c r="K943" s="3"/>
      <c r="L943" s="6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5"/>
      <c r="AA943" s="3"/>
      <c r="AB943" s="3"/>
      <c r="AC943" s="3"/>
      <c r="AD943" s="5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7"/>
      <c r="AX943" s="7"/>
      <c r="AY943" s="7"/>
      <c r="AZ943" s="7"/>
      <c r="BA943" s="8"/>
      <c r="BB943" s="3"/>
      <c r="BC943" s="3"/>
      <c r="BD943" s="3"/>
      <c r="BE943" s="3"/>
    </row>
    <row r="944" spans="1:57" x14ac:dyDescent="0.25">
      <c r="A944" s="2"/>
      <c r="D944" s="3"/>
      <c r="E944" s="4"/>
      <c r="F944" s="5"/>
      <c r="G944" s="5"/>
      <c r="J944" s="3"/>
      <c r="K944" s="3"/>
      <c r="L944" s="6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5"/>
      <c r="AA944" s="3"/>
      <c r="AB944" s="3"/>
      <c r="AC944" s="3"/>
      <c r="AD944" s="5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7"/>
      <c r="AX944" s="7"/>
      <c r="AY944" s="7"/>
      <c r="AZ944" s="7"/>
      <c r="BA944" s="8"/>
      <c r="BB944" s="3"/>
      <c r="BC944" s="3"/>
      <c r="BD944" s="3"/>
      <c r="BE944" s="3"/>
    </row>
    <row r="945" spans="1:57" x14ac:dyDescent="0.25">
      <c r="A945" s="2"/>
      <c r="D945" s="3"/>
      <c r="E945" s="4"/>
      <c r="F945" s="5"/>
      <c r="G945" s="5"/>
      <c r="J945" s="3"/>
      <c r="K945" s="3"/>
      <c r="L945" s="6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5"/>
      <c r="AA945" s="3"/>
      <c r="AB945" s="3"/>
      <c r="AC945" s="3"/>
      <c r="AD945" s="5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7"/>
      <c r="AX945" s="7"/>
      <c r="AY945" s="7"/>
      <c r="AZ945" s="7"/>
      <c r="BA945" s="8"/>
      <c r="BB945" s="3"/>
      <c r="BC945" s="3"/>
      <c r="BD945" s="3"/>
      <c r="BE945" s="3"/>
    </row>
    <row r="946" spans="1:57" x14ac:dyDescent="0.25">
      <c r="A946" s="2"/>
      <c r="D946" s="3"/>
      <c r="E946" s="4"/>
      <c r="F946" s="5"/>
      <c r="G946" s="5"/>
      <c r="J946" s="3"/>
      <c r="K946" s="3"/>
      <c r="L946" s="6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5"/>
      <c r="AA946" s="3"/>
      <c r="AB946" s="3"/>
      <c r="AC946" s="3"/>
      <c r="AD946" s="5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7"/>
      <c r="AX946" s="7"/>
      <c r="AY946" s="7"/>
      <c r="AZ946" s="7"/>
      <c r="BA946" s="8"/>
      <c r="BB946" s="3"/>
      <c r="BC946" s="3"/>
      <c r="BD946" s="3"/>
      <c r="BE946" s="3"/>
    </row>
    <row r="947" spans="1:57" x14ac:dyDescent="0.25">
      <c r="A947" s="2"/>
      <c r="D947" s="3"/>
      <c r="E947" s="4"/>
      <c r="F947" s="5"/>
      <c r="G947" s="5"/>
      <c r="J947" s="3"/>
      <c r="K947" s="3"/>
      <c r="L947" s="6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5"/>
      <c r="AA947" s="3"/>
      <c r="AB947" s="3"/>
      <c r="AC947" s="3"/>
      <c r="AD947" s="5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7"/>
      <c r="AX947" s="7"/>
      <c r="AY947" s="7"/>
      <c r="AZ947" s="7"/>
      <c r="BA947" s="8"/>
      <c r="BB947" s="3"/>
      <c r="BC947" s="3"/>
      <c r="BD947" s="3"/>
      <c r="BE947" s="3"/>
    </row>
    <row r="948" spans="1:57" x14ac:dyDescent="0.25">
      <c r="A948" s="2"/>
      <c r="D948" s="3"/>
      <c r="E948" s="4"/>
      <c r="F948" s="5"/>
      <c r="G948" s="5"/>
      <c r="J948" s="3"/>
      <c r="K948" s="3"/>
      <c r="L948" s="6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5"/>
      <c r="AA948" s="3"/>
      <c r="AB948" s="3"/>
      <c r="AC948" s="3"/>
      <c r="AD948" s="5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7"/>
      <c r="AX948" s="7"/>
      <c r="AY948" s="7"/>
      <c r="AZ948" s="7"/>
      <c r="BA948" s="8"/>
      <c r="BB948" s="3"/>
      <c r="BC948" s="3"/>
      <c r="BD948" s="3"/>
      <c r="BE948" s="3"/>
    </row>
    <row r="949" spans="1:57" x14ac:dyDescent="0.25">
      <c r="A949" s="2"/>
      <c r="D949" s="3"/>
      <c r="E949" s="4"/>
      <c r="F949" s="5"/>
      <c r="G949" s="5"/>
      <c r="J949" s="3"/>
      <c r="K949" s="3"/>
      <c r="L949" s="6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5"/>
      <c r="AA949" s="3"/>
      <c r="AB949" s="3"/>
      <c r="AC949" s="3"/>
      <c r="AD949" s="5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7"/>
      <c r="AX949" s="7"/>
      <c r="AY949" s="7"/>
      <c r="AZ949" s="7"/>
      <c r="BA949" s="8"/>
      <c r="BB949" s="3"/>
      <c r="BC949" s="3"/>
      <c r="BD949" s="3"/>
      <c r="BE949" s="3"/>
    </row>
    <row r="950" spans="1:57" x14ac:dyDescent="0.25">
      <c r="A950" s="2"/>
      <c r="D950" s="3"/>
      <c r="E950" s="4"/>
      <c r="F950" s="5"/>
      <c r="G950" s="5"/>
      <c r="J950" s="3"/>
      <c r="K950" s="3"/>
      <c r="L950" s="6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5"/>
      <c r="AA950" s="3"/>
      <c r="AB950" s="3"/>
      <c r="AC950" s="3"/>
      <c r="AD950" s="5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7"/>
      <c r="AX950" s="7"/>
      <c r="AY950" s="7"/>
      <c r="AZ950" s="7"/>
      <c r="BA950" s="8"/>
      <c r="BB950" s="3"/>
      <c r="BC950" s="3"/>
      <c r="BD950" s="3"/>
      <c r="BE950" s="3"/>
    </row>
    <row r="951" spans="1:57" x14ac:dyDescent="0.25">
      <c r="A951" s="2"/>
      <c r="D951" s="3"/>
      <c r="E951" s="4"/>
      <c r="F951" s="5"/>
      <c r="G951" s="5"/>
      <c r="J951" s="3"/>
      <c r="K951" s="3"/>
      <c r="L951" s="6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5"/>
      <c r="AA951" s="3"/>
      <c r="AB951" s="3"/>
      <c r="AC951" s="3"/>
      <c r="AD951" s="5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7"/>
      <c r="AX951" s="7"/>
      <c r="AY951" s="7"/>
      <c r="AZ951" s="7"/>
      <c r="BA951" s="8"/>
      <c r="BB951" s="3"/>
      <c r="BC951" s="3"/>
      <c r="BD951" s="3"/>
      <c r="BE951" s="3"/>
    </row>
    <row r="952" spans="1:57" x14ac:dyDescent="0.25">
      <c r="A952" s="2"/>
      <c r="D952" s="3"/>
      <c r="E952" s="4"/>
      <c r="F952" s="5"/>
      <c r="G952" s="5"/>
      <c r="J952" s="3"/>
      <c r="K952" s="3"/>
      <c r="L952" s="6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5"/>
      <c r="AA952" s="3"/>
      <c r="AB952" s="3"/>
      <c r="AC952" s="3"/>
      <c r="AD952" s="5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7"/>
      <c r="AX952" s="7"/>
      <c r="AY952" s="7"/>
      <c r="AZ952" s="7"/>
      <c r="BA952" s="8"/>
      <c r="BB952" s="3"/>
      <c r="BC952" s="3"/>
      <c r="BD952" s="3"/>
      <c r="BE952" s="3"/>
    </row>
    <row r="953" spans="1:57" x14ac:dyDescent="0.25">
      <c r="A953" s="2"/>
      <c r="D953" s="3"/>
      <c r="E953" s="4"/>
      <c r="F953" s="5"/>
      <c r="G953" s="5"/>
      <c r="J953" s="3"/>
      <c r="K953" s="3"/>
      <c r="L953" s="6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5"/>
      <c r="AA953" s="3"/>
      <c r="AB953" s="3"/>
      <c r="AC953" s="3"/>
      <c r="AD953" s="5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7"/>
      <c r="AX953" s="7"/>
      <c r="AY953" s="7"/>
      <c r="AZ953" s="7"/>
      <c r="BA953" s="8"/>
      <c r="BB953" s="3"/>
      <c r="BC953" s="3"/>
      <c r="BD953" s="3"/>
      <c r="BE953" s="3"/>
    </row>
    <row r="954" spans="1:57" x14ac:dyDescent="0.25">
      <c r="A954" s="2"/>
      <c r="D954" s="3"/>
      <c r="E954" s="4"/>
      <c r="F954" s="5"/>
      <c r="G954" s="5"/>
      <c r="J954" s="3"/>
      <c r="K954" s="3"/>
      <c r="L954" s="6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5"/>
      <c r="AA954" s="3"/>
      <c r="AB954" s="3"/>
      <c r="AC954" s="3"/>
      <c r="AD954" s="5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7"/>
      <c r="AX954" s="7"/>
      <c r="AY954" s="7"/>
      <c r="AZ954" s="7"/>
      <c r="BA954" s="8"/>
      <c r="BB954" s="3"/>
      <c r="BC954" s="3"/>
      <c r="BD954" s="3"/>
      <c r="BE954" s="3"/>
    </row>
    <row r="955" spans="1:57" x14ac:dyDescent="0.25">
      <c r="A955" s="2"/>
      <c r="D955" s="3"/>
      <c r="E955" s="4"/>
      <c r="F955" s="5"/>
      <c r="G955" s="5"/>
      <c r="J955" s="3"/>
      <c r="K955" s="3"/>
      <c r="L955" s="6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5"/>
      <c r="AA955" s="3"/>
      <c r="AB955" s="3"/>
      <c r="AC955" s="3"/>
      <c r="AD955" s="5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7"/>
      <c r="AX955" s="7"/>
      <c r="AY955" s="7"/>
      <c r="AZ955" s="7"/>
      <c r="BA955" s="8"/>
      <c r="BB955" s="3"/>
      <c r="BC955" s="3"/>
      <c r="BD955" s="3"/>
      <c r="BE955" s="3"/>
    </row>
    <row r="956" spans="1:57" x14ac:dyDescent="0.25">
      <c r="A956" s="2"/>
      <c r="D956" s="3"/>
      <c r="E956" s="4"/>
      <c r="F956" s="5"/>
      <c r="G956" s="5"/>
      <c r="J956" s="3"/>
      <c r="K956" s="3"/>
      <c r="L956" s="6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5"/>
      <c r="AA956" s="3"/>
      <c r="AB956" s="3"/>
      <c r="AC956" s="3"/>
      <c r="AD956" s="5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7"/>
      <c r="AX956" s="7"/>
      <c r="AY956" s="7"/>
      <c r="AZ956" s="7"/>
      <c r="BA956" s="8"/>
      <c r="BB956" s="3"/>
      <c r="BC956" s="3"/>
      <c r="BD956" s="3"/>
      <c r="BE956" s="3"/>
    </row>
    <row r="957" spans="1:57" x14ac:dyDescent="0.25">
      <c r="A957" s="2"/>
      <c r="D957" s="3"/>
      <c r="E957" s="4"/>
      <c r="F957" s="5"/>
      <c r="G957" s="5"/>
      <c r="J957" s="3"/>
      <c r="K957" s="3"/>
      <c r="L957" s="6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5"/>
      <c r="AA957" s="3"/>
      <c r="AB957" s="3"/>
      <c r="AC957" s="3"/>
      <c r="AD957" s="5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7"/>
      <c r="AX957" s="7"/>
      <c r="AY957" s="7"/>
      <c r="AZ957" s="7"/>
      <c r="BA957" s="8"/>
      <c r="BB957" s="3"/>
      <c r="BC957" s="3"/>
      <c r="BD957" s="3"/>
      <c r="BE957" s="3"/>
    </row>
    <row r="958" spans="1:57" x14ac:dyDescent="0.25">
      <c r="A958" s="2"/>
      <c r="D958" s="3"/>
      <c r="E958" s="4"/>
      <c r="F958" s="5"/>
      <c r="G958" s="5"/>
      <c r="J958" s="3"/>
      <c r="K958" s="3"/>
      <c r="L958" s="6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5"/>
      <c r="AA958" s="3"/>
      <c r="AB958" s="3"/>
      <c r="AC958" s="3"/>
      <c r="AD958" s="5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7"/>
      <c r="AX958" s="7"/>
      <c r="AY958" s="7"/>
      <c r="AZ958" s="7"/>
      <c r="BA958" s="8"/>
      <c r="BB958" s="3"/>
      <c r="BC958" s="3"/>
      <c r="BD958" s="3"/>
      <c r="BE958" s="3"/>
    </row>
    <row r="959" spans="1:57" x14ac:dyDescent="0.25">
      <c r="A959" s="2"/>
      <c r="D959" s="3"/>
      <c r="E959" s="4"/>
      <c r="F959" s="5"/>
      <c r="G959" s="5"/>
      <c r="J959" s="3"/>
      <c r="K959" s="3"/>
      <c r="L959" s="6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5"/>
      <c r="AA959" s="3"/>
      <c r="AB959" s="3"/>
      <c r="AC959" s="3"/>
      <c r="AD959" s="5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7"/>
      <c r="AX959" s="7"/>
      <c r="AY959" s="7"/>
      <c r="AZ959" s="7"/>
      <c r="BA959" s="8"/>
      <c r="BB959" s="3"/>
      <c r="BC959" s="3"/>
      <c r="BD959" s="3"/>
      <c r="BE959" s="3"/>
    </row>
    <row r="960" spans="1:57" x14ac:dyDescent="0.25">
      <c r="A960" s="2"/>
      <c r="D960" s="3"/>
      <c r="E960" s="4"/>
      <c r="F960" s="5"/>
      <c r="G960" s="5"/>
      <c r="J960" s="3"/>
      <c r="K960" s="3"/>
      <c r="L960" s="6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5"/>
      <c r="AA960" s="3"/>
      <c r="AB960" s="3"/>
      <c r="AC960" s="3"/>
      <c r="AD960" s="5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7"/>
      <c r="AX960" s="7"/>
      <c r="AY960" s="7"/>
      <c r="AZ960" s="7"/>
      <c r="BA960" s="8"/>
      <c r="BB960" s="3"/>
      <c r="BC960" s="3"/>
      <c r="BD960" s="3"/>
      <c r="BE960" s="3"/>
    </row>
    <row r="961" spans="1:57" x14ac:dyDescent="0.25">
      <c r="A961" s="2"/>
      <c r="D961" s="3"/>
      <c r="E961" s="4"/>
      <c r="F961" s="5"/>
      <c r="G961" s="5"/>
      <c r="J961" s="3"/>
      <c r="K961" s="3"/>
      <c r="L961" s="6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5"/>
      <c r="AA961" s="3"/>
      <c r="AB961" s="3"/>
      <c r="AC961" s="3"/>
      <c r="AD961" s="5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7"/>
      <c r="AX961" s="7"/>
      <c r="AY961" s="7"/>
      <c r="AZ961" s="7"/>
      <c r="BA961" s="8"/>
      <c r="BB961" s="3"/>
      <c r="BC961" s="3"/>
      <c r="BD961" s="3"/>
      <c r="BE961" s="3"/>
    </row>
    <row r="962" spans="1:57" x14ac:dyDescent="0.25">
      <c r="A962" s="2"/>
      <c r="D962" s="3"/>
      <c r="E962" s="4"/>
      <c r="F962" s="5"/>
      <c r="G962" s="5"/>
      <c r="J962" s="3"/>
      <c r="K962" s="3"/>
      <c r="L962" s="6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5"/>
      <c r="AA962" s="3"/>
      <c r="AB962" s="3"/>
      <c r="AC962" s="3"/>
      <c r="AD962" s="5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7"/>
      <c r="AX962" s="7"/>
      <c r="AY962" s="7"/>
      <c r="AZ962" s="7"/>
      <c r="BA962" s="8"/>
      <c r="BB962" s="3"/>
      <c r="BC962" s="3"/>
      <c r="BD962" s="3"/>
      <c r="BE962" s="3"/>
    </row>
    <row r="963" spans="1:57" x14ac:dyDescent="0.25">
      <c r="A963" s="2"/>
      <c r="D963" s="3"/>
      <c r="E963" s="4"/>
      <c r="F963" s="5"/>
      <c r="G963" s="5"/>
      <c r="J963" s="3"/>
      <c r="K963" s="3"/>
      <c r="L963" s="6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5"/>
      <c r="AA963" s="3"/>
      <c r="AB963" s="3"/>
      <c r="AC963" s="3"/>
      <c r="AD963" s="5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7"/>
      <c r="AX963" s="7"/>
      <c r="AY963" s="7"/>
      <c r="AZ963" s="7"/>
      <c r="BA963" s="8"/>
      <c r="BB963" s="3"/>
      <c r="BC963" s="3"/>
      <c r="BD963" s="3"/>
      <c r="BE963" s="3"/>
    </row>
    <row r="964" spans="1:57" x14ac:dyDescent="0.25">
      <c r="A964" s="2"/>
      <c r="D964" s="3"/>
      <c r="E964" s="4"/>
      <c r="F964" s="5"/>
      <c r="G964" s="5"/>
      <c r="J964" s="3"/>
      <c r="K964" s="3"/>
      <c r="L964" s="6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5"/>
      <c r="AA964" s="3"/>
      <c r="AB964" s="3"/>
      <c r="AC964" s="3"/>
      <c r="AD964" s="5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7"/>
      <c r="AX964" s="7"/>
      <c r="AY964" s="7"/>
      <c r="AZ964" s="7"/>
      <c r="BA964" s="8"/>
      <c r="BB964" s="3"/>
      <c r="BC964" s="3"/>
      <c r="BD964" s="3"/>
      <c r="BE964" s="3"/>
    </row>
    <row r="965" spans="1:57" x14ac:dyDescent="0.25">
      <c r="A965" s="2"/>
      <c r="D965" s="3"/>
      <c r="E965" s="4"/>
      <c r="F965" s="5"/>
      <c r="G965" s="5"/>
      <c r="J965" s="3"/>
      <c r="K965" s="3"/>
      <c r="L965" s="6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5"/>
      <c r="AA965" s="3"/>
      <c r="AB965" s="3"/>
      <c r="AC965" s="3"/>
      <c r="AD965" s="5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7"/>
      <c r="AX965" s="7"/>
      <c r="AY965" s="7"/>
      <c r="AZ965" s="7"/>
      <c r="BA965" s="8"/>
      <c r="BB965" s="3"/>
      <c r="BC965" s="3"/>
      <c r="BD965" s="3"/>
      <c r="BE965" s="3"/>
    </row>
    <row r="966" spans="1:57" x14ac:dyDescent="0.25">
      <c r="A966" s="2"/>
      <c r="D966" s="3"/>
      <c r="E966" s="4"/>
      <c r="F966" s="5"/>
      <c r="G966" s="5"/>
      <c r="J966" s="3"/>
      <c r="K966" s="3"/>
      <c r="L966" s="6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5"/>
      <c r="AA966" s="3"/>
      <c r="AB966" s="3"/>
      <c r="AC966" s="3"/>
      <c r="AD966" s="5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7"/>
      <c r="AX966" s="7"/>
      <c r="AY966" s="7"/>
      <c r="AZ966" s="7"/>
      <c r="BA966" s="8"/>
      <c r="BB966" s="3"/>
      <c r="BC966" s="3"/>
      <c r="BD966" s="3"/>
      <c r="BE966" s="3"/>
    </row>
    <row r="967" spans="1:57" x14ac:dyDescent="0.25">
      <c r="A967" s="2"/>
      <c r="D967" s="3"/>
      <c r="E967" s="4"/>
      <c r="F967" s="5"/>
      <c r="G967" s="5"/>
      <c r="J967" s="3"/>
      <c r="K967" s="3"/>
      <c r="L967" s="6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5"/>
      <c r="AA967" s="3"/>
      <c r="AB967" s="3"/>
      <c r="AC967" s="3"/>
      <c r="AD967" s="5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7"/>
      <c r="AX967" s="7"/>
      <c r="AY967" s="7"/>
      <c r="AZ967" s="7"/>
      <c r="BA967" s="8"/>
      <c r="BB967" s="3"/>
      <c r="BC967" s="3"/>
      <c r="BD967" s="3"/>
      <c r="BE967" s="3"/>
    </row>
    <row r="968" spans="1:57" x14ac:dyDescent="0.25">
      <c r="A968" s="2"/>
      <c r="D968" s="3"/>
      <c r="E968" s="4"/>
      <c r="F968" s="5"/>
      <c r="G968" s="5"/>
      <c r="J968" s="3"/>
      <c r="K968" s="3"/>
      <c r="L968" s="6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5"/>
      <c r="AA968" s="3"/>
      <c r="AB968" s="3"/>
      <c r="AC968" s="3"/>
      <c r="AD968" s="5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7"/>
      <c r="AX968" s="7"/>
      <c r="AY968" s="7"/>
      <c r="AZ968" s="7"/>
      <c r="BA968" s="8"/>
      <c r="BB968" s="3"/>
      <c r="BC968" s="3"/>
      <c r="BD968" s="3"/>
      <c r="BE968" s="3"/>
    </row>
    <row r="969" spans="1:57" x14ac:dyDescent="0.25">
      <c r="A969" s="2"/>
      <c r="D969" s="3"/>
      <c r="E969" s="4"/>
      <c r="F969" s="5"/>
      <c r="G969" s="5"/>
      <c r="J969" s="3"/>
      <c r="K969" s="3"/>
      <c r="L969" s="6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5"/>
      <c r="AA969" s="3"/>
      <c r="AB969" s="3"/>
      <c r="AC969" s="3"/>
      <c r="AD969" s="5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7"/>
      <c r="AX969" s="7"/>
      <c r="AY969" s="7"/>
      <c r="AZ969" s="7"/>
      <c r="BA969" s="8"/>
      <c r="BB969" s="3"/>
      <c r="BC969" s="3"/>
      <c r="BD969" s="3"/>
      <c r="BE969" s="3"/>
    </row>
    <row r="970" spans="1:57" x14ac:dyDescent="0.25">
      <c r="A970" s="2"/>
      <c r="D970" s="3"/>
      <c r="E970" s="4"/>
      <c r="F970" s="5"/>
      <c r="G970" s="5"/>
      <c r="J970" s="3"/>
      <c r="K970" s="3"/>
      <c r="L970" s="6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5"/>
      <c r="AA970" s="3"/>
      <c r="AB970" s="3"/>
      <c r="AC970" s="3"/>
      <c r="AD970" s="5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7"/>
      <c r="AX970" s="7"/>
      <c r="AY970" s="7"/>
      <c r="AZ970" s="7"/>
      <c r="BA970" s="8"/>
      <c r="BB970" s="3"/>
      <c r="BC970" s="3"/>
      <c r="BD970" s="3"/>
      <c r="BE970" s="3"/>
    </row>
    <row r="971" spans="1:57" x14ac:dyDescent="0.25">
      <c r="A971" s="2"/>
      <c r="D971" s="3"/>
      <c r="E971" s="4"/>
      <c r="F971" s="5"/>
      <c r="G971" s="5"/>
      <c r="J971" s="3"/>
      <c r="K971" s="3"/>
      <c r="L971" s="6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5"/>
      <c r="AA971" s="3"/>
      <c r="AB971" s="3"/>
      <c r="AC971" s="3"/>
      <c r="AD971" s="5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7"/>
      <c r="AX971" s="7"/>
      <c r="AY971" s="7"/>
      <c r="AZ971" s="7"/>
      <c r="BA971" s="8"/>
      <c r="BB971" s="3"/>
      <c r="BC971" s="3"/>
      <c r="BD971" s="3"/>
      <c r="BE971" s="3"/>
    </row>
    <row r="972" spans="1:57" x14ac:dyDescent="0.25">
      <c r="A972" s="2"/>
      <c r="D972" s="3"/>
      <c r="E972" s="4"/>
      <c r="F972" s="5"/>
      <c r="G972" s="5"/>
      <c r="J972" s="3"/>
      <c r="K972" s="3"/>
      <c r="L972" s="6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5"/>
      <c r="AA972" s="3"/>
      <c r="AB972" s="3"/>
      <c r="AC972" s="3"/>
      <c r="AD972" s="5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7"/>
      <c r="AX972" s="7"/>
      <c r="AY972" s="7"/>
      <c r="AZ972" s="7"/>
      <c r="BA972" s="8"/>
      <c r="BB972" s="3"/>
      <c r="BC972" s="3"/>
      <c r="BD972" s="3"/>
      <c r="BE972" s="3"/>
    </row>
    <row r="973" spans="1:57" x14ac:dyDescent="0.25">
      <c r="A973" s="2"/>
      <c r="D973" s="3"/>
      <c r="E973" s="4"/>
      <c r="F973" s="5"/>
      <c r="G973" s="5"/>
      <c r="J973" s="3"/>
      <c r="K973" s="3"/>
      <c r="L973" s="6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5"/>
      <c r="AA973" s="3"/>
      <c r="AB973" s="3"/>
      <c r="AC973" s="3"/>
      <c r="AD973" s="5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7"/>
      <c r="AX973" s="7"/>
      <c r="AY973" s="7"/>
      <c r="AZ973" s="7"/>
      <c r="BA973" s="8"/>
      <c r="BB973" s="3"/>
      <c r="BC973" s="3"/>
      <c r="BD973" s="3"/>
      <c r="BE973" s="3"/>
    </row>
    <row r="974" spans="1:57" x14ac:dyDescent="0.25">
      <c r="A974" s="2"/>
      <c r="D974" s="3"/>
      <c r="E974" s="4"/>
      <c r="F974" s="5"/>
      <c r="G974" s="5"/>
      <c r="J974" s="3"/>
      <c r="K974" s="3"/>
      <c r="L974" s="6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5"/>
      <c r="AA974" s="3"/>
      <c r="AB974" s="3"/>
      <c r="AC974" s="3"/>
      <c r="AD974" s="5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7"/>
      <c r="AX974" s="7"/>
      <c r="AY974" s="7"/>
      <c r="AZ974" s="7"/>
      <c r="BA974" s="8"/>
      <c r="BB974" s="3"/>
      <c r="BC974" s="3"/>
      <c r="BD974" s="3"/>
      <c r="BE974" s="3"/>
    </row>
    <row r="975" spans="1:57" x14ac:dyDescent="0.25">
      <c r="A975" s="2"/>
      <c r="D975" s="3"/>
      <c r="E975" s="4"/>
      <c r="F975" s="5"/>
      <c r="G975" s="5"/>
      <c r="J975" s="3"/>
      <c r="K975" s="3"/>
      <c r="L975" s="6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5"/>
      <c r="AA975" s="3"/>
      <c r="AB975" s="3"/>
      <c r="AC975" s="3"/>
      <c r="AD975" s="5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7"/>
      <c r="AX975" s="7"/>
      <c r="AY975" s="7"/>
      <c r="AZ975" s="7"/>
      <c r="BA975" s="8"/>
      <c r="BB975" s="3"/>
      <c r="BC975" s="3"/>
      <c r="BD975" s="3"/>
      <c r="BE975" s="3"/>
    </row>
    <row r="976" spans="1:57" x14ac:dyDescent="0.25">
      <c r="A976" s="2"/>
      <c r="D976" s="3"/>
      <c r="E976" s="4"/>
      <c r="F976" s="5"/>
      <c r="G976" s="5"/>
      <c r="J976" s="3"/>
      <c r="K976" s="3"/>
      <c r="L976" s="6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5"/>
      <c r="AA976" s="3"/>
      <c r="AB976" s="3"/>
      <c r="AC976" s="3"/>
      <c r="AD976" s="5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7"/>
      <c r="AX976" s="7"/>
      <c r="AY976" s="7"/>
      <c r="AZ976" s="7"/>
      <c r="BA976" s="8"/>
      <c r="BB976" s="3"/>
      <c r="BC976" s="3"/>
      <c r="BD976" s="3"/>
      <c r="BE976" s="3"/>
    </row>
    <row r="977" spans="1:57" x14ac:dyDescent="0.25">
      <c r="A977" s="2"/>
      <c r="D977" s="3"/>
      <c r="E977" s="4"/>
      <c r="F977" s="5"/>
      <c r="G977" s="5"/>
      <c r="J977" s="3"/>
      <c r="K977" s="3"/>
      <c r="L977" s="6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5"/>
      <c r="AA977" s="3"/>
      <c r="AB977" s="3"/>
      <c r="AC977" s="3"/>
      <c r="AD977" s="5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7"/>
      <c r="AX977" s="7"/>
      <c r="AY977" s="7"/>
      <c r="AZ977" s="7"/>
      <c r="BA977" s="8"/>
      <c r="BB977" s="3"/>
      <c r="BC977" s="3"/>
      <c r="BD977" s="3"/>
      <c r="BE977" s="3"/>
    </row>
    <row r="978" spans="1:57" x14ac:dyDescent="0.25">
      <c r="A978" s="2"/>
      <c r="D978" s="3"/>
      <c r="E978" s="4"/>
      <c r="F978" s="5"/>
      <c r="G978" s="5"/>
      <c r="J978" s="3"/>
      <c r="K978" s="3"/>
      <c r="L978" s="6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5"/>
      <c r="AA978" s="3"/>
      <c r="AB978" s="3"/>
      <c r="AC978" s="3"/>
      <c r="AD978" s="5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7"/>
      <c r="AX978" s="7"/>
      <c r="AY978" s="7"/>
      <c r="AZ978" s="7"/>
      <c r="BA978" s="8"/>
      <c r="BB978" s="3"/>
      <c r="BC978" s="3"/>
      <c r="BD978" s="3"/>
      <c r="BE978" s="3"/>
    </row>
    <row r="979" spans="1:57" x14ac:dyDescent="0.25">
      <c r="A979" s="2"/>
      <c r="D979" s="3"/>
      <c r="E979" s="4"/>
      <c r="F979" s="5"/>
      <c r="G979" s="5"/>
      <c r="J979" s="3"/>
      <c r="K979" s="3"/>
      <c r="L979" s="6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5"/>
      <c r="AA979" s="3"/>
      <c r="AB979" s="3"/>
      <c r="AC979" s="3"/>
      <c r="AD979" s="5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7"/>
      <c r="AX979" s="7"/>
      <c r="AY979" s="7"/>
      <c r="AZ979" s="7"/>
      <c r="BA979" s="8"/>
      <c r="BB979" s="3"/>
      <c r="BC979" s="3"/>
      <c r="BD979" s="3"/>
      <c r="BE979" s="3"/>
    </row>
    <row r="980" spans="1:57" x14ac:dyDescent="0.25">
      <c r="A980" s="2"/>
      <c r="D980" s="3"/>
      <c r="E980" s="4"/>
      <c r="F980" s="5"/>
      <c r="G980" s="5"/>
      <c r="J980" s="3"/>
      <c r="K980" s="3"/>
      <c r="L980" s="6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5"/>
      <c r="AA980" s="3"/>
      <c r="AB980" s="3"/>
      <c r="AC980" s="3"/>
      <c r="AD980" s="5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7"/>
      <c r="AX980" s="7"/>
      <c r="AY980" s="7"/>
      <c r="AZ980" s="7"/>
      <c r="BA980" s="8"/>
      <c r="BB980" s="3"/>
      <c r="BC980" s="3"/>
      <c r="BD980" s="3"/>
      <c r="BE980" s="3"/>
    </row>
    <row r="981" spans="1:57" x14ac:dyDescent="0.25">
      <c r="A981" s="2"/>
      <c r="D981" s="3"/>
      <c r="E981" s="4"/>
      <c r="F981" s="5"/>
      <c r="G981" s="5"/>
      <c r="J981" s="3"/>
      <c r="K981" s="3"/>
      <c r="L981" s="6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5"/>
      <c r="AA981" s="3"/>
      <c r="AB981" s="3"/>
      <c r="AC981" s="3"/>
      <c r="AD981" s="5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7"/>
      <c r="AX981" s="7"/>
      <c r="AY981" s="7"/>
      <c r="AZ981" s="7"/>
      <c r="BA981" s="8"/>
      <c r="BB981" s="3"/>
      <c r="BC981" s="3"/>
      <c r="BD981" s="3"/>
      <c r="BE981" s="3"/>
    </row>
    <row r="982" spans="1:57" x14ac:dyDescent="0.25">
      <c r="A982" s="2"/>
      <c r="D982" s="3"/>
      <c r="E982" s="4"/>
      <c r="F982" s="5"/>
      <c r="G982" s="5"/>
      <c r="J982" s="3"/>
      <c r="K982" s="3"/>
      <c r="L982" s="6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5"/>
      <c r="AA982" s="3"/>
      <c r="AB982" s="3"/>
      <c r="AC982" s="3"/>
      <c r="AD982" s="5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7"/>
      <c r="AX982" s="7"/>
      <c r="AY982" s="7"/>
      <c r="AZ982" s="7"/>
      <c r="BA982" s="8"/>
      <c r="BB982" s="3"/>
      <c r="BC982" s="3"/>
      <c r="BD982" s="3"/>
      <c r="BE982" s="3"/>
    </row>
    <row r="983" spans="1:57" x14ac:dyDescent="0.25">
      <c r="A983" s="2"/>
      <c r="D983" s="3"/>
      <c r="E983" s="4"/>
      <c r="F983" s="5"/>
      <c r="G983" s="5"/>
      <c r="J983" s="3"/>
      <c r="K983" s="3"/>
      <c r="L983" s="6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5"/>
      <c r="AA983" s="3"/>
      <c r="AB983" s="3"/>
      <c r="AC983" s="3"/>
      <c r="AD983" s="5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7"/>
      <c r="AX983" s="7"/>
      <c r="AY983" s="7"/>
      <c r="AZ983" s="7"/>
      <c r="BA983" s="8"/>
      <c r="BB983" s="3"/>
      <c r="BC983" s="3"/>
      <c r="BD983" s="3"/>
      <c r="BE983" s="3"/>
    </row>
    <row r="984" spans="1:57" x14ac:dyDescent="0.25">
      <c r="A984" s="2"/>
      <c r="D984" s="3"/>
      <c r="E984" s="4"/>
      <c r="F984" s="5"/>
      <c r="G984" s="5"/>
      <c r="J984" s="3"/>
      <c r="K984" s="3"/>
      <c r="L984" s="6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5"/>
      <c r="AA984" s="3"/>
      <c r="AB984" s="3"/>
      <c r="AC984" s="3"/>
      <c r="AD984" s="5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7"/>
      <c r="AX984" s="7"/>
      <c r="AY984" s="7"/>
      <c r="AZ984" s="7"/>
      <c r="BA984" s="8"/>
      <c r="BB984" s="3"/>
      <c r="BC984" s="3"/>
      <c r="BD984" s="3"/>
      <c r="BE984" s="3"/>
    </row>
    <row r="985" spans="1:57" x14ac:dyDescent="0.25">
      <c r="A985" s="2"/>
      <c r="D985" s="3"/>
      <c r="E985" s="4"/>
      <c r="F985" s="5"/>
      <c r="G985" s="5"/>
      <c r="J985" s="3"/>
      <c r="K985" s="3"/>
      <c r="L985" s="6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5"/>
      <c r="AA985" s="3"/>
      <c r="AB985" s="3"/>
      <c r="AC985" s="3"/>
      <c r="AD985" s="5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7"/>
      <c r="AX985" s="7"/>
      <c r="AY985" s="7"/>
      <c r="AZ985" s="7"/>
      <c r="BA985" s="8"/>
      <c r="BB985" s="3"/>
      <c r="BC985" s="3"/>
      <c r="BD985" s="3"/>
      <c r="BE985" s="3"/>
    </row>
    <row r="986" spans="1:57" x14ac:dyDescent="0.25">
      <c r="A986" s="2"/>
      <c r="D986" s="3"/>
      <c r="E986" s="4"/>
      <c r="F986" s="5"/>
      <c r="G986" s="5"/>
      <c r="J986" s="3"/>
      <c r="K986" s="3"/>
      <c r="L986" s="6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5"/>
      <c r="AA986" s="3"/>
      <c r="AB986" s="3"/>
      <c r="AC986" s="3"/>
      <c r="AD986" s="5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7"/>
      <c r="AX986" s="7"/>
      <c r="AY986" s="7"/>
      <c r="AZ986" s="7"/>
      <c r="BA986" s="8"/>
      <c r="BB986" s="3"/>
      <c r="BC986" s="3"/>
      <c r="BD986" s="3"/>
      <c r="BE986" s="3"/>
    </row>
    <row r="987" spans="1:57" x14ac:dyDescent="0.25">
      <c r="A987" s="2"/>
      <c r="D987" s="3"/>
      <c r="E987" s="4"/>
      <c r="F987" s="5"/>
      <c r="G987" s="5"/>
      <c r="J987" s="3"/>
      <c r="K987" s="3"/>
      <c r="L987" s="6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5"/>
      <c r="AA987" s="3"/>
      <c r="AB987" s="3"/>
      <c r="AC987" s="3"/>
      <c r="AD987" s="5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7"/>
      <c r="AX987" s="7"/>
      <c r="AY987" s="7"/>
      <c r="AZ987" s="7"/>
      <c r="BA987" s="8"/>
      <c r="BB987" s="3"/>
      <c r="BC987" s="3"/>
      <c r="BD987" s="3"/>
      <c r="BE987" s="3"/>
    </row>
    <row r="988" spans="1:57" x14ac:dyDescent="0.25">
      <c r="A988" s="2"/>
      <c r="D988" s="3"/>
      <c r="E988" s="4"/>
      <c r="F988" s="5"/>
      <c r="G988" s="5"/>
      <c r="J988" s="3"/>
      <c r="K988" s="3"/>
      <c r="L988" s="6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5"/>
      <c r="AA988" s="3"/>
      <c r="AB988" s="3"/>
      <c r="AC988" s="3"/>
      <c r="AD988" s="5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7"/>
      <c r="AX988" s="7"/>
      <c r="AY988" s="7"/>
      <c r="AZ988" s="7"/>
      <c r="BA988" s="8"/>
      <c r="BB988" s="3"/>
      <c r="BC988" s="3"/>
      <c r="BD988" s="3"/>
      <c r="BE988" s="3"/>
    </row>
    <row r="989" spans="1:57" x14ac:dyDescent="0.25">
      <c r="A989" s="2"/>
      <c r="D989" s="3"/>
      <c r="E989" s="4"/>
      <c r="F989" s="5"/>
      <c r="G989" s="5"/>
      <c r="J989" s="3"/>
      <c r="K989" s="3"/>
      <c r="L989" s="6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5"/>
      <c r="AA989" s="3"/>
      <c r="AB989" s="3"/>
      <c r="AC989" s="3"/>
      <c r="AD989" s="5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7"/>
      <c r="AX989" s="7"/>
      <c r="AY989" s="7"/>
      <c r="AZ989" s="7"/>
      <c r="BA989" s="8"/>
      <c r="BB989" s="3"/>
      <c r="BC989" s="3"/>
      <c r="BD989" s="3"/>
      <c r="BE989" s="3"/>
    </row>
    <row r="990" spans="1:57" x14ac:dyDescent="0.25">
      <c r="A990" s="2"/>
      <c r="D990" s="3"/>
      <c r="E990" s="4"/>
      <c r="F990" s="5"/>
      <c r="G990" s="5"/>
      <c r="J990" s="3"/>
      <c r="K990" s="3"/>
      <c r="L990" s="6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5"/>
      <c r="AA990" s="3"/>
      <c r="AB990" s="3"/>
      <c r="AC990" s="3"/>
      <c r="AD990" s="5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7"/>
      <c r="AX990" s="7"/>
      <c r="AY990" s="7"/>
      <c r="AZ990" s="7"/>
      <c r="BA990" s="8"/>
      <c r="BB990" s="3"/>
      <c r="BC990" s="3"/>
      <c r="BD990" s="3"/>
      <c r="BE990" s="3"/>
    </row>
    <row r="991" spans="1:57" x14ac:dyDescent="0.25">
      <c r="A991" s="2"/>
      <c r="D991" s="3"/>
      <c r="E991" s="4"/>
      <c r="F991" s="5"/>
      <c r="G991" s="5"/>
      <c r="J991" s="3"/>
      <c r="K991" s="3"/>
      <c r="L991" s="6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5"/>
      <c r="AA991" s="3"/>
      <c r="AB991" s="3"/>
      <c r="AC991" s="3"/>
      <c r="AD991" s="5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7"/>
      <c r="AX991" s="7"/>
      <c r="AY991" s="7"/>
      <c r="AZ991" s="7"/>
      <c r="BA991" s="8"/>
      <c r="BB991" s="3"/>
      <c r="BC991" s="3"/>
      <c r="BD991" s="3"/>
      <c r="BE991" s="3"/>
    </row>
    <row r="992" spans="1:57" x14ac:dyDescent="0.25">
      <c r="A992" s="2"/>
      <c r="D992" s="3"/>
      <c r="E992" s="4"/>
      <c r="F992" s="5"/>
      <c r="G992" s="5"/>
      <c r="J992" s="3"/>
      <c r="K992" s="3"/>
      <c r="L992" s="6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5"/>
      <c r="AA992" s="3"/>
      <c r="AB992" s="3"/>
      <c r="AC992" s="3"/>
      <c r="AD992" s="5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7"/>
      <c r="AX992" s="7"/>
      <c r="AY992" s="7"/>
      <c r="AZ992" s="7"/>
      <c r="BA992" s="8"/>
      <c r="BB992" s="3"/>
      <c r="BC992" s="3"/>
      <c r="BD992" s="3"/>
      <c r="BE992" s="3"/>
    </row>
    <row r="993" spans="1:57" x14ac:dyDescent="0.25">
      <c r="A993" s="2"/>
      <c r="D993" s="3"/>
      <c r="E993" s="4"/>
      <c r="F993" s="5"/>
      <c r="G993" s="5"/>
      <c r="J993" s="3"/>
      <c r="K993" s="3"/>
      <c r="L993" s="6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5"/>
      <c r="AA993" s="3"/>
      <c r="AB993" s="3"/>
      <c r="AC993" s="3"/>
      <c r="AD993" s="5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7"/>
      <c r="AX993" s="7"/>
      <c r="AY993" s="7"/>
      <c r="AZ993" s="7"/>
      <c r="BA993" s="8"/>
      <c r="BB993" s="3"/>
      <c r="BC993" s="3"/>
      <c r="BD993" s="3"/>
      <c r="BE993" s="3"/>
    </row>
    <row r="994" spans="1:57" x14ac:dyDescent="0.25">
      <c r="A994" s="2"/>
      <c r="D994" s="3"/>
      <c r="E994" s="4"/>
      <c r="F994" s="5"/>
      <c r="G994" s="5"/>
      <c r="J994" s="3"/>
      <c r="K994" s="3"/>
      <c r="L994" s="6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5"/>
      <c r="AA994" s="3"/>
      <c r="AB994" s="3"/>
      <c r="AC994" s="3"/>
      <c r="AD994" s="5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7"/>
      <c r="AX994" s="7"/>
      <c r="AY994" s="7"/>
      <c r="AZ994" s="7"/>
      <c r="BA994" s="8"/>
      <c r="BB994" s="3"/>
      <c r="BC994" s="3"/>
      <c r="BD994" s="3"/>
      <c r="BE994" s="3"/>
    </row>
    <row r="995" spans="1:57" x14ac:dyDescent="0.25">
      <c r="A995" s="2"/>
      <c r="D995" s="3"/>
      <c r="E995" s="4"/>
      <c r="F995" s="5"/>
      <c r="G995" s="5"/>
      <c r="J995" s="3"/>
      <c r="K995" s="3"/>
      <c r="L995" s="6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5"/>
      <c r="AA995" s="3"/>
      <c r="AB995" s="3"/>
      <c r="AC995" s="3"/>
      <c r="AD995" s="5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7"/>
      <c r="AX995" s="7"/>
      <c r="AY995" s="7"/>
      <c r="AZ995" s="7"/>
      <c r="BA995" s="8"/>
      <c r="BB995" s="3"/>
      <c r="BC995" s="3"/>
      <c r="BD995" s="3"/>
      <c r="BE995" s="3"/>
    </row>
    <row r="996" spans="1:57" x14ac:dyDescent="0.25">
      <c r="A996" s="2"/>
      <c r="D996" s="3"/>
      <c r="E996" s="4"/>
      <c r="F996" s="5"/>
      <c r="G996" s="5"/>
      <c r="J996" s="3"/>
      <c r="K996" s="3"/>
      <c r="L996" s="6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5"/>
      <c r="AA996" s="3"/>
      <c r="AB996" s="3"/>
      <c r="AC996" s="3"/>
      <c r="AD996" s="5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7"/>
      <c r="AX996" s="7"/>
      <c r="AY996" s="7"/>
      <c r="AZ996" s="7"/>
      <c r="BA996" s="8"/>
      <c r="BB996" s="3"/>
      <c r="BC996" s="3"/>
      <c r="BD996" s="3"/>
      <c r="BE996" s="3"/>
    </row>
    <row r="997" spans="1:57" x14ac:dyDescent="0.25">
      <c r="A997" s="2"/>
      <c r="D997" s="3"/>
      <c r="E997" s="4"/>
      <c r="F997" s="5"/>
      <c r="G997" s="5"/>
      <c r="J997" s="3"/>
      <c r="K997" s="3"/>
      <c r="L997" s="6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5"/>
      <c r="AA997" s="3"/>
      <c r="AB997" s="3"/>
      <c r="AC997" s="3"/>
      <c r="AD997" s="5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7"/>
      <c r="AX997" s="7"/>
      <c r="AY997" s="7"/>
      <c r="AZ997" s="7"/>
      <c r="BA997" s="8"/>
      <c r="BB997" s="3"/>
      <c r="BC997" s="3"/>
      <c r="BD997" s="3"/>
      <c r="BE997" s="3"/>
    </row>
    <row r="998" spans="1:57" x14ac:dyDescent="0.25">
      <c r="A998" s="2"/>
      <c r="D998" s="3"/>
      <c r="E998" s="4"/>
      <c r="F998" s="5"/>
      <c r="G998" s="5"/>
      <c r="J998" s="3"/>
      <c r="K998" s="3"/>
      <c r="L998" s="6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5"/>
      <c r="AA998" s="3"/>
      <c r="AB998" s="3"/>
      <c r="AC998" s="3"/>
      <c r="AD998" s="5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7"/>
      <c r="AX998" s="7"/>
      <c r="AY998" s="7"/>
      <c r="AZ998" s="7"/>
      <c r="BA998" s="8"/>
      <c r="BB998" s="3"/>
      <c r="BC998" s="3"/>
      <c r="BD998" s="3"/>
      <c r="BE998" s="3"/>
    </row>
    <row r="999" spans="1:57" x14ac:dyDescent="0.25">
      <c r="A999" s="2"/>
      <c r="D999" s="3"/>
      <c r="E999" s="4"/>
      <c r="F999" s="5"/>
      <c r="G999" s="5"/>
      <c r="J999" s="3"/>
      <c r="K999" s="3"/>
      <c r="L999" s="6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5"/>
      <c r="AA999" s="3"/>
      <c r="AB999" s="3"/>
      <c r="AC999" s="3"/>
      <c r="AD999" s="5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7"/>
      <c r="AX999" s="7"/>
      <c r="AY999" s="7"/>
      <c r="AZ999" s="7"/>
      <c r="BA999" s="8"/>
      <c r="BB999" s="3"/>
      <c r="BC999" s="3"/>
      <c r="BD999" s="3"/>
      <c r="BE999" s="3"/>
    </row>
    <row r="1000" spans="1:57" x14ac:dyDescent="0.25">
      <c r="A1000" s="2"/>
      <c r="D1000" s="3"/>
      <c r="E1000" s="4"/>
      <c r="F1000" s="5"/>
      <c r="G1000" s="5"/>
      <c r="J1000" s="3"/>
      <c r="K1000" s="3"/>
      <c r="L1000" s="6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5"/>
      <c r="AA1000" s="3"/>
      <c r="AB1000" s="3"/>
      <c r="AC1000" s="3"/>
      <c r="AD1000" s="5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7"/>
      <c r="AX1000" s="7"/>
      <c r="AY1000" s="7"/>
      <c r="AZ1000" s="7"/>
      <c r="BA1000" s="8"/>
      <c r="BB1000" s="3"/>
      <c r="BC1000" s="3"/>
      <c r="BD1000" s="3"/>
      <c r="BE1000" s="3"/>
    </row>
    <row r="1001" spans="1:57" x14ac:dyDescent="0.25">
      <c r="A1001" s="2"/>
      <c r="D1001" s="3"/>
      <c r="E1001" s="4"/>
      <c r="F1001" s="5"/>
      <c r="G1001" s="5"/>
      <c r="J1001" s="3"/>
      <c r="K1001" s="3"/>
      <c r="L1001" s="6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5"/>
      <c r="AA1001" s="3"/>
      <c r="AB1001" s="3"/>
      <c r="AC1001" s="3"/>
      <c r="AD1001" s="5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7"/>
      <c r="AX1001" s="7"/>
      <c r="AY1001" s="7"/>
      <c r="AZ1001" s="7"/>
      <c r="BA1001" s="8"/>
      <c r="BB1001" s="3"/>
      <c r="BC1001" s="3"/>
      <c r="BD1001" s="3"/>
      <c r="BE1001" s="3"/>
    </row>
    <row r="1002" spans="1:57" x14ac:dyDescent="0.25">
      <c r="A1002" s="2"/>
      <c r="D1002" s="3"/>
      <c r="E1002" s="4"/>
      <c r="F1002" s="5"/>
      <c r="G1002" s="5"/>
      <c r="J1002" s="3"/>
      <c r="K1002" s="3"/>
      <c r="L1002" s="6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5"/>
      <c r="AA1002" s="3"/>
      <c r="AB1002" s="3"/>
      <c r="AC1002" s="3"/>
      <c r="AD1002" s="5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7"/>
      <c r="AX1002" s="7"/>
      <c r="AY1002" s="7"/>
      <c r="AZ1002" s="7"/>
      <c r="BA1002" s="8"/>
      <c r="BB1002" s="3"/>
      <c r="BC1002" s="3"/>
      <c r="BD1002" s="3"/>
      <c r="BE1002" s="3"/>
    </row>
    <row r="1003" spans="1:57" x14ac:dyDescent="0.25">
      <c r="A1003" s="2"/>
      <c r="D1003" s="3"/>
      <c r="E1003" s="4"/>
      <c r="F1003" s="5"/>
      <c r="G1003" s="5"/>
      <c r="J1003" s="3"/>
      <c r="K1003" s="3"/>
      <c r="L1003" s="6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5"/>
      <c r="AA1003" s="3"/>
      <c r="AB1003" s="3"/>
      <c r="AC1003" s="3"/>
      <c r="AD1003" s="5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7"/>
      <c r="AX1003" s="7"/>
      <c r="AY1003" s="7"/>
      <c r="AZ1003" s="7"/>
      <c r="BA1003" s="8"/>
      <c r="BB1003" s="3"/>
      <c r="BC1003" s="3"/>
      <c r="BD1003" s="3"/>
      <c r="BE1003" s="3"/>
    </row>
    <row r="1004" spans="1:57" x14ac:dyDescent="0.25">
      <c r="A1004" s="2"/>
      <c r="D1004" s="3"/>
      <c r="E1004" s="4"/>
      <c r="F1004" s="5"/>
      <c r="G1004" s="5"/>
      <c r="J1004" s="3"/>
      <c r="K1004" s="3"/>
      <c r="L1004" s="6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5"/>
      <c r="AA1004" s="3"/>
      <c r="AB1004" s="3"/>
      <c r="AC1004" s="3"/>
      <c r="AD1004" s="5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7"/>
      <c r="AX1004" s="7"/>
      <c r="AY1004" s="7"/>
      <c r="AZ1004" s="7"/>
      <c r="BA1004" s="8"/>
      <c r="BB1004" s="3"/>
      <c r="BC1004" s="3"/>
      <c r="BD1004" s="3"/>
      <c r="BE1004" s="3"/>
    </row>
    <row r="1005" spans="1:57" x14ac:dyDescent="0.25">
      <c r="A1005" s="2"/>
      <c r="D1005" s="3"/>
      <c r="E1005" s="4"/>
      <c r="F1005" s="5"/>
      <c r="G1005" s="5"/>
      <c r="J1005" s="3"/>
      <c r="K1005" s="3"/>
      <c r="L1005" s="6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5"/>
      <c r="AA1005" s="3"/>
      <c r="AB1005" s="3"/>
      <c r="AC1005" s="3"/>
      <c r="AD1005" s="5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7"/>
      <c r="AX1005" s="7"/>
      <c r="AY1005" s="7"/>
      <c r="AZ1005" s="7"/>
      <c r="BA1005" s="8"/>
      <c r="BB1005" s="3"/>
      <c r="BC1005" s="3"/>
      <c r="BD1005" s="3"/>
      <c r="BE1005" s="3"/>
    </row>
    <row r="1006" spans="1:57" x14ac:dyDescent="0.25">
      <c r="A1006" s="2"/>
      <c r="D1006" s="3"/>
      <c r="E1006" s="4"/>
      <c r="F1006" s="5"/>
      <c r="G1006" s="5"/>
      <c r="J1006" s="3"/>
      <c r="K1006" s="3"/>
      <c r="L1006" s="6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5"/>
      <c r="AA1006" s="3"/>
      <c r="AB1006" s="3"/>
      <c r="AC1006" s="3"/>
      <c r="AD1006" s="5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7"/>
      <c r="AX1006" s="7"/>
      <c r="AY1006" s="7"/>
      <c r="AZ1006" s="7"/>
      <c r="BA1006" s="8"/>
      <c r="BB1006" s="3"/>
      <c r="BC1006" s="3"/>
      <c r="BD1006" s="3"/>
      <c r="BE1006" s="3"/>
    </row>
    <row r="1007" spans="1:57" x14ac:dyDescent="0.25">
      <c r="A1007" s="2"/>
      <c r="D1007" s="3"/>
      <c r="E1007" s="4"/>
      <c r="F1007" s="5"/>
      <c r="G1007" s="5"/>
      <c r="J1007" s="3"/>
      <c r="K1007" s="3"/>
      <c r="L1007" s="6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5"/>
      <c r="AA1007" s="3"/>
      <c r="AB1007" s="3"/>
      <c r="AC1007" s="3"/>
      <c r="AD1007" s="5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7"/>
      <c r="AX1007" s="7"/>
      <c r="AY1007" s="7"/>
      <c r="AZ1007" s="7"/>
      <c r="BA1007" s="8"/>
      <c r="BB1007" s="3"/>
      <c r="BC1007" s="3"/>
      <c r="BD1007" s="3"/>
      <c r="BE1007" s="3"/>
    </row>
    <row r="1008" spans="1:57" x14ac:dyDescent="0.25">
      <c r="A1008" s="2"/>
      <c r="D1008" s="3"/>
      <c r="E1008" s="4"/>
      <c r="F1008" s="5"/>
      <c r="G1008" s="5"/>
      <c r="J1008" s="3"/>
      <c r="K1008" s="3"/>
      <c r="L1008" s="6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5"/>
      <c r="AA1008" s="3"/>
      <c r="AB1008" s="3"/>
      <c r="AC1008" s="3"/>
      <c r="AD1008" s="5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7"/>
      <c r="AX1008" s="7"/>
      <c r="AY1008" s="7"/>
      <c r="AZ1008" s="7"/>
      <c r="BA1008" s="8"/>
      <c r="BB1008" s="3"/>
      <c r="BC1008" s="3"/>
      <c r="BD1008" s="3"/>
      <c r="BE1008" s="3"/>
    </row>
    <row r="1009" spans="1:57" x14ac:dyDescent="0.25">
      <c r="A1009" s="2"/>
      <c r="D1009" s="3"/>
      <c r="E1009" s="4"/>
      <c r="F1009" s="5"/>
      <c r="G1009" s="5"/>
      <c r="J1009" s="3"/>
      <c r="K1009" s="3"/>
      <c r="L1009" s="6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5"/>
      <c r="AA1009" s="3"/>
      <c r="AB1009" s="3"/>
      <c r="AC1009" s="3"/>
      <c r="AD1009" s="5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7"/>
      <c r="AX1009" s="7"/>
      <c r="AY1009" s="7"/>
      <c r="AZ1009" s="7"/>
      <c r="BA1009" s="8"/>
      <c r="BB1009" s="3"/>
      <c r="BC1009" s="3"/>
      <c r="BD1009" s="3"/>
      <c r="BE1009" s="3"/>
    </row>
    <row r="1010" spans="1:57" x14ac:dyDescent="0.25">
      <c r="A1010" s="2"/>
      <c r="D1010" s="3"/>
      <c r="E1010" s="4"/>
      <c r="F1010" s="5"/>
      <c r="G1010" s="5"/>
      <c r="J1010" s="3"/>
      <c r="K1010" s="3"/>
      <c r="L1010" s="6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5"/>
      <c r="AA1010" s="3"/>
      <c r="AB1010" s="3"/>
      <c r="AC1010" s="3"/>
      <c r="AD1010" s="5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7"/>
      <c r="AX1010" s="7"/>
      <c r="AY1010" s="7"/>
      <c r="AZ1010" s="7"/>
      <c r="BA1010" s="8"/>
      <c r="BB1010" s="3"/>
      <c r="BC1010" s="3"/>
      <c r="BD1010" s="3"/>
      <c r="BE1010" s="3"/>
    </row>
    <row r="1011" spans="1:57" x14ac:dyDescent="0.25">
      <c r="A1011" s="2"/>
      <c r="D1011" s="3"/>
      <c r="E1011" s="4"/>
      <c r="F1011" s="5"/>
      <c r="G1011" s="5"/>
      <c r="J1011" s="3"/>
      <c r="K1011" s="3"/>
      <c r="L1011" s="6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5"/>
      <c r="AA1011" s="3"/>
      <c r="AB1011" s="3"/>
      <c r="AC1011" s="3"/>
      <c r="AD1011" s="5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7"/>
      <c r="AX1011" s="7"/>
      <c r="AY1011" s="7"/>
      <c r="AZ1011" s="7"/>
      <c r="BA1011" s="8"/>
      <c r="BB1011" s="3"/>
      <c r="BC1011" s="3"/>
      <c r="BD1011" s="3"/>
      <c r="BE1011" s="3"/>
    </row>
    <row r="1012" spans="1:57" x14ac:dyDescent="0.25">
      <c r="A1012" s="2"/>
      <c r="D1012" s="3"/>
      <c r="E1012" s="4"/>
      <c r="F1012" s="5"/>
      <c r="G1012" s="5"/>
      <c r="J1012" s="3"/>
      <c r="K1012" s="3"/>
      <c r="L1012" s="6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5"/>
      <c r="AA1012" s="3"/>
      <c r="AB1012" s="3"/>
      <c r="AC1012" s="3"/>
      <c r="AD1012" s="5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7"/>
      <c r="AX1012" s="7"/>
      <c r="AY1012" s="7"/>
      <c r="AZ1012" s="7"/>
      <c r="BA1012" s="8"/>
      <c r="BB1012" s="3"/>
      <c r="BC1012" s="3"/>
      <c r="BD1012" s="3"/>
      <c r="BE1012" s="3"/>
    </row>
    <row r="1013" spans="1:57" x14ac:dyDescent="0.25">
      <c r="A1013" s="2"/>
      <c r="D1013" s="3"/>
      <c r="E1013" s="4"/>
      <c r="F1013" s="5"/>
      <c r="G1013" s="5"/>
      <c r="J1013" s="3"/>
      <c r="K1013" s="3"/>
      <c r="L1013" s="6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5"/>
      <c r="AA1013" s="3"/>
      <c r="AB1013" s="3"/>
      <c r="AC1013" s="3"/>
      <c r="AD1013" s="5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7"/>
      <c r="AX1013" s="7"/>
      <c r="AY1013" s="7"/>
      <c r="AZ1013" s="7"/>
      <c r="BA1013" s="8"/>
      <c r="BB1013" s="3"/>
      <c r="BC1013" s="3"/>
      <c r="BD1013" s="3"/>
      <c r="BE1013" s="3"/>
    </row>
    <row r="1014" spans="1:57" x14ac:dyDescent="0.25">
      <c r="N1014" s="3"/>
      <c r="AW1014" s="7"/>
      <c r="AX1014" s="7"/>
    </row>
    <row r="1015" spans="1:57" x14ac:dyDescent="0.25">
      <c r="N1015" s="3"/>
      <c r="AW1015" s="7"/>
      <c r="AX1015" s="7"/>
    </row>
    <row r="1016" spans="1:57" x14ac:dyDescent="0.25">
      <c r="N1016" s="3"/>
      <c r="AW1016" s="7"/>
      <c r="AX1016" s="7"/>
    </row>
    <row r="1017" spans="1:57" x14ac:dyDescent="0.25">
      <c r="N1017" s="3"/>
      <c r="AW1017" s="7"/>
      <c r="AX1017" s="7"/>
    </row>
    <row r="1018" spans="1:57" x14ac:dyDescent="0.25">
      <c r="N1018" s="3"/>
      <c r="AW1018" s="7"/>
      <c r="AX1018" s="7"/>
    </row>
    <row r="1019" spans="1:57" x14ac:dyDescent="0.25">
      <c r="N1019" s="3"/>
      <c r="AW1019" s="7"/>
      <c r="AX1019" s="7"/>
    </row>
    <row r="1020" spans="1:57" x14ac:dyDescent="0.25">
      <c r="N1020" s="3"/>
      <c r="AW1020" s="7"/>
      <c r="AX1020" s="7"/>
    </row>
    <row r="1021" spans="1:57" x14ac:dyDescent="0.25">
      <c r="N1021" s="3"/>
      <c r="AW1021" s="7"/>
      <c r="AX1021" s="7"/>
    </row>
    <row r="1022" spans="1:57" x14ac:dyDescent="0.25">
      <c r="N1022" s="3"/>
      <c r="AW1022" s="7"/>
      <c r="AX1022" s="7"/>
    </row>
    <row r="1023" spans="1:57" x14ac:dyDescent="0.25">
      <c r="N1023" s="3"/>
      <c r="AW1023" s="7"/>
      <c r="AX1023" s="7"/>
    </row>
    <row r="1024" spans="1:57" x14ac:dyDescent="0.25">
      <c r="N1024" s="3"/>
      <c r="AW1024" s="7"/>
      <c r="AX1024" s="7"/>
    </row>
    <row r="1025" spans="14:50" x14ac:dyDescent="0.25">
      <c r="N1025" s="3"/>
      <c r="AW1025" s="7"/>
      <c r="AX1025" s="7"/>
    </row>
    <row r="1026" spans="14:50" x14ac:dyDescent="0.25">
      <c r="N1026" s="3"/>
      <c r="AW1026" s="7"/>
      <c r="AX1026" s="7"/>
    </row>
    <row r="1027" spans="14:50" x14ac:dyDescent="0.25">
      <c r="N1027" s="3"/>
      <c r="AW1027" s="7"/>
      <c r="AX1027" s="7"/>
    </row>
    <row r="1028" spans="14:50" x14ac:dyDescent="0.25">
      <c r="N1028" s="3"/>
      <c r="AW1028" s="7"/>
      <c r="AX1028" s="7"/>
    </row>
    <row r="1029" spans="14:50" x14ac:dyDescent="0.25">
      <c r="N1029" s="3"/>
      <c r="AW1029" s="7"/>
      <c r="AX1029" s="7"/>
    </row>
    <row r="1030" spans="14:50" x14ac:dyDescent="0.25">
      <c r="N1030" s="3"/>
      <c r="AW1030" s="7"/>
      <c r="AX1030" s="7"/>
    </row>
    <row r="1031" spans="14:50" x14ac:dyDescent="0.25">
      <c r="N1031" s="3"/>
      <c r="AW1031" s="7"/>
      <c r="AX1031" s="7"/>
    </row>
    <row r="1032" spans="14:50" x14ac:dyDescent="0.25">
      <c r="N1032" s="3"/>
      <c r="AW1032" s="7"/>
      <c r="AX1032" s="7"/>
    </row>
    <row r="1033" spans="14:50" x14ac:dyDescent="0.25">
      <c r="N1033" s="3"/>
      <c r="AW1033" s="7"/>
      <c r="AX1033" s="7"/>
    </row>
    <row r="1034" spans="14:50" x14ac:dyDescent="0.25">
      <c r="N1034" s="3"/>
      <c r="AW1034" s="7"/>
      <c r="AX1034" s="7"/>
    </row>
    <row r="1035" spans="14:50" x14ac:dyDescent="0.25">
      <c r="N1035" s="3"/>
      <c r="AW1035" s="7"/>
      <c r="AX1035" s="7"/>
    </row>
    <row r="1036" spans="14:50" x14ac:dyDescent="0.25">
      <c r="N1036" s="3"/>
      <c r="AW1036" s="7"/>
      <c r="AX1036" s="7"/>
    </row>
    <row r="1037" spans="14:50" x14ac:dyDescent="0.25">
      <c r="N1037" s="3"/>
      <c r="AW1037" s="7"/>
      <c r="AX1037" s="7"/>
    </row>
    <row r="1038" spans="14:50" x14ac:dyDescent="0.25">
      <c r="N1038" s="3"/>
      <c r="AW1038" s="7"/>
      <c r="AX1038" s="7"/>
    </row>
    <row r="1039" spans="14:50" x14ac:dyDescent="0.25">
      <c r="N1039" s="3"/>
      <c r="AW1039" s="7"/>
      <c r="AX1039" s="7"/>
    </row>
    <row r="1040" spans="14:50" x14ac:dyDescent="0.25">
      <c r="N1040" s="3"/>
      <c r="AW1040" s="7"/>
      <c r="AX1040" s="7"/>
    </row>
    <row r="1041" spans="14:50" x14ac:dyDescent="0.25">
      <c r="N1041" s="3"/>
      <c r="AW1041" s="7"/>
      <c r="AX1041" s="7"/>
    </row>
    <row r="1042" spans="14:50" x14ac:dyDescent="0.25">
      <c r="N1042" s="3"/>
      <c r="AW1042" s="7"/>
      <c r="AX1042" s="7"/>
    </row>
    <row r="1043" spans="14:50" x14ac:dyDescent="0.25">
      <c r="N1043" s="3"/>
      <c r="AW1043" s="7"/>
      <c r="AX1043" s="7"/>
    </row>
    <row r="1044" spans="14:50" x14ac:dyDescent="0.25">
      <c r="N1044" s="3"/>
      <c r="AW1044" s="7"/>
      <c r="AX1044" s="7"/>
    </row>
    <row r="1045" spans="14:50" x14ac:dyDescent="0.25">
      <c r="N1045" s="3"/>
      <c r="AW1045" s="7"/>
      <c r="AX1045" s="7"/>
    </row>
    <row r="1046" spans="14:50" x14ac:dyDescent="0.25">
      <c r="N1046" s="3"/>
      <c r="AW1046" s="7"/>
      <c r="AX1046" s="7"/>
    </row>
    <row r="1047" spans="14:50" x14ac:dyDescent="0.25">
      <c r="N1047" s="3"/>
      <c r="AW1047" s="7"/>
      <c r="AX1047" s="7"/>
    </row>
    <row r="1048" spans="14:50" x14ac:dyDescent="0.25">
      <c r="N1048" s="3"/>
      <c r="AW1048" s="7"/>
      <c r="AX1048" s="7"/>
    </row>
    <row r="1049" spans="14:50" x14ac:dyDescent="0.25">
      <c r="N1049" s="3"/>
      <c r="AW1049" s="7"/>
      <c r="AX1049" s="7"/>
    </row>
    <row r="1050" spans="14:50" x14ac:dyDescent="0.25">
      <c r="N1050" s="3"/>
      <c r="AW1050" s="7"/>
      <c r="AX1050" s="7"/>
    </row>
    <row r="1051" spans="14:50" x14ac:dyDescent="0.25">
      <c r="N1051" s="3"/>
      <c r="AW1051" s="7"/>
      <c r="AX1051" s="7"/>
    </row>
    <row r="1052" spans="14:50" x14ac:dyDescent="0.25">
      <c r="N1052" s="3"/>
      <c r="AW1052" s="7"/>
      <c r="AX1052" s="7"/>
    </row>
    <row r="1053" spans="14:50" x14ac:dyDescent="0.25">
      <c r="N1053" s="3"/>
      <c r="AW1053" s="7"/>
      <c r="AX1053" s="7"/>
    </row>
    <row r="1054" spans="14:50" x14ac:dyDescent="0.25">
      <c r="N1054" s="3"/>
      <c r="AW1054" s="7"/>
      <c r="AX1054" s="7"/>
    </row>
    <row r="1055" spans="14:50" x14ac:dyDescent="0.25">
      <c r="N1055" s="3"/>
      <c r="AW1055" s="7"/>
      <c r="AX1055" s="7"/>
    </row>
    <row r="1056" spans="14:50" x14ac:dyDescent="0.25">
      <c r="N1056" s="3"/>
      <c r="AW1056" s="7"/>
      <c r="AX1056" s="7"/>
    </row>
    <row r="1057" spans="14:50" x14ac:dyDescent="0.25">
      <c r="N1057" s="3"/>
      <c r="AW1057" s="7"/>
      <c r="AX1057" s="7"/>
    </row>
    <row r="1058" spans="14:50" x14ac:dyDescent="0.25">
      <c r="N1058" s="3"/>
      <c r="AW1058" s="7"/>
      <c r="AX1058" s="7"/>
    </row>
    <row r="1059" spans="14:50" x14ac:dyDescent="0.25">
      <c r="N1059" s="3"/>
      <c r="AW1059" s="7"/>
      <c r="AX1059" s="7"/>
    </row>
    <row r="1060" spans="14:50" x14ac:dyDescent="0.25">
      <c r="N1060" s="3"/>
      <c r="AW1060" s="7"/>
      <c r="AX1060" s="7"/>
    </row>
    <row r="1061" spans="14:50" x14ac:dyDescent="0.25">
      <c r="N1061" s="3"/>
      <c r="AW1061" s="7"/>
      <c r="AX1061" s="7"/>
    </row>
    <row r="1062" spans="14:50" x14ac:dyDescent="0.25">
      <c r="N1062" s="3"/>
      <c r="AW1062" s="7"/>
      <c r="AX1062" s="7"/>
    </row>
    <row r="1063" spans="14:50" x14ac:dyDescent="0.25">
      <c r="N1063" s="3"/>
      <c r="AW1063" s="7"/>
      <c r="AX1063" s="7"/>
    </row>
    <row r="1064" spans="14:50" x14ac:dyDescent="0.25">
      <c r="N1064" s="3"/>
      <c r="AW1064" s="7"/>
      <c r="AX1064" s="7"/>
    </row>
    <row r="1065" spans="14:50" x14ac:dyDescent="0.25">
      <c r="N1065" s="3"/>
      <c r="AW1065" s="7"/>
      <c r="AX1065" s="7"/>
    </row>
    <row r="1066" spans="14:50" x14ac:dyDescent="0.25">
      <c r="N1066" s="3"/>
      <c r="AW1066" s="7"/>
      <c r="AX1066" s="7"/>
    </row>
    <row r="1067" spans="14:50" x14ac:dyDescent="0.25">
      <c r="N1067" s="3"/>
      <c r="AW1067" s="7"/>
      <c r="AX1067" s="7"/>
    </row>
    <row r="1068" spans="14:50" x14ac:dyDescent="0.25">
      <c r="N1068" s="3"/>
      <c r="AW1068" s="7"/>
      <c r="AX1068" s="7"/>
    </row>
    <row r="1069" spans="14:50" x14ac:dyDescent="0.25">
      <c r="N1069" s="3"/>
      <c r="AW1069" s="7"/>
      <c r="AX1069" s="7"/>
    </row>
    <row r="1070" spans="14:50" x14ac:dyDescent="0.25">
      <c r="N1070" s="3"/>
      <c r="AW1070" s="7"/>
      <c r="AX1070" s="7"/>
    </row>
    <row r="1071" spans="14:50" x14ac:dyDescent="0.25">
      <c r="N1071" s="3"/>
      <c r="AW1071" s="7"/>
      <c r="AX1071" s="7"/>
    </row>
    <row r="1072" spans="14:50" x14ac:dyDescent="0.25">
      <c r="N1072" s="3"/>
      <c r="AW1072" s="7"/>
      <c r="AX1072" s="7"/>
    </row>
    <row r="1073" spans="14:50" x14ac:dyDescent="0.25">
      <c r="N1073" s="3"/>
      <c r="AW1073" s="7"/>
      <c r="AX1073" s="7"/>
    </row>
    <row r="1074" spans="14:50" x14ac:dyDescent="0.25">
      <c r="N1074" s="3"/>
      <c r="AW1074" s="7"/>
      <c r="AX1074" s="7"/>
    </row>
    <row r="1075" spans="14:50" x14ac:dyDescent="0.25">
      <c r="N1075" s="3"/>
      <c r="AW1075" s="7"/>
      <c r="AX1075" s="7"/>
    </row>
    <row r="1076" spans="14:50" x14ac:dyDescent="0.25">
      <c r="N1076" s="3"/>
      <c r="AW1076" s="7"/>
      <c r="AX1076" s="7"/>
    </row>
    <row r="1077" spans="14:50" x14ac:dyDescent="0.25">
      <c r="N1077" s="3"/>
      <c r="AW1077" s="7"/>
      <c r="AX1077" s="7"/>
    </row>
    <row r="1078" spans="14:50" x14ac:dyDescent="0.25">
      <c r="N1078" s="3"/>
      <c r="AW1078" s="7"/>
      <c r="AX1078" s="7"/>
    </row>
    <row r="1079" spans="14:50" x14ac:dyDescent="0.25">
      <c r="N1079" s="3"/>
      <c r="AW1079" s="7"/>
      <c r="AX1079" s="7"/>
    </row>
    <row r="1080" spans="14:50" x14ac:dyDescent="0.25">
      <c r="N1080" s="3"/>
      <c r="AW1080" s="7"/>
      <c r="AX1080" s="7"/>
    </row>
    <row r="1081" spans="14:50" x14ac:dyDescent="0.25">
      <c r="N1081" s="3"/>
      <c r="AW1081" s="7"/>
      <c r="AX1081" s="7"/>
    </row>
    <row r="1082" spans="14:50" x14ac:dyDescent="0.25">
      <c r="N1082" s="3"/>
      <c r="AW1082" s="7"/>
      <c r="AX1082" s="7"/>
    </row>
    <row r="1083" spans="14:50" x14ac:dyDescent="0.25">
      <c r="N1083" s="3"/>
      <c r="AW1083" s="7"/>
      <c r="AX1083" s="7"/>
    </row>
    <row r="1084" spans="14:50" x14ac:dyDescent="0.25">
      <c r="N1084" s="3"/>
      <c r="AW1084" s="7"/>
      <c r="AX1084" s="7"/>
    </row>
    <row r="1085" spans="14:50" x14ac:dyDescent="0.25">
      <c r="N1085" s="3"/>
      <c r="AW1085" s="7"/>
      <c r="AX1085" s="7"/>
    </row>
    <row r="1086" spans="14:50" x14ac:dyDescent="0.25">
      <c r="N1086" s="3"/>
      <c r="AW1086" s="7"/>
      <c r="AX1086" s="7"/>
    </row>
    <row r="1087" spans="14:50" x14ac:dyDescent="0.25">
      <c r="N1087" s="3"/>
      <c r="AW1087" s="7"/>
      <c r="AX1087" s="7"/>
    </row>
    <row r="1088" spans="14:50" x14ac:dyDescent="0.25">
      <c r="N1088" s="3"/>
      <c r="AW1088" s="7"/>
      <c r="AX1088" s="7"/>
    </row>
    <row r="1089" spans="14:50" x14ac:dyDescent="0.25">
      <c r="N1089" s="3"/>
      <c r="AW1089" s="7"/>
      <c r="AX1089" s="7"/>
    </row>
    <row r="1090" spans="14:50" x14ac:dyDescent="0.25">
      <c r="N1090" s="3"/>
      <c r="AW1090" s="7"/>
      <c r="AX1090" s="7"/>
    </row>
    <row r="1091" spans="14:50" x14ac:dyDescent="0.25">
      <c r="N1091" s="3"/>
      <c r="AW1091" s="7"/>
      <c r="AX1091" s="7"/>
    </row>
    <row r="1092" spans="14:50" x14ac:dyDescent="0.25">
      <c r="N1092" s="3"/>
      <c r="AW1092" s="7"/>
      <c r="AX1092" s="7"/>
    </row>
    <row r="1093" spans="14:50" x14ac:dyDescent="0.25">
      <c r="N1093" s="3"/>
      <c r="AW1093" s="7"/>
      <c r="AX1093" s="7"/>
    </row>
    <row r="1094" spans="14:50" x14ac:dyDescent="0.25">
      <c r="N1094" s="3"/>
      <c r="AW1094" s="7"/>
      <c r="AX1094" s="7"/>
    </row>
    <row r="1095" spans="14:50" x14ac:dyDescent="0.25">
      <c r="N1095" s="3"/>
      <c r="AW1095" s="7"/>
      <c r="AX1095" s="7"/>
    </row>
    <row r="1096" spans="14:50" x14ac:dyDescent="0.25">
      <c r="N1096" s="3"/>
      <c r="AW1096" s="7"/>
      <c r="AX1096" s="7"/>
    </row>
    <row r="1097" spans="14:50" x14ac:dyDescent="0.25">
      <c r="N1097" s="3"/>
      <c r="AW1097" s="7"/>
      <c r="AX1097" s="7"/>
    </row>
    <row r="1098" spans="14:50" x14ac:dyDescent="0.25">
      <c r="N1098" s="3"/>
      <c r="AW1098" s="7"/>
      <c r="AX1098" s="7"/>
    </row>
    <row r="1099" spans="14:50" x14ac:dyDescent="0.25">
      <c r="N1099" s="3"/>
      <c r="AW1099" s="7"/>
      <c r="AX1099" s="7"/>
    </row>
    <row r="1100" spans="14:50" x14ac:dyDescent="0.25">
      <c r="N1100" s="3"/>
      <c r="AW1100" s="7"/>
      <c r="AX1100" s="7"/>
    </row>
    <row r="1101" spans="14:50" x14ac:dyDescent="0.25">
      <c r="N1101" s="3"/>
      <c r="AW1101" s="7"/>
      <c r="AX1101" s="7"/>
    </row>
    <row r="1102" spans="14:50" x14ac:dyDescent="0.25">
      <c r="N1102" s="3"/>
      <c r="AW1102" s="7"/>
      <c r="AX1102" s="7"/>
    </row>
    <row r="1103" spans="14:50" x14ac:dyDescent="0.25">
      <c r="N1103" s="3"/>
      <c r="AW1103" s="7"/>
      <c r="AX1103" s="7"/>
    </row>
    <row r="1104" spans="14:50" x14ac:dyDescent="0.25">
      <c r="N1104" s="3"/>
      <c r="AW1104" s="7"/>
      <c r="AX1104" s="7"/>
    </row>
    <row r="1105" spans="14:50" x14ac:dyDescent="0.25">
      <c r="N1105" s="3"/>
      <c r="AW1105" s="7"/>
      <c r="AX1105" s="7"/>
    </row>
    <row r="1106" spans="14:50" x14ac:dyDescent="0.25">
      <c r="N1106" s="3"/>
      <c r="AW1106" s="7"/>
      <c r="AX1106" s="7"/>
    </row>
    <row r="1107" spans="14:50" x14ac:dyDescent="0.25">
      <c r="N1107" s="3"/>
      <c r="AW1107" s="7"/>
      <c r="AX1107" s="7"/>
    </row>
    <row r="1108" spans="14:50" x14ac:dyDescent="0.25">
      <c r="N1108" s="3"/>
      <c r="AW1108" s="7"/>
      <c r="AX1108" s="7"/>
    </row>
    <row r="1109" spans="14:50" x14ac:dyDescent="0.25">
      <c r="N1109" s="3"/>
      <c r="AW1109" s="7"/>
      <c r="AX1109" s="7"/>
    </row>
    <row r="1110" spans="14:50" x14ac:dyDescent="0.25">
      <c r="N1110" s="3"/>
      <c r="AW1110" s="7"/>
      <c r="AX1110" s="7"/>
    </row>
    <row r="1111" spans="14:50" x14ac:dyDescent="0.25">
      <c r="N1111" s="3"/>
      <c r="AW1111" s="7"/>
      <c r="AX1111" s="7"/>
    </row>
    <row r="1112" spans="14:50" x14ac:dyDescent="0.25">
      <c r="N1112" s="3"/>
      <c r="AW1112" s="7"/>
      <c r="AX1112" s="7"/>
    </row>
    <row r="1113" spans="14:50" x14ac:dyDescent="0.25">
      <c r="N1113" s="3"/>
      <c r="AW1113" s="7"/>
      <c r="AX1113" s="7"/>
    </row>
    <row r="1114" spans="14:50" x14ac:dyDescent="0.25">
      <c r="N1114" s="3"/>
      <c r="AW1114" s="7"/>
      <c r="AX1114" s="7"/>
    </row>
    <row r="1115" spans="14:50" x14ac:dyDescent="0.25">
      <c r="N1115" s="3"/>
      <c r="AW1115" s="7"/>
      <c r="AX1115" s="7"/>
    </row>
    <row r="1116" spans="14:50" x14ac:dyDescent="0.25">
      <c r="N1116" s="3"/>
      <c r="AW1116" s="7"/>
      <c r="AX1116" s="7"/>
    </row>
    <row r="1117" spans="14:50" x14ac:dyDescent="0.25">
      <c r="N1117" s="3"/>
      <c r="AW1117" s="7"/>
      <c r="AX1117" s="7"/>
    </row>
    <row r="1118" spans="14:50" x14ac:dyDescent="0.25">
      <c r="N1118" s="3"/>
      <c r="AW1118" s="7"/>
      <c r="AX1118" s="7"/>
    </row>
    <row r="1119" spans="14:50" x14ac:dyDescent="0.25">
      <c r="N1119" s="3"/>
      <c r="AW1119" s="7"/>
      <c r="AX1119" s="7"/>
    </row>
    <row r="1120" spans="14:50" x14ac:dyDescent="0.25">
      <c r="N1120" s="3"/>
      <c r="AW1120" s="7"/>
      <c r="AX1120" s="7"/>
    </row>
    <row r="1121" spans="14:50" x14ac:dyDescent="0.25">
      <c r="N1121" s="3"/>
      <c r="AW1121" s="7"/>
      <c r="AX1121" s="7"/>
    </row>
    <row r="1122" spans="14:50" x14ac:dyDescent="0.25">
      <c r="N1122" s="3"/>
      <c r="AW1122" s="7"/>
      <c r="AX1122" s="7"/>
    </row>
    <row r="1123" spans="14:50" x14ac:dyDescent="0.25">
      <c r="N1123" s="3"/>
      <c r="AW1123" s="7"/>
      <c r="AX1123" s="7"/>
    </row>
    <row r="1124" spans="14:50" x14ac:dyDescent="0.25">
      <c r="N1124" s="3"/>
      <c r="AW1124" s="7"/>
      <c r="AX1124" s="7"/>
    </row>
    <row r="1125" spans="14:50" x14ac:dyDescent="0.25">
      <c r="N1125" s="3"/>
      <c r="AW1125" s="7"/>
      <c r="AX1125" s="7"/>
    </row>
    <row r="1126" spans="14:50" x14ac:dyDescent="0.25">
      <c r="N1126" s="3"/>
      <c r="AW1126" s="7"/>
      <c r="AX1126" s="7"/>
    </row>
    <row r="1127" spans="14:50" x14ac:dyDescent="0.25">
      <c r="N1127" s="3"/>
      <c r="AW1127" s="7"/>
      <c r="AX1127" s="7"/>
    </row>
    <row r="1128" spans="14:50" x14ac:dyDescent="0.25">
      <c r="N1128" s="3"/>
      <c r="AW1128" s="7"/>
      <c r="AX1128" s="7"/>
    </row>
    <row r="1129" spans="14:50" x14ac:dyDescent="0.25">
      <c r="N1129" s="3"/>
      <c r="AW1129" s="7"/>
      <c r="AX1129" s="7"/>
    </row>
    <row r="1130" spans="14:50" x14ac:dyDescent="0.25">
      <c r="N1130" s="3"/>
      <c r="AW1130" s="7"/>
      <c r="AX1130" s="7"/>
    </row>
    <row r="1131" spans="14:50" x14ac:dyDescent="0.25">
      <c r="N1131" s="3"/>
      <c r="AW1131" s="7"/>
      <c r="AX1131" s="7"/>
    </row>
    <row r="1132" spans="14:50" x14ac:dyDescent="0.25">
      <c r="N1132" s="3"/>
      <c r="AW1132" s="7"/>
      <c r="AX1132" s="7"/>
    </row>
    <row r="1133" spans="14:50" x14ac:dyDescent="0.25">
      <c r="N1133" s="3"/>
      <c r="AW1133" s="7"/>
      <c r="AX1133" s="7"/>
    </row>
    <row r="1134" spans="14:50" x14ac:dyDescent="0.25">
      <c r="N1134" s="3"/>
      <c r="AW1134" s="7"/>
      <c r="AX1134" s="7"/>
    </row>
    <row r="1135" spans="14:50" x14ac:dyDescent="0.25">
      <c r="N1135" s="3"/>
      <c r="AW1135" s="7"/>
      <c r="AX1135" s="7"/>
    </row>
    <row r="1136" spans="14:50" x14ac:dyDescent="0.25">
      <c r="N1136" s="3"/>
      <c r="AW1136" s="7"/>
      <c r="AX1136" s="7"/>
    </row>
    <row r="1137" spans="14:50" x14ac:dyDescent="0.25">
      <c r="N1137" s="3"/>
      <c r="AW1137" s="7"/>
      <c r="AX1137" s="7"/>
    </row>
    <row r="1138" spans="14:50" x14ac:dyDescent="0.25">
      <c r="N1138" s="3"/>
      <c r="AW1138" s="7"/>
      <c r="AX1138" s="7"/>
    </row>
    <row r="1139" spans="14:50" x14ac:dyDescent="0.25">
      <c r="N1139" s="3"/>
      <c r="AW1139" s="7"/>
      <c r="AX1139" s="7"/>
    </row>
    <row r="1140" spans="14:50" x14ac:dyDescent="0.25">
      <c r="N1140" s="3"/>
      <c r="AW1140" s="7"/>
      <c r="AX1140" s="7"/>
    </row>
    <row r="1141" spans="14:50" x14ac:dyDescent="0.25">
      <c r="N1141" s="3"/>
      <c r="AW1141" s="7"/>
      <c r="AX1141" s="7"/>
    </row>
    <row r="1142" spans="14:50" x14ac:dyDescent="0.25">
      <c r="N1142" s="3"/>
      <c r="AW1142" s="7"/>
      <c r="AX1142" s="7"/>
    </row>
    <row r="1143" spans="14:50" x14ac:dyDescent="0.25">
      <c r="N1143" s="3"/>
      <c r="AW1143" s="7"/>
      <c r="AX1143" s="7"/>
    </row>
    <row r="1144" spans="14:50" x14ac:dyDescent="0.25">
      <c r="N1144" s="3"/>
      <c r="AW1144" s="7"/>
      <c r="AX1144" s="7"/>
    </row>
    <row r="1145" spans="14:50" x14ac:dyDescent="0.25">
      <c r="N1145" s="3"/>
      <c r="AW1145" s="7"/>
      <c r="AX1145" s="7"/>
    </row>
    <row r="1146" spans="14:50" x14ac:dyDescent="0.25">
      <c r="N1146" s="3"/>
      <c r="AW1146" s="7"/>
      <c r="AX1146" s="7"/>
    </row>
    <row r="1147" spans="14:50" x14ac:dyDescent="0.25">
      <c r="N1147" s="3"/>
      <c r="AW1147" s="7"/>
      <c r="AX1147" s="7"/>
    </row>
    <row r="1148" spans="14:50" x14ac:dyDescent="0.25">
      <c r="N1148" s="3"/>
      <c r="AW1148" s="7"/>
      <c r="AX1148" s="7"/>
    </row>
    <row r="1149" spans="14:50" x14ac:dyDescent="0.25">
      <c r="N1149" s="3"/>
      <c r="AW1149" s="7"/>
      <c r="AX1149" s="7"/>
    </row>
    <row r="1150" spans="14:50" x14ac:dyDescent="0.25">
      <c r="N1150" s="3"/>
      <c r="AW1150" s="7"/>
      <c r="AX1150" s="7"/>
    </row>
    <row r="1151" spans="14:50" x14ac:dyDescent="0.25">
      <c r="N1151" s="3"/>
      <c r="AW1151" s="7"/>
      <c r="AX1151" s="7"/>
    </row>
    <row r="1152" spans="14:50" x14ac:dyDescent="0.25">
      <c r="N1152" s="3"/>
      <c r="AW1152" s="7"/>
      <c r="AX1152" s="7"/>
    </row>
    <row r="1153" spans="14:50" x14ac:dyDescent="0.25">
      <c r="N1153" s="3"/>
      <c r="AW1153" s="7"/>
      <c r="AX1153" s="7"/>
    </row>
    <row r="1154" spans="14:50" x14ac:dyDescent="0.25">
      <c r="N1154" s="3"/>
      <c r="AW1154" s="7"/>
      <c r="AX1154" s="7"/>
    </row>
    <row r="1155" spans="14:50" x14ac:dyDescent="0.25">
      <c r="N1155" s="3"/>
      <c r="AW1155" s="7"/>
      <c r="AX1155" s="7"/>
    </row>
    <row r="1156" spans="14:50" x14ac:dyDescent="0.25">
      <c r="N1156" s="3"/>
      <c r="AW1156" s="7"/>
      <c r="AX1156" s="7"/>
    </row>
    <row r="1157" spans="14:50" x14ac:dyDescent="0.25">
      <c r="N1157" s="3"/>
      <c r="AW1157" s="7"/>
      <c r="AX1157" s="7"/>
    </row>
    <row r="1158" spans="14:50" x14ac:dyDescent="0.25">
      <c r="N1158" s="3"/>
      <c r="AW1158" s="7"/>
      <c r="AX1158" s="7"/>
    </row>
    <row r="1159" spans="14:50" x14ac:dyDescent="0.25">
      <c r="N1159" s="3"/>
      <c r="AW1159" s="7"/>
      <c r="AX1159" s="7"/>
    </row>
    <row r="1160" spans="14:50" x14ac:dyDescent="0.25">
      <c r="N1160" s="3"/>
      <c r="AW1160" s="7"/>
      <c r="AX1160" s="7"/>
    </row>
    <row r="1161" spans="14:50" x14ac:dyDescent="0.25">
      <c r="N1161" s="3"/>
      <c r="AW1161" s="7"/>
      <c r="AX1161" s="7"/>
    </row>
    <row r="1162" spans="14:50" x14ac:dyDescent="0.25">
      <c r="N1162" s="3"/>
      <c r="AW1162" s="7"/>
      <c r="AX1162" s="7"/>
    </row>
    <row r="1163" spans="14:50" x14ac:dyDescent="0.25">
      <c r="N1163" s="3"/>
      <c r="AW1163" s="7"/>
      <c r="AX1163" s="7"/>
    </row>
    <row r="1164" spans="14:50" x14ac:dyDescent="0.25">
      <c r="N1164" s="3"/>
      <c r="AW1164" s="7"/>
      <c r="AX1164" s="7"/>
    </row>
    <row r="1165" spans="14:50" x14ac:dyDescent="0.25">
      <c r="N1165" s="3"/>
      <c r="AW1165" s="7"/>
      <c r="AX1165" s="7"/>
    </row>
    <row r="1166" spans="14:50" x14ac:dyDescent="0.25">
      <c r="N1166" s="3"/>
      <c r="AW1166" s="7"/>
      <c r="AX1166" s="7"/>
    </row>
    <row r="1167" spans="14:50" x14ac:dyDescent="0.25">
      <c r="N1167" s="3"/>
      <c r="AW1167" s="7"/>
      <c r="AX1167" s="7"/>
    </row>
    <row r="1168" spans="14:50" x14ac:dyDescent="0.25">
      <c r="N1168" s="3"/>
      <c r="AW1168" s="7"/>
      <c r="AX1168" s="7"/>
    </row>
    <row r="1169" spans="14:50" x14ac:dyDescent="0.25">
      <c r="N1169" s="3"/>
      <c r="AW1169" s="7"/>
      <c r="AX1169" s="7"/>
    </row>
    <row r="1170" spans="14:50" x14ac:dyDescent="0.25">
      <c r="N1170" s="3"/>
      <c r="AW1170" s="7"/>
      <c r="AX1170" s="7"/>
    </row>
    <row r="1171" spans="14:50" x14ac:dyDescent="0.25">
      <c r="N1171" s="3"/>
      <c r="AW1171" s="7"/>
      <c r="AX1171" s="7"/>
    </row>
    <row r="1172" spans="14:50" x14ac:dyDescent="0.25">
      <c r="N1172" s="3"/>
      <c r="AW1172" s="7"/>
      <c r="AX1172" s="7"/>
    </row>
    <row r="1173" spans="14:50" x14ac:dyDescent="0.25">
      <c r="N1173" s="3"/>
      <c r="AW1173" s="7"/>
      <c r="AX1173" s="7"/>
    </row>
    <row r="1174" spans="14:50" x14ac:dyDescent="0.25">
      <c r="N1174" s="3"/>
      <c r="AW1174" s="7"/>
      <c r="AX1174" s="7"/>
    </row>
    <row r="1175" spans="14:50" x14ac:dyDescent="0.25">
      <c r="N1175" s="3"/>
      <c r="AW1175" s="7"/>
      <c r="AX1175" s="7"/>
    </row>
    <row r="1176" spans="14:50" x14ac:dyDescent="0.25">
      <c r="N1176" s="3"/>
      <c r="AW1176" s="7"/>
      <c r="AX1176" s="7"/>
    </row>
    <row r="1177" spans="14:50" x14ac:dyDescent="0.25">
      <c r="N1177" s="3"/>
      <c r="AW1177" s="7"/>
      <c r="AX1177" s="7"/>
    </row>
    <row r="1178" spans="14:50" x14ac:dyDescent="0.25">
      <c r="N1178" s="3"/>
      <c r="AW1178" s="7"/>
      <c r="AX1178" s="7"/>
    </row>
    <row r="1179" spans="14:50" x14ac:dyDescent="0.25">
      <c r="N1179" s="3"/>
      <c r="AW1179" s="7"/>
      <c r="AX1179" s="7"/>
    </row>
    <row r="1180" spans="14:50" x14ac:dyDescent="0.25">
      <c r="N1180" s="3"/>
      <c r="AW1180" s="7"/>
      <c r="AX1180" s="7"/>
    </row>
    <row r="1181" spans="14:50" x14ac:dyDescent="0.25">
      <c r="N1181" s="3"/>
      <c r="AW1181" s="7"/>
      <c r="AX1181" s="7"/>
    </row>
    <row r="1182" spans="14:50" x14ac:dyDescent="0.25">
      <c r="N1182" s="3"/>
      <c r="AW1182" s="7"/>
      <c r="AX1182" s="7"/>
    </row>
    <row r="1183" spans="14:50" x14ac:dyDescent="0.25">
      <c r="N1183" s="3"/>
      <c r="AW1183" s="7"/>
      <c r="AX1183" s="7"/>
    </row>
    <row r="1184" spans="14:50" x14ac:dyDescent="0.25">
      <c r="N1184" s="3"/>
      <c r="AW1184" s="7"/>
      <c r="AX1184" s="7"/>
    </row>
    <row r="1185" spans="14:50" x14ac:dyDescent="0.25">
      <c r="N1185" s="3"/>
      <c r="AW1185" s="7"/>
      <c r="AX1185" s="7"/>
    </row>
    <row r="1186" spans="14:50" x14ac:dyDescent="0.25">
      <c r="N1186" s="3"/>
      <c r="AW1186" s="7"/>
      <c r="AX1186" s="7"/>
    </row>
    <row r="1187" spans="14:50" x14ac:dyDescent="0.25">
      <c r="N1187" s="3"/>
      <c r="AW1187" s="7"/>
      <c r="AX1187" s="7"/>
    </row>
    <row r="1188" spans="14:50" x14ac:dyDescent="0.25">
      <c r="N1188" s="3"/>
      <c r="AW1188" s="7"/>
      <c r="AX1188" s="7"/>
    </row>
    <row r="1189" spans="14:50" x14ac:dyDescent="0.25">
      <c r="N1189" s="3"/>
      <c r="AW1189" s="7"/>
      <c r="AX1189" s="7"/>
    </row>
    <row r="1190" spans="14:50" x14ac:dyDescent="0.25">
      <c r="N1190" s="3"/>
      <c r="AW1190" s="7"/>
      <c r="AX1190" s="7"/>
    </row>
    <row r="1191" spans="14:50" x14ac:dyDescent="0.25">
      <c r="N1191" s="3"/>
      <c r="AW1191" s="7"/>
      <c r="AX1191" s="7"/>
    </row>
    <row r="1192" spans="14:50" x14ac:dyDescent="0.25">
      <c r="N1192" s="3"/>
      <c r="AW1192" s="7"/>
      <c r="AX1192" s="7"/>
    </row>
    <row r="1193" spans="14:50" x14ac:dyDescent="0.25">
      <c r="N1193" s="3"/>
      <c r="AW1193" s="7"/>
      <c r="AX1193" s="7"/>
    </row>
    <row r="1194" spans="14:50" x14ac:dyDescent="0.25">
      <c r="N1194" s="3"/>
      <c r="AW1194" s="7"/>
      <c r="AX1194" s="7"/>
    </row>
    <row r="1195" spans="14:50" x14ac:dyDescent="0.25">
      <c r="N1195" s="3"/>
      <c r="AW1195" s="7"/>
      <c r="AX1195" s="7"/>
    </row>
    <row r="1196" spans="14:50" x14ac:dyDescent="0.25">
      <c r="N1196" s="3"/>
      <c r="AW1196" s="7"/>
      <c r="AX1196" s="7"/>
    </row>
    <row r="1197" spans="14:50" x14ac:dyDescent="0.25">
      <c r="N1197" s="3"/>
      <c r="AW1197" s="7"/>
      <c r="AX1197" s="7"/>
    </row>
    <row r="1198" spans="14:50" x14ac:dyDescent="0.25">
      <c r="N1198" s="3"/>
      <c r="AW1198" s="7"/>
      <c r="AX1198" s="7"/>
    </row>
    <row r="1199" spans="14:50" x14ac:dyDescent="0.25">
      <c r="N1199" s="3"/>
      <c r="AW1199" s="7"/>
      <c r="AX1199" s="7"/>
    </row>
    <row r="1200" spans="14:50" x14ac:dyDescent="0.25">
      <c r="N1200" s="3"/>
      <c r="AW1200" s="7"/>
      <c r="AX1200" s="7"/>
    </row>
    <row r="1201" spans="14:50" x14ac:dyDescent="0.25">
      <c r="N1201" s="3"/>
      <c r="AW1201" s="7"/>
      <c r="AX1201" s="7"/>
    </row>
    <row r="1202" spans="14:50" x14ac:dyDescent="0.25">
      <c r="N1202" s="3"/>
      <c r="AW1202" s="7"/>
      <c r="AX1202" s="7"/>
    </row>
    <row r="1203" spans="14:50" x14ac:dyDescent="0.25">
      <c r="N1203" s="3"/>
      <c r="AW1203" s="7"/>
      <c r="AX1203" s="7"/>
    </row>
    <row r="1204" spans="14:50" x14ac:dyDescent="0.25">
      <c r="N1204" s="3"/>
      <c r="AW1204" s="7"/>
      <c r="AX1204" s="7"/>
    </row>
    <row r="1205" spans="14:50" x14ac:dyDescent="0.25">
      <c r="N1205" s="3"/>
      <c r="AW1205" s="7"/>
      <c r="AX1205" s="7"/>
    </row>
    <row r="1206" spans="14:50" x14ac:dyDescent="0.25">
      <c r="N1206" s="3"/>
      <c r="AW1206" s="7"/>
      <c r="AX1206" s="7"/>
    </row>
    <row r="1207" spans="14:50" x14ac:dyDescent="0.25">
      <c r="N1207" s="3"/>
      <c r="AW1207" s="7"/>
      <c r="AX1207" s="7"/>
    </row>
    <row r="1208" spans="14:50" x14ac:dyDescent="0.25">
      <c r="N1208" s="3"/>
      <c r="AW1208" s="7"/>
      <c r="AX1208" s="7"/>
    </row>
    <row r="1209" spans="14:50" x14ac:dyDescent="0.25">
      <c r="N1209" s="3"/>
      <c r="AW1209" s="7"/>
      <c r="AX1209" s="7"/>
    </row>
    <row r="1210" spans="14:50" x14ac:dyDescent="0.25">
      <c r="N1210" s="3"/>
      <c r="AW1210" s="7"/>
      <c r="AX1210" s="7"/>
    </row>
    <row r="1211" spans="14:50" x14ac:dyDescent="0.25">
      <c r="N1211" s="3"/>
      <c r="AW1211" s="7"/>
      <c r="AX1211" s="7"/>
    </row>
    <row r="1212" spans="14:50" x14ac:dyDescent="0.25">
      <c r="N1212" s="3"/>
      <c r="AW1212" s="7"/>
      <c r="AX1212" s="7"/>
    </row>
    <row r="1213" spans="14:50" x14ac:dyDescent="0.25">
      <c r="N1213" s="3"/>
      <c r="AW1213" s="7"/>
      <c r="AX1213" s="7"/>
    </row>
    <row r="1214" spans="14:50" x14ac:dyDescent="0.25">
      <c r="N1214" s="3"/>
      <c r="AW1214" s="7"/>
      <c r="AX1214" s="7"/>
    </row>
    <row r="1215" spans="14:50" x14ac:dyDescent="0.25">
      <c r="N1215" s="3"/>
      <c r="AW1215" s="7"/>
      <c r="AX1215" s="7"/>
    </row>
    <row r="1216" spans="14:50" x14ac:dyDescent="0.25">
      <c r="N1216" s="3"/>
      <c r="AW1216" s="7"/>
      <c r="AX1216" s="7"/>
    </row>
    <row r="1217" spans="14:50" x14ac:dyDescent="0.25">
      <c r="N1217" s="3"/>
      <c r="AW1217" s="7"/>
      <c r="AX1217" s="7"/>
    </row>
    <row r="1218" spans="14:50" x14ac:dyDescent="0.25">
      <c r="N1218" s="3"/>
      <c r="AW1218" s="7"/>
      <c r="AX1218" s="7"/>
    </row>
    <row r="1219" spans="14:50" x14ac:dyDescent="0.25">
      <c r="N1219" s="3"/>
      <c r="AW1219" s="7"/>
      <c r="AX1219" s="7"/>
    </row>
    <row r="1220" spans="14:50" x14ac:dyDescent="0.25">
      <c r="N1220" s="3"/>
      <c r="AW1220" s="7"/>
      <c r="AX1220" s="7"/>
    </row>
    <row r="1221" spans="14:50" x14ac:dyDescent="0.25">
      <c r="N1221" s="3"/>
      <c r="AW1221" s="7"/>
      <c r="AX1221" s="7"/>
    </row>
    <row r="1222" spans="14:50" x14ac:dyDescent="0.25">
      <c r="N1222" s="3"/>
      <c r="AW1222" s="7"/>
      <c r="AX1222" s="7"/>
    </row>
    <row r="1223" spans="14:50" x14ac:dyDescent="0.25">
      <c r="N1223" s="3"/>
      <c r="AW1223" s="7"/>
      <c r="AX1223" s="7"/>
    </row>
    <row r="1224" spans="14:50" x14ac:dyDescent="0.25">
      <c r="N1224" s="3"/>
      <c r="AW1224" s="7"/>
      <c r="AX1224" s="7"/>
    </row>
    <row r="1225" spans="14:50" x14ac:dyDescent="0.25">
      <c r="N1225" s="3"/>
      <c r="AW1225" s="7"/>
      <c r="AX1225" s="7"/>
    </row>
    <row r="1226" spans="14:50" x14ac:dyDescent="0.25">
      <c r="N1226" s="3"/>
      <c r="AW1226" s="7"/>
      <c r="AX1226" s="7"/>
    </row>
    <row r="1227" spans="14:50" x14ac:dyDescent="0.25">
      <c r="N1227" s="3"/>
      <c r="AW1227" s="7"/>
      <c r="AX1227" s="7"/>
    </row>
    <row r="1228" spans="14:50" x14ac:dyDescent="0.25">
      <c r="N1228" s="3"/>
      <c r="AW1228" s="7"/>
      <c r="AX1228" s="7"/>
    </row>
    <row r="1229" spans="14:50" x14ac:dyDescent="0.25">
      <c r="N1229" s="3"/>
      <c r="AW1229" s="7"/>
      <c r="AX1229" s="7"/>
    </row>
    <row r="1230" spans="14:50" x14ac:dyDescent="0.25">
      <c r="N1230" s="3"/>
      <c r="AW1230" s="7"/>
      <c r="AX1230" s="7"/>
    </row>
    <row r="1231" spans="14:50" x14ac:dyDescent="0.25">
      <c r="N1231" s="3"/>
      <c r="AW1231" s="7"/>
      <c r="AX1231" s="7"/>
    </row>
    <row r="1232" spans="14:50" x14ac:dyDescent="0.25">
      <c r="N1232" s="3"/>
      <c r="AW1232" s="7"/>
      <c r="AX1232" s="7"/>
    </row>
    <row r="1233" spans="14:50" x14ac:dyDescent="0.25">
      <c r="N1233" s="3"/>
      <c r="AW1233" s="7"/>
      <c r="AX1233" s="7"/>
    </row>
    <row r="1234" spans="14:50" x14ac:dyDescent="0.25">
      <c r="N1234" s="3"/>
      <c r="AW1234" s="7"/>
      <c r="AX1234" s="7"/>
    </row>
    <row r="1235" spans="14:50" x14ac:dyDescent="0.25">
      <c r="N1235" s="3"/>
      <c r="AW1235" s="7"/>
      <c r="AX1235" s="7"/>
    </row>
    <row r="1236" spans="14:50" x14ac:dyDescent="0.25">
      <c r="N1236" s="3"/>
      <c r="AW1236" s="7"/>
      <c r="AX1236" s="7"/>
    </row>
    <row r="1237" spans="14:50" x14ac:dyDescent="0.25">
      <c r="N1237" s="3"/>
      <c r="AW1237" s="7"/>
      <c r="AX1237" s="7"/>
    </row>
    <row r="1238" spans="14:50" x14ac:dyDescent="0.25">
      <c r="N1238" s="3"/>
      <c r="AW1238" s="7"/>
      <c r="AX1238" s="7"/>
    </row>
    <row r="1239" spans="14:50" x14ac:dyDescent="0.25">
      <c r="N1239" s="3"/>
      <c r="AW1239" s="7"/>
      <c r="AX1239" s="7"/>
    </row>
    <row r="1240" spans="14:50" x14ac:dyDescent="0.25">
      <c r="N1240" s="3"/>
      <c r="AW1240" s="7"/>
      <c r="AX1240" s="7"/>
    </row>
    <row r="1241" spans="14:50" x14ac:dyDescent="0.25">
      <c r="N1241" s="3"/>
      <c r="AW1241" s="7"/>
      <c r="AX1241" s="7"/>
    </row>
    <row r="1242" spans="14:50" x14ac:dyDescent="0.25">
      <c r="N1242" s="3"/>
      <c r="AW1242" s="7"/>
      <c r="AX1242" s="7"/>
    </row>
    <row r="1243" spans="14:50" x14ac:dyDescent="0.25">
      <c r="N1243" s="3"/>
      <c r="AW1243" s="7"/>
      <c r="AX1243" s="7"/>
    </row>
    <row r="1244" spans="14:50" x14ac:dyDescent="0.25">
      <c r="N1244" s="3"/>
      <c r="AW1244" s="7"/>
      <c r="AX1244" s="7"/>
    </row>
    <row r="1245" spans="14:50" x14ac:dyDescent="0.25">
      <c r="N1245" s="3"/>
      <c r="AW1245" s="7"/>
      <c r="AX1245" s="7"/>
    </row>
    <row r="1246" spans="14:50" x14ac:dyDescent="0.25">
      <c r="N1246" s="3"/>
      <c r="AW1246" s="7"/>
      <c r="AX1246" s="7"/>
    </row>
    <row r="1247" spans="14:50" x14ac:dyDescent="0.25">
      <c r="N1247" s="3"/>
      <c r="AW1247" s="7"/>
      <c r="AX1247" s="7"/>
    </row>
    <row r="1248" spans="14:50" x14ac:dyDescent="0.25">
      <c r="N1248" s="3"/>
      <c r="AW1248" s="7"/>
      <c r="AX1248" s="7"/>
    </row>
    <row r="1249" spans="14:50" x14ac:dyDescent="0.25">
      <c r="N1249" s="3"/>
      <c r="AW1249" s="7"/>
      <c r="AX1249" s="7"/>
    </row>
    <row r="1250" spans="14:50" x14ac:dyDescent="0.25">
      <c r="N1250" s="3"/>
      <c r="AW1250" s="7"/>
      <c r="AX1250" s="7"/>
    </row>
    <row r="1251" spans="14:50" x14ac:dyDescent="0.25">
      <c r="N1251" s="3"/>
      <c r="AW1251" s="7"/>
      <c r="AX1251" s="7"/>
    </row>
    <row r="1252" spans="14:50" x14ac:dyDescent="0.25">
      <c r="N1252" s="3"/>
      <c r="AW1252" s="7"/>
      <c r="AX1252" s="7"/>
    </row>
    <row r="1253" spans="14:50" x14ac:dyDescent="0.25">
      <c r="N1253" s="3"/>
      <c r="AW1253" s="7"/>
      <c r="AX1253" s="7"/>
    </row>
    <row r="1254" spans="14:50" x14ac:dyDescent="0.25">
      <c r="N1254" s="3"/>
      <c r="AW1254" s="7"/>
      <c r="AX1254" s="7"/>
    </row>
    <row r="1255" spans="14:50" x14ac:dyDescent="0.25">
      <c r="N1255" s="3"/>
      <c r="AW1255" s="7"/>
      <c r="AX1255" s="7"/>
    </row>
    <row r="1256" spans="14:50" x14ac:dyDescent="0.25">
      <c r="N1256" s="3"/>
      <c r="AW1256" s="7"/>
      <c r="AX1256" s="7"/>
    </row>
    <row r="1257" spans="14:50" x14ac:dyDescent="0.25">
      <c r="N1257" s="3"/>
      <c r="AW1257" s="7"/>
      <c r="AX1257" s="7"/>
    </row>
    <row r="1258" spans="14:50" x14ac:dyDescent="0.25">
      <c r="N1258" s="3"/>
      <c r="AW1258" s="7"/>
      <c r="AX1258" s="7"/>
    </row>
    <row r="1259" spans="14:50" x14ac:dyDescent="0.25">
      <c r="N1259" s="3"/>
      <c r="AW1259" s="7"/>
      <c r="AX1259" s="7"/>
    </row>
    <row r="1260" spans="14:50" x14ac:dyDescent="0.25">
      <c r="N1260" s="3"/>
      <c r="AW1260" s="7"/>
      <c r="AX1260" s="7"/>
    </row>
    <row r="1261" spans="14:50" x14ac:dyDescent="0.25">
      <c r="N1261" s="3"/>
      <c r="AW1261" s="7"/>
      <c r="AX1261" s="7"/>
    </row>
    <row r="1262" spans="14:50" x14ac:dyDescent="0.25">
      <c r="N1262" s="3"/>
      <c r="AW1262" s="7"/>
      <c r="AX1262" s="7"/>
    </row>
    <row r="1263" spans="14:50" x14ac:dyDescent="0.25">
      <c r="N1263" s="3"/>
      <c r="AW1263" s="7"/>
      <c r="AX1263" s="7"/>
    </row>
    <row r="1264" spans="14:50" x14ac:dyDescent="0.25">
      <c r="N1264" s="3"/>
      <c r="AW1264" s="7"/>
      <c r="AX1264" s="7"/>
    </row>
    <row r="1265" spans="14:50" x14ac:dyDescent="0.25">
      <c r="N1265" s="3"/>
      <c r="AW1265" s="7"/>
      <c r="AX1265" s="7"/>
    </row>
    <row r="1266" spans="14:50" x14ac:dyDescent="0.25">
      <c r="N1266" s="3"/>
      <c r="AW1266" s="7"/>
      <c r="AX1266" s="7"/>
    </row>
    <row r="1267" spans="14:50" x14ac:dyDescent="0.25">
      <c r="N1267" s="3"/>
      <c r="AW1267" s="7"/>
      <c r="AX1267" s="7"/>
    </row>
    <row r="1268" spans="14:50" x14ac:dyDescent="0.25">
      <c r="N1268" s="3"/>
      <c r="AW1268" s="7"/>
      <c r="AX1268" s="7"/>
    </row>
    <row r="1269" spans="14:50" x14ac:dyDescent="0.25">
      <c r="N1269" s="3"/>
      <c r="AW1269" s="7"/>
      <c r="AX1269" s="7"/>
    </row>
    <row r="1270" spans="14:50" x14ac:dyDescent="0.25">
      <c r="N1270" s="3"/>
      <c r="AW1270" s="7"/>
      <c r="AX1270" s="7"/>
    </row>
    <row r="1271" spans="14:50" x14ac:dyDescent="0.25">
      <c r="N1271" s="3"/>
      <c r="AW1271" s="7"/>
      <c r="AX1271" s="7"/>
    </row>
    <row r="1272" spans="14:50" x14ac:dyDescent="0.25">
      <c r="N1272" s="3"/>
      <c r="AW1272" s="7"/>
      <c r="AX1272" s="7"/>
    </row>
    <row r="1273" spans="14:50" x14ac:dyDescent="0.25">
      <c r="N1273" s="3"/>
      <c r="AW1273" s="7"/>
      <c r="AX1273" s="7"/>
    </row>
    <row r="1274" spans="14:50" x14ac:dyDescent="0.25">
      <c r="N1274" s="3"/>
      <c r="AW1274" s="7"/>
      <c r="AX1274" s="7"/>
    </row>
    <row r="1275" spans="14:50" x14ac:dyDescent="0.25">
      <c r="N1275" s="3"/>
      <c r="AW1275" s="7"/>
      <c r="AX1275" s="7"/>
    </row>
    <row r="1276" spans="14:50" x14ac:dyDescent="0.25">
      <c r="N1276" s="3"/>
      <c r="AW1276" s="7"/>
      <c r="AX1276" s="7"/>
    </row>
    <row r="1277" spans="14:50" x14ac:dyDescent="0.25">
      <c r="N1277" s="3"/>
      <c r="AW1277" s="7"/>
      <c r="AX1277" s="7"/>
    </row>
    <row r="1278" spans="14:50" x14ac:dyDescent="0.25">
      <c r="N1278" s="3"/>
      <c r="AW1278" s="7"/>
      <c r="AX1278" s="7"/>
    </row>
    <row r="1279" spans="14:50" x14ac:dyDescent="0.25">
      <c r="N1279" s="3"/>
      <c r="AW1279" s="7"/>
      <c r="AX1279" s="7"/>
    </row>
    <row r="1280" spans="14:50" x14ac:dyDescent="0.25">
      <c r="N1280" s="3"/>
      <c r="AW1280" s="7"/>
      <c r="AX1280" s="7"/>
    </row>
    <row r="1281" spans="14:50" x14ac:dyDescent="0.25">
      <c r="N1281" s="3"/>
      <c r="AW1281" s="7"/>
      <c r="AX1281" s="7"/>
    </row>
    <row r="1282" spans="14:50" x14ac:dyDescent="0.25">
      <c r="N1282" s="3"/>
      <c r="AW1282" s="7"/>
      <c r="AX1282" s="7"/>
    </row>
    <row r="1283" spans="14:50" x14ac:dyDescent="0.25">
      <c r="N1283" s="3"/>
      <c r="AW1283" s="7"/>
      <c r="AX1283" s="7"/>
    </row>
    <row r="1284" spans="14:50" x14ac:dyDescent="0.25">
      <c r="N1284" s="3"/>
      <c r="AW1284" s="7"/>
      <c r="AX1284" s="7"/>
    </row>
    <row r="1285" spans="14:50" x14ac:dyDescent="0.25">
      <c r="N1285" s="3"/>
      <c r="AW1285" s="7"/>
      <c r="AX1285" s="7"/>
    </row>
    <row r="1286" spans="14:50" x14ac:dyDescent="0.25">
      <c r="N1286" s="3"/>
      <c r="AW1286" s="7"/>
      <c r="AX1286" s="7"/>
    </row>
    <row r="1287" spans="14:50" x14ac:dyDescent="0.25">
      <c r="N1287" s="3"/>
      <c r="AW1287" s="7"/>
      <c r="AX1287" s="7"/>
    </row>
    <row r="1288" spans="14:50" x14ac:dyDescent="0.25">
      <c r="N1288" s="3"/>
      <c r="AW1288" s="7"/>
      <c r="AX1288" s="7"/>
    </row>
    <row r="1289" spans="14:50" x14ac:dyDescent="0.25">
      <c r="N1289" s="3"/>
      <c r="AW1289" s="7"/>
      <c r="AX1289" s="7"/>
    </row>
    <row r="1290" spans="14:50" x14ac:dyDescent="0.25">
      <c r="N1290" s="3"/>
      <c r="AW1290" s="7"/>
      <c r="AX1290" s="7"/>
    </row>
    <row r="1291" spans="14:50" x14ac:dyDescent="0.25">
      <c r="N1291" s="3"/>
      <c r="AW1291" s="7"/>
      <c r="AX1291" s="7"/>
    </row>
    <row r="1292" spans="14:50" x14ac:dyDescent="0.25">
      <c r="N1292" s="3"/>
      <c r="AW1292" s="7"/>
      <c r="AX1292" s="7"/>
    </row>
    <row r="1293" spans="14:50" x14ac:dyDescent="0.25">
      <c r="N1293" s="3"/>
      <c r="AW1293" s="7"/>
      <c r="AX1293" s="7"/>
    </row>
    <row r="1294" spans="14:50" x14ac:dyDescent="0.25">
      <c r="N1294" s="3"/>
      <c r="AW1294" s="7"/>
      <c r="AX1294" s="7"/>
    </row>
    <row r="1295" spans="14:50" x14ac:dyDescent="0.25">
      <c r="N1295" s="3"/>
      <c r="AW1295" s="7"/>
      <c r="AX1295" s="7"/>
    </row>
    <row r="1296" spans="14:50" x14ac:dyDescent="0.25">
      <c r="N1296" s="3"/>
      <c r="AW1296" s="7"/>
      <c r="AX1296" s="7"/>
    </row>
    <row r="1297" spans="14:50" x14ac:dyDescent="0.25">
      <c r="N1297" s="3"/>
      <c r="AW1297" s="7"/>
      <c r="AX1297" s="7"/>
    </row>
    <row r="1298" spans="14:50" x14ac:dyDescent="0.25">
      <c r="N1298" s="3"/>
      <c r="AW1298" s="7"/>
      <c r="AX1298" s="7"/>
    </row>
    <row r="1299" spans="14:50" x14ac:dyDescent="0.25">
      <c r="N1299" s="3"/>
      <c r="AW1299" s="7"/>
      <c r="AX1299" s="7"/>
    </row>
    <row r="1300" spans="14:50" x14ac:dyDescent="0.25">
      <c r="N1300" s="3"/>
      <c r="AW1300" s="7"/>
      <c r="AX1300" s="7"/>
    </row>
    <row r="1301" spans="14:50" x14ac:dyDescent="0.25">
      <c r="N1301" s="3"/>
      <c r="AW1301" s="7"/>
      <c r="AX1301" s="7"/>
    </row>
    <row r="1302" spans="14:50" x14ac:dyDescent="0.25">
      <c r="N1302" s="3"/>
      <c r="AW1302" s="7"/>
      <c r="AX1302" s="7"/>
    </row>
    <row r="1303" spans="14:50" x14ac:dyDescent="0.25">
      <c r="N1303" s="3"/>
      <c r="AW1303" s="7"/>
      <c r="AX1303" s="7"/>
    </row>
    <row r="1304" spans="14:50" x14ac:dyDescent="0.25">
      <c r="N1304" s="3"/>
      <c r="AW1304" s="7"/>
      <c r="AX1304" s="7"/>
    </row>
    <row r="1305" spans="14:50" x14ac:dyDescent="0.25">
      <c r="N1305" s="3"/>
      <c r="AW1305" s="7"/>
      <c r="AX1305" s="7"/>
    </row>
    <row r="1306" spans="14:50" x14ac:dyDescent="0.25">
      <c r="N1306" s="3"/>
      <c r="AW1306" s="7"/>
      <c r="AX1306" s="7"/>
    </row>
    <row r="1307" spans="14:50" x14ac:dyDescent="0.25">
      <c r="N1307" s="3"/>
      <c r="AW1307" s="7"/>
      <c r="AX1307" s="7"/>
    </row>
    <row r="1308" spans="14:50" x14ac:dyDescent="0.25">
      <c r="N1308" s="3"/>
      <c r="AW1308" s="7"/>
      <c r="AX1308" s="7"/>
    </row>
    <row r="1309" spans="14:50" x14ac:dyDescent="0.25">
      <c r="N1309" s="3"/>
      <c r="AW1309" s="7"/>
      <c r="AX1309" s="7"/>
    </row>
    <row r="1310" spans="14:50" x14ac:dyDescent="0.25">
      <c r="N1310" s="3"/>
      <c r="AW1310" s="7"/>
      <c r="AX1310" s="7"/>
    </row>
    <row r="1311" spans="14:50" x14ac:dyDescent="0.25">
      <c r="N1311" s="3"/>
      <c r="AW1311" s="7"/>
      <c r="AX1311" s="7"/>
    </row>
    <row r="1312" spans="14:50" x14ac:dyDescent="0.25">
      <c r="N1312" s="3"/>
      <c r="AW1312" s="7"/>
      <c r="AX1312" s="7"/>
    </row>
    <row r="1313" spans="14:50" x14ac:dyDescent="0.25">
      <c r="N1313" s="3"/>
      <c r="AW1313" s="7"/>
      <c r="AX1313" s="7"/>
    </row>
    <row r="1314" spans="14:50" x14ac:dyDescent="0.25">
      <c r="N1314" s="3"/>
      <c r="AW1314" s="7"/>
      <c r="AX1314" s="7"/>
    </row>
    <row r="1315" spans="14:50" x14ac:dyDescent="0.25">
      <c r="N1315" s="3"/>
      <c r="AW1315" s="7"/>
      <c r="AX1315" s="7"/>
    </row>
    <row r="1316" spans="14:50" x14ac:dyDescent="0.25">
      <c r="N1316" s="3"/>
      <c r="AW1316" s="7"/>
      <c r="AX1316" s="7"/>
    </row>
    <row r="1317" spans="14:50" x14ac:dyDescent="0.25">
      <c r="N1317" s="3"/>
      <c r="AW1317" s="7"/>
      <c r="AX1317" s="7"/>
    </row>
    <row r="1318" spans="14:50" x14ac:dyDescent="0.25">
      <c r="N1318" s="3"/>
      <c r="AW1318" s="7"/>
      <c r="AX1318" s="7"/>
    </row>
    <row r="1319" spans="14:50" x14ac:dyDescent="0.25">
      <c r="N1319" s="3"/>
      <c r="AW1319" s="7"/>
      <c r="AX1319" s="7"/>
    </row>
    <row r="1320" spans="14:50" x14ac:dyDescent="0.25">
      <c r="N1320" s="3"/>
      <c r="AW1320" s="7"/>
      <c r="AX1320" s="7"/>
    </row>
    <row r="1321" spans="14:50" x14ac:dyDescent="0.25">
      <c r="N1321" s="3"/>
      <c r="AW1321" s="7"/>
      <c r="AX1321" s="7"/>
    </row>
    <row r="1322" spans="14:50" x14ac:dyDescent="0.25">
      <c r="N1322" s="3"/>
      <c r="AW1322" s="7"/>
      <c r="AX1322" s="7"/>
    </row>
    <row r="1323" spans="14:50" x14ac:dyDescent="0.25">
      <c r="N1323" s="3"/>
      <c r="AW1323" s="7"/>
      <c r="AX1323" s="7"/>
    </row>
    <row r="1324" spans="14:50" x14ac:dyDescent="0.25">
      <c r="N1324" s="3"/>
      <c r="AW1324" s="7"/>
      <c r="AX1324" s="7"/>
    </row>
    <row r="1325" spans="14:50" x14ac:dyDescent="0.25">
      <c r="N1325" s="3"/>
      <c r="AW1325" s="7"/>
      <c r="AX1325" s="7"/>
    </row>
    <row r="1326" spans="14:50" x14ac:dyDescent="0.25">
      <c r="N1326" s="3"/>
      <c r="AW1326" s="7"/>
      <c r="AX1326" s="7"/>
    </row>
    <row r="1327" spans="14:50" x14ac:dyDescent="0.25">
      <c r="N1327" s="3"/>
      <c r="AW1327" s="7"/>
      <c r="AX1327" s="7"/>
    </row>
    <row r="1328" spans="14:50" x14ac:dyDescent="0.25">
      <c r="N1328" s="3"/>
      <c r="AW1328" s="7"/>
      <c r="AX1328" s="7"/>
    </row>
    <row r="1329" spans="14:50" x14ac:dyDescent="0.25">
      <c r="N1329" s="3"/>
      <c r="AW1329" s="7"/>
      <c r="AX1329" s="7"/>
    </row>
    <row r="1330" spans="14:50" x14ac:dyDescent="0.25">
      <c r="N1330" s="3"/>
      <c r="AW1330" s="7"/>
      <c r="AX1330" s="7"/>
    </row>
    <row r="1331" spans="14:50" x14ac:dyDescent="0.25">
      <c r="N1331" s="3"/>
      <c r="AW1331" s="7"/>
      <c r="AX1331" s="7"/>
    </row>
    <row r="1332" spans="14:50" x14ac:dyDescent="0.25">
      <c r="N1332" s="3"/>
      <c r="AW1332" s="7"/>
      <c r="AX1332" s="7"/>
    </row>
    <row r="1333" spans="14:50" x14ac:dyDescent="0.25">
      <c r="N1333" s="3"/>
      <c r="AW1333" s="7"/>
      <c r="AX1333" s="7"/>
    </row>
    <row r="1334" spans="14:50" x14ac:dyDescent="0.25">
      <c r="N1334" s="3"/>
      <c r="AW1334" s="7"/>
      <c r="AX1334" s="7"/>
    </row>
    <row r="1335" spans="14:50" x14ac:dyDescent="0.25">
      <c r="N1335" s="3"/>
      <c r="AW1335" s="7"/>
      <c r="AX1335" s="7"/>
    </row>
    <row r="1336" spans="14:50" x14ac:dyDescent="0.25">
      <c r="N1336" s="3"/>
      <c r="AW1336" s="7"/>
      <c r="AX1336" s="7"/>
    </row>
    <row r="1337" spans="14:50" x14ac:dyDescent="0.25">
      <c r="N1337" s="3"/>
      <c r="AW1337" s="7"/>
      <c r="AX1337" s="7"/>
    </row>
    <row r="1338" spans="14:50" x14ac:dyDescent="0.25">
      <c r="N1338" s="3"/>
      <c r="AW1338" s="7"/>
      <c r="AX1338" s="7"/>
    </row>
    <row r="1339" spans="14:50" x14ac:dyDescent="0.25">
      <c r="N1339" s="3"/>
      <c r="AW1339" s="7"/>
      <c r="AX1339" s="7"/>
    </row>
    <row r="1340" spans="14:50" x14ac:dyDescent="0.25">
      <c r="N1340" s="3"/>
      <c r="AW1340" s="7"/>
      <c r="AX1340" s="7"/>
    </row>
    <row r="1341" spans="14:50" x14ac:dyDescent="0.25">
      <c r="N1341" s="3"/>
      <c r="AW1341" s="7"/>
      <c r="AX1341" s="7"/>
    </row>
    <row r="1342" spans="14:50" x14ac:dyDescent="0.25">
      <c r="N1342" s="3"/>
      <c r="AW1342" s="7"/>
      <c r="AX1342" s="7"/>
    </row>
    <row r="1343" spans="14:50" x14ac:dyDescent="0.25">
      <c r="N1343" s="3"/>
      <c r="AW1343" s="7"/>
      <c r="AX1343" s="7"/>
    </row>
    <row r="1344" spans="14:50" x14ac:dyDescent="0.25">
      <c r="N1344" s="3"/>
      <c r="AW1344" s="7"/>
      <c r="AX1344" s="7"/>
    </row>
    <row r="1345" spans="14:50" x14ac:dyDescent="0.25">
      <c r="N1345" s="3"/>
      <c r="AW1345" s="7"/>
      <c r="AX1345" s="7"/>
    </row>
    <row r="1346" spans="14:50" x14ac:dyDescent="0.25">
      <c r="N1346" s="3"/>
      <c r="AW1346" s="7"/>
      <c r="AX1346" s="7"/>
    </row>
    <row r="1347" spans="14:50" x14ac:dyDescent="0.25">
      <c r="N1347" s="3"/>
      <c r="AW1347" s="7"/>
      <c r="AX1347" s="7"/>
    </row>
    <row r="1348" spans="14:50" x14ac:dyDescent="0.25">
      <c r="N1348" s="3"/>
      <c r="AW1348" s="7"/>
      <c r="AX1348" s="7"/>
    </row>
    <row r="1349" spans="14:50" x14ac:dyDescent="0.25">
      <c r="N1349" s="3"/>
      <c r="AW1349" s="7"/>
      <c r="AX1349" s="7"/>
    </row>
    <row r="1350" spans="14:50" x14ac:dyDescent="0.25">
      <c r="N1350" s="3"/>
      <c r="AW1350" s="7"/>
      <c r="AX1350" s="7"/>
    </row>
    <row r="1351" spans="14:50" x14ac:dyDescent="0.25">
      <c r="N1351" s="3"/>
      <c r="AW1351" s="7"/>
      <c r="AX1351" s="7"/>
    </row>
    <row r="1352" spans="14:50" x14ac:dyDescent="0.25">
      <c r="N1352" s="3"/>
      <c r="AW1352" s="7"/>
      <c r="AX1352" s="7"/>
    </row>
    <row r="1353" spans="14:50" x14ac:dyDescent="0.25">
      <c r="N1353" s="3"/>
      <c r="AW1353" s="7"/>
      <c r="AX1353" s="7"/>
    </row>
    <row r="1354" spans="14:50" x14ac:dyDescent="0.25">
      <c r="N1354" s="3"/>
      <c r="AW1354" s="7"/>
      <c r="AX1354" s="7"/>
    </row>
    <row r="1355" spans="14:50" x14ac:dyDescent="0.25">
      <c r="N1355" s="3"/>
      <c r="AW1355" s="7"/>
      <c r="AX1355" s="7"/>
    </row>
    <row r="1356" spans="14:50" x14ac:dyDescent="0.25">
      <c r="N1356" s="3"/>
      <c r="AW1356" s="7"/>
      <c r="AX1356" s="7"/>
    </row>
    <row r="1357" spans="14:50" x14ac:dyDescent="0.25">
      <c r="N1357" s="3"/>
      <c r="AW1357" s="7"/>
      <c r="AX1357" s="7"/>
    </row>
    <row r="1358" spans="14:50" x14ac:dyDescent="0.25">
      <c r="N1358" s="3"/>
      <c r="AW1358" s="7"/>
      <c r="AX1358" s="7"/>
    </row>
    <row r="1359" spans="14:50" x14ac:dyDescent="0.25">
      <c r="N1359" s="3"/>
      <c r="AW1359" s="7"/>
      <c r="AX1359" s="7"/>
    </row>
    <row r="1360" spans="14:50" x14ac:dyDescent="0.25">
      <c r="N1360" s="3"/>
      <c r="AW1360" s="7"/>
      <c r="AX1360" s="7"/>
    </row>
    <row r="1361" spans="14:50" x14ac:dyDescent="0.25">
      <c r="N1361" s="3"/>
      <c r="AW1361" s="7"/>
      <c r="AX1361" s="7"/>
    </row>
    <row r="1362" spans="14:50" x14ac:dyDescent="0.25">
      <c r="N1362" s="3"/>
      <c r="AW1362" s="7"/>
      <c r="AX1362" s="7"/>
    </row>
    <row r="1363" spans="14:50" x14ac:dyDescent="0.25">
      <c r="N1363" s="3"/>
      <c r="AW1363" s="7"/>
      <c r="AX1363" s="7"/>
    </row>
    <row r="1364" spans="14:50" x14ac:dyDescent="0.25">
      <c r="N1364" s="3"/>
      <c r="AW1364" s="7"/>
      <c r="AX1364" s="7"/>
    </row>
    <row r="1365" spans="14:50" x14ac:dyDescent="0.25">
      <c r="N1365" s="3"/>
      <c r="AW1365" s="7"/>
      <c r="AX1365" s="7"/>
    </row>
    <row r="1366" spans="14:50" x14ac:dyDescent="0.25">
      <c r="N1366" s="3"/>
      <c r="AW1366" s="7"/>
      <c r="AX1366" s="7"/>
    </row>
    <row r="1367" spans="14:50" x14ac:dyDescent="0.25">
      <c r="N1367" s="3"/>
      <c r="AW1367" s="7"/>
      <c r="AX1367" s="7"/>
    </row>
    <row r="1368" spans="14:50" x14ac:dyDescent="0.25">
      <c r="N1368" s="3"/>
      <c r="AW1368" s="7"/>
      <c r="AX1368" s="7"/>
    </row>
    <row r="1369" spans="14:50" x14ac:dyDescent="0.25">
      <c r="N1369" s="3"/>
      <c r="AW1369" s="7"/>
      <c r="AX1369" s="7"/>
    </row>
    <row r="1370" spans="14:50" x14ac:dyDescent="0.25">
      <c r="N1370" s="3"/>
      <c r="AW1370" s="7"/>
      <c r="AX1370" s="7"/>
    </row>
    <row r="1371" spans="14:50" x14ac:dyDescent="0.25">
      <c r="N1371" s="3"/>
      <c r="AW1371" s="7"/>
      <c r="AX1371" s="7"/>
    </row>
    <row r="1372" spans="14:50" x14ac:dyDescent="0.25">
      <c r="N1372" s="3"/>
      <c r="AW1372" s="7"/>
      <c r="AX1372" s="7"/>
    </row>
    <row r="1373" spans="14:50" x14ac:dyDescent="0.25">
      <c r="N1373" s="3"/>
      <c r="AW1373" s="7"/>
      <c r="AX1373" s="7"/>
    </row>
    <row r="1374" spans="14:50" x14ac:dyDescent="0.25">
      <c r="N1374" s="3"/>
      <c r="AW1374" s="7"/>
      <c r="AX1374" s="7"/>
    </row>
    <row r="1375" spans="14:50" x14ac:dyDescent="0.25">
      <c r="N1375" s="3"/>
      <c r="AW1375" s="7"/>
      <c r="AX1375" s="7"/>
    </row>
    <row r="1376" spans="14:50" x14ac:dyDescent="0.25">
      <c r="N1376" s="3"/>
      <c r="AW1376" s="7"/>
      <c r="AX1376" s="7"/>
    </row>
    <row r="1377" spans="14:50" x14ac:dyDescent="0.25">
      <c r="N1377" s="3"/>
      <c r="AW1377" s="7"/>
      <c r="AX1377" s="7"/>
    </row>
    <row r="1378" spans="14:50" x14ac:dyDescent="0.25">
      <c r="N1378" s="3"/>
      <c r="AW1378" s="7"/>
      <c r="AX1378" s="7"/>
    </row>
    <row r="1379" spans="14:50" x14ac:dyDescent="0.25">
      <c r="N1379" s="3"/>
      <c r="AW1379" s="7"/>
      <c r="AX1379" s="7"/>
    </row>
    <row r="1380" spans="14:50" x14ac:dyDescent="0.25">
      <c r="N1380" s="3"/>
      <c r="AW1380" s="7"/>
      <c r="AX1380" s="7"/>
    </row>
    <row r="1381" spans="14:50" x14ac:dyDescent="0.25">
      <c r="N1381" s="3"/>
      <c r="AW1381" s="7"/>
      <c r="AX1381" s="7"/>
    </row>
    <row r="1382" spans="14:50" x14ac:dyDescent="0.25">
      <c r="N1382" s="3"/>
      <c r="AW1382" s="7"/>
      <c r="AX1382" s="7"/>
    </row>
    <row r="1383" spans="14:50" x14ac:dyDescent="0.25">
      <c r="N1383" s="3"/>
      <c r="AW1383" s="7"/>
      <c r="AX1383" s="7"/>
    </row>
    <row r="1384" spans="14:50" x14ac:dyDescent="0.25">
      <c r="N1384" s="3"/>
      <c r="AW1384" s="7"/>
      <c r="AX1384" s="7"/>
    </row>
    <row r="1385" spans="14:50" x14ac:dyDescent="0.25">
      <c r="N1385" s="3"/>
      <c r="AW1385" s="7"/>
      <c r="AX1385" s="7"/>
    </row>
    <row r="1386" spans="14:50" x14ac:dyDescent="0.25">
      <c r="N1386" s="3"/>
      <c r="AW1386" s="7"/>
      <c r="AX1386" s="7"/>
    </row>
    <row r="1387" spans="14:50" x14ac:dyDescent="0.25">
      <c r="N1387" s="3"/>
      <c r="AW1387" s="7"/>
      <c r="AX1387" s="7"/>
    </row>
    <row r="1388" spans="14:50" x14ac:dyDescent="0.25">
      <c r="N1388" s="3"/>
      <c r="AW1388" s="7"/>
      <c r="AX1388" s="7"/>
    </row>
    <row r="1389" spans="14:50" x14ac:dyDescent="0.25">
      <c r="N1389" s="3"/>
      <c r="AW1389" s="7"/>
      <c r="AX1389" s="7"/>
    </row>
    <row r="1390" spans="14:50" x14ac:dyDescent="0.25">
      <c r="N1390" s="3"/>
      <c r="AW1390" s="7"/>
      <c r="AX1390" s="7"/>
    </row>
    <row r="1391" spans="14:50" x14ac:dyDescent="0.25">
      <c r="N1391" s="3"/>
      <c r="AW1391" s="7"/>
      <c r="AX1391" s="7"/>
    </row>
    <row r="1392" spans="14:50" x14ac:dyDescent="0.25">
      <c r="N1392" s="3"/>
      <c r="AW1392" s="7"/>
      <c r="AX1392" s="7"/>
    </row>
    <row r="1393" spans="14:50" x14ac:dyDescent="0.25">
      <c r="N1393" s="3"/>
      <c r="AW1393" s="7"/>
      <c r="AX1393" s="7"/>
    </row>
    <row r="1394" spans="14:50" x14ac:dyDescent="0.25">
      <c r="N1394" s="3"/>
      <c r="AW1394" s="7"/>
      <c r="AX1394" s="7"/>
    </row>
    <row r="1395" spans="14:50" x14ac:dyDescent="0.25">
      <c r="N1395" s="3"/>
      <c r="AW1395" s="7"/>
      <c r="AX1395" s="7"/>
    </row>
    <row r="1396" spans="14:50" x14ac:dyDescent="0.25">
      <c r="N1396" s="3"/>
      <c r="AW1396" s="7"/>
      <c r="AX1396" s="7"/>
    </row>
    <row r="1397" spans="14:50" x14ac:dyDescent="0.25">
      <c r="N1397" s="3"/>
      <c r="AW1397" s="7"/>
      <c r="AX1397" s="7"/>
    </row>
    <row r="1398" spans="14:50" x14ac:dyDescent="0.25">
      <c r="N1398" s="3"/>
      <c r="AW1398" s="7"/>
      <c r="AX1398" s="7"/>
    </row>
    <row r="1399" spans="14:50" x14ac:dyDescent="0.25">
      <c r="N1399" s="3"/>
      <c r="AW1399" s="7"/>
      <c r="AX1399" s="7"/>
    </row>
    <row r="1400" spans="14:50" x14ac:dyDescent="0.25">
      <c r="N1400" s="3"/>
      <c r="AW1400" s="7"/>
      <c r="AX1400" s="7"/>
    </row>
    <row r="1401" spans="14:50" x14ac:dyDescent="0.25">
      <c r="N1401" s="3"/>
      <c r="AW1401" s="7"/>
      <c r="AX1401" s="7"/>
    </row>
    <row r="1402" spans="14:50" x14ac:dyDescent="0.25">
      <c r="N1402" s="3"/>
      <c r="AW1402" s="7"/>
      <c r="AX1402" s="7"/>
    </row>
    <row r="1403" spans="14:50" x14ac:dyDescent="0.25">
      <c r="N1403" s="3"/>
      <c r="AW1403" s="7"/>
      <c r="AX1403" s="7"/>
    </row>
    <row r="1404" spans="14:50" x14ac:dyDescent="0.25">
      <c r="N1404" s="3"/>
      <c r="AW1404" s="7"/>
      <c r="AX1404" s="7"/>
    </row>
    <row r="1405" spans="14:50" x14ac:dyDescent="0.25">
      <c r="N1405" s="3"/>
      <c r="AW1405" s="7"/>
      <c r="AX1405" s="7"/>
    </row>
    <row r="1406" spans="14:50" x14ac:dyDescent="0.25">
      <c r="N1406" s="3"/>
      <c r="AW1406" s="7"/>
      <c r="AX1406" s="7"/>
    </row>
    <row r="1407" spans="14:50" x14ac:dyDescent="0.25">
      <c r="N1407" s="3"/>
      <c r="AW1407" s="7"/>
      <c r="AX1407" s="7"/>
    </row>
    <row r="1408" spans="14:50" x14ac:dyDescent="0.25">
      <c r="N1408" s="3"/>
      <c r="AW1408" s="7"/>
      <c r="AX1408" s="7"/>
    </row>
    <row r="1409" spans="14:50" x14ac:dyDescent="0.25">
      <c r="N1409" s="3"/>
      <c r="AW1409" s="7"/>
      <c r="AX1409" s="7"/>
    </row>
    <row r="1410" spans="14:50" x14ac:dyDescent="0.25">
      <c r="N1410" s="3"/>
      <c r="AW1410" s="7"/>
      <c r="AX1410" s="7"/>
    </row>
    <row r="1411" spans="14:50" x14ac:dyDescent="0.25">
      <c r="N1411" s="3"/>
      <c r="AW1411" s="7"/>
      <c r="AX1411" s="7"/>
    </row>
    <row r="1412" spans="14:50" x14ac:dyDescent="0.25">
      <c r="N1412" s="3"/>
      <c r="AW1412" s="7"/>
      <c r="AX1412" s="7"/>
    </row>
    <row r="1413" spans="14:50" x14ac:dyDescent="0.25">
      <c r="N1413" s="3"/>
      <c r="AW1413" s="7"/>
      <c r="AX1413" s="7"/>
    </row>
    <row r="1414" spans="14:50" x14ac:dyDescent="0.25">
      <c r="N1414" s="3"/>
      <c r="AW1414" s="7"/>
      <c r="AX1414" s="7"/>
    </row>
    <row r="1415" spans="14:50" x14ac:dyDescent="0.25">
      <c r="N1415" s="3"/>
      <c r="AW1415" s="7"/>
      <c r="AX1415" s="7"/>
    </row>
    <row r="1416" spans="14:50" x14ac:dyDescent="0.25">
      <c r="N1416" s="3"/>
      <c r="AW1416" s="7"/>
      <c r="AX1416" s="7"/>
    </row>
    <row r="1417" spans="14:50" x14ac:dyDescent="0.25">
      <c r="N1417" s="3"/>
      <c r="AW1417" s="7"/>
      <c r="AX1417" s="7"/>
    </row>
    <row r="1418" spans="14:50" x14ac:dyDescent="0.25">
      <c r="N1418" s="3"/>
      <c r="AW1418" s="7"/>
      <c r="AX1418" s="7"/>
    </row>
    <row r="1419" spans="14:50" x14ac:dyDescent="0.25">
      <c r="N1419" s="3"/>
      <c r="AW1419" s="7"/>
      <c r="AX1419" s="7"/>
    </row>
    <row r="1420" spans="14:50" x14ac:dyDescent="0.25">
      <c r="N1420" s="3"/>
      <c r="AW1420" s="7"/>
      <c r="AX1420" s="7"/>
    </row>
    <row r="1421" spans="14:50" x14ac:dyDescent="0.25">
      <c r="N1421" s="3"/>
      <c r="AW1421" s="7"/>
      <c r="AX1421" s="7"/>
    </row>
    <row r="1422" spans="14:50" x14ac:dyDescent="0.25">
      <c r="N1422" s="3"/>
      <c r="AW1422" s="7"/>
      <c r="AX1422" s="7"/>
    </row>
    <row r="1423" spans="14:50" x14ac:dyDescent="0.25">
      <c r="N1423" s="3"/>
      <c r="AW1423" s="7"/>
      <c r="AX1423" s="7"/>
    </row>
    <row r="1424" spans="14:50" x14ac:dyDescent="0.25">
      <c r="N1424" s="3"/>
      <c r="AW1424" s="7"/>
      <c r="AX1424" s="7"/>
    </row>
    <row r="1425" spans="14:50" x14ac:dyDescent="0.25">
      <c r="N1425" s="3"/>
      <c r="AW1425" s="7"/>
      <c r="AX1425" s="7"/>
    </row>
    <row r="1426" spans="14:50" x14ac:dyDescent="0.25">
      <c r="N1426" s="3"/>
      <c r="AW1426" s="7"/>
      <c r="AX1426" s="7"/>
    </row>
    <row r="1427" spans="14:50" x14ac:dyDescent="0.25">
      <c r="N1427" s="3"/>
      <c r="AW1427" s="7"/>
      <c r="AX1427" s="7"/>
    </row>
    <row r="1428" spans="14:50" x14ac:dyDescent="0.25">
      <c r="N1428" s="3"/>
      <c r="AW1428" s="7"/>
      <c r="AX1428" s="7"/>
    </row>
    <row r="1429" spans="14:50" x14ac:dyDescent="0.25">
      <c r="N1429" s="3"/>
      <c r="AW1429" s="7"/>
      <c r="AX1429" s="7"/>
    </row>
    <row r="1430" spans="14:50" x14ac:dyDescent="0.25">
      <c r="N1430" s="3"/>
      <c r="AW1430" s="7"/>
      <c r="AX1430" s="7"/>
    </row>
    <row r="1431" spans="14:50" x14ac:dyDescent="0.25">
      <c r="N1431" s="3"/>
      <c r="AW1431" s="7"/>
      <c r="AX1431" s="7"/>
    </row>
    <row r="1432" spans="14:50" x14ac:dyDescent="0.25">
      <c r="N1432" s="3"/>
      <c r="AW1432" s="7"/>
      <c r="AX1432" s="7"/>
    </row>
    <row r="1433" spans="14:50" x14ac:dyDescent="0.25">
      <c r="N1433" s="3"/>
      <c r="AW1433" s="7"/>
      <c r="AX1433" s="7"/>
    </row>
    <row r="1434" spans="14:50" x14ac:dyDescent="0.25">
      <c r="N1434" s="3"/>
      <c r="AW1434" s="7"/>
      <c r="AX1434" s="7"/>
    </row>
    <row r="1435" spans="14:50" x14ac:dyDescent="0.25">
      <c r="N1435" s="3"/>
      <c r="AW1435" s="7"/>
      <c r="AX1435" s="7"/>
    </row>
    <row r="1436" spans="14:50" x14ac:dyDescent="0.25">
      <c r="N1436" s="3"/>
      <c r="AW1436" s="7"/>
      <c r="AX1436" s="7"/>
    </row>
    <row r="1437" spans="14:50" x14ac:dyDescent="0.25">
      <c r="N1437" s="3"/>
      <c r="AW1437" s="7"/>
      <c r="AX1437" s="7"/>
    </row>
    <row r="1438" spans="14:50" x14ac:dyDescent="0.25">
      <c r="N1438" s="3"/>
      <c r="AW1438" s="7"/>
      <c r="AX1438" s="7"/>
    </row>
    <row r="1439" spans="14:50" x14ac:dyDescent="0.25">
      <c r="N1439" s="3"/>
      <c r="AW1439" s="7"/>
      <c r="AX1439" s="7"/>
    </row>
    <row r="1440" spans="14:50" x14ac:dyDescent="0.25">
      <c r="N1440" s="3"/>
      <c r="AW1440" s="7"/>
      <c r="AX1440" s="7"/>
    </row>
    <row r="1441" spans="14:50" x14ac:dyDescent="0.25">
      <c r="N1441" s="3"/>
      <c r="AW1441" s="7"/>
      <c r="AX1441" s="7"/>
    </row>
    <row r="1442" spans="14:50" x14ac:dyDescent="0.25">
      <c r="N1442" s="3"/>
      <c r="AW1442" s="7"/>
      <c r="AX1442" s="7"/>
    </row>
    <row r="1443" spans="14:50" x14ac:dyDescent="0.25">
      <c r="N1443" s="3"/>
      <c r="AW1443" s="7"/>
      <c r="AX1443" s="7"/>
    </row>
    <row r="1444" spans="14:50" x14ac:dyDescent="0.25">
      <c r="N1444" s="3"/>
      <c r="AW1444" s="7"/>
      <c r="AX1444" s="7"/>
    </row>
    <row r="1445" spans="14:50" x14ac:dyDescent="0.25">
      <c r="N1445" s="3"/>
      <c r="AW1445" s="7"/>
      <c r="AX1445" s="7"/>
    </row>
    <row r="1446" spans="14:50" x14ac:dyDescent="0.25">
      <c r="N1446" s="3"/>
      <c r="AW1446" s="7"/>
      <c r="AX1446" s="7"/>
    </row>
    <row r="1447" spans="14:50" x14ac:dyDescent="0.25">
      <c r="N1447" s="3"/>
      <c r="AW1447" s="7"/>
      <c r="AX1447" s="7"/>
    </row>
    <row r="1448" spans="14:50" x14ac:dyDescent="0.25">
      <c r="N1448" s="3"/>
      <c r="AW1448" s="7"/>
      <c r="AX1448" s="7"/>
    </row>
    <row r="1449" spans="14:50" x14ac:dyDescent="0.25">
      <c r="N1449" s="3"/>
      <c r="AW1449" s="7"/>
      <c r="AX1449" s="7"/>
    </row>
    <row r="1450" spans="14:50" x14ac:dyDescent="0.25">
      <c r="N1450" s="3"/>
      <c r="AW1450" s="7"/>
      <c r="AX1450" s="7"/>
    </row>
    <row r="1451" spans="14:50" x14ac:dyDescent="0.25">
      <c r="N1451" s="3"/>
      <c r="AW1451" s="7"/>
      <c r="AX1451" s="7"/>
    </row>
    <row r="1452" spans="14:50" x14ac:dyDescent="0.25">
      <c r="N1452" s="3"/>
      <c r="AW1452" s="7"/>
      <c r="AX1452" s="7"/>
    </row>
    <row r="1453" spans="14:50" x14ac:dyDescent="0.25">
      <c r="N1453" s="3"/>
      <c r="AW1453" s="7"/>
      <c r="AX1453" s="7"/>
    </row>
    <row r="1454" spans="14:50" x14ac:dyDescent="0.25">
      <c r="N1454" s="3"/>
      <c r="AW1454" s="7"/>
      <c r="AX1454" s="7"/>
    </row>
    <row r="1455" spans="14:50" x14ac:dyDescent="0.25">
      <c r="N1455" s="3"/>
      <c r="AW1455" s="7"/>
      <c r="AX1455" s="7"/>
    </row>
    <row r="1456" spans="14:50" x14ac:dyDescent="0.25">
      <c r="N1456" s="3"/>
      <c r="AW1456" s="7"/>
      <c r="AX1456" s="7"/>
    </row>
    <row r="1457" spans="14:50" x14ac:dyDescent="0.25">
      <c r="N1457" s="3"/>
      <c r="AW1457" s="7"/>
      <c r="AX1457" s="7"/>
    </row>
    <row r="1458" spans="14:50" x14ac:dyDescent="0.25">
      <c r="N1458" s="3"/>
      <c r="AW1458" s="7"/>
      <c r="AX1458" s="7"/>
    </row>
    <row r="1459" spans="14:50" x14ac:dyDescent="0.25">
      <c r="N1459" s="3"/>
      <c r="AW1459" s="7"/>
      <c r="AX1459" s="7"/>
    </row>
    <row r="1460" spans="14:50" x14ac:dyDescent="0.25">
      <c r="N1460" s="3"/>
      <c r="AW1460" s="7"/>
      <c r="AX1460" s="7"/>
    </row>
    <row r="1461" spans="14:50" x14ac:dyDescent="0.25">
      <c r="N1461" s="3"/>
      <c r="AW1461" s="7"/>
      <c r="AX1461" s="7"/>
    </row>
    <row r="1462" spans="14:50" x14ac:dyDescent="0.25">
      <c r="N1462" s="3"/>
      <c r="AW1462" s="7"/>
      <c r="AX1462" s="7"/>
    </row>
    <row r="1463" spans="14:50" x14ac:dyDescent="0.25">
      <c r="N1463" s="3"/>
      <c r="AW1463" s="7"/>
      <c r="AX1463" s="7"/>
    </row>
    <row r="1464" spans="14:50" x14ac:dyDescent="0.25">
      <c r="N1464" s="3"/>
      <c r="AW1464" s="7"/>
      <c r="AX1464" s="7"/>
    </row>
    <row r="1465" spans="14:50" x14ac:dyDescent="0.25">
      <c r="N1465" s="3"/>
      <c r="AW1465" s="7"/>
      <c r="AX1465" s="7"/>
    </row>
    <row r="1466" spans="14:50" x14ac:dyDescent="0.25">
      <c r="N1466" s="3"/>
      <c r="AW1466" s="7"/>
      <c r="AX1466" s="7"/>
    </row>
    <row r="1467" spans="14:50" x14ac:dyDescent="0.25">
      <c r="N1467" s="3"/>
      <c r="AW1467" s="7"/>
      <c r="AX1467" s="7"/>
    </row>
    <row r="1468" spans="14:50" x14ac:dyDescent="0.25">
      <c r="N1468" s="3"/>
      <c r="AW1468" s="7"/>
      <c r="AX1468" s="7"/>
    </row>
    <row r="1469" spans="14:50" x14ac:dyDescent="0.25">
      <c r="N1469" s="3"/>
      <c r="AW1469" s="7"/>
      <c r="AX1469" s="7"/>
    </row>
    <row r="1470" spans="14:50" x14ac:dyDescent="0.25">
      <c r="N1470" s="3"/>
      <c r="AW1470" s="7"/>
      <c r="AX1470" s="7"/>
    </row>
    <row r="1471" spans="14:50" x14ac:dyDescent="0.25">
      <c r="N1471" s="3"/>
      <c r="AW1471" s="7"/>
      <c r="AX1471" s="7"/>
    </row>
    <row r="1472" spans="14:50" x14ac:dyDescent="0.25">
      <c r="N1472" s="3"/>
      <c r="AW1472" s="7"/>
      <c r="AX1472" s="7"/>
    </row>
    <row r="1473" spans="14:50" x14ac:dyDescent="0.25">
      <c r="N1473" s="3"/>
      <c r="AW1473" s="7"/>
      <c r="AX1473" s="7"/>
    </row>
    <row r="1474" spans="14:50" x14ac:dyDescent="0.25">
      <c r="N1474" s="3"/>
      <c r="AW1474" s="7"/>
      <c r="AX1474" s="7"/>
    </row>
    <row r="1475" spans="14:50" x14ac:dyDescent="0.25">
      <c r="N1475" s="3"/>
      <c r="AW1475" s="7"/>
      <c r="AX1475" s="7"/>
    </row>
    <row r="1476" spans="14:50" x14ac:dyDescent="0.25">
      <c r="N1476" s="3"/>
      <c r="AW1476" s="7"/>
      <c r="AX1476" s="7"/>
    </row>
    <row r="1477" spans="14:50" x14ac:dyDescent="0.25">
      <c r="N1477" s="3"/>
      <c r="AW1477" s="7"/>
      <c r="AX1477" s="7"/>
    </row>
    <row r="1478" spans="14:50" x14ac:dyDescent="0.25">
      <c r="N1478" s="3"/>
      <c r="AW1478" s="7"/>
      <c r="AX1478" s="7"/>
    </row>
    <row r="1479" spans="14:50" x14ac:dyDescent="0.25">
      <c r="N1479" s="3"/>
      <c r="AW1479" s="7"/>
      <c r="AX1479" s="7"/>
    </row>
    <row r="1480" spans="14:50" x14ac:dyDescent="0.25">
      <c r="N1480" s="3"/>
      <c r="AW1480" s="7"/>
      <c r="AX1480" s="7"/>
    </row>
    <row r="1481" spans="14:50" x14ac:dyDescent="0.25">
      <c r="N1481" s="3"/>
      <c r="AW1481" s="7"/>
      <c r="AX1481" s="7"/>
    </row>
    <row r="1482" spans="14:50" x14ac:dyDescent="0.25">
      <c r="N1482" s="3"/>
      <c r="AW1482" s="7"/>
      <c r="AX1482" s="7"/>
    </row>
    <row r="1483" spans="14:50" x14ac:dyDescent="0.25">
      <c r="N1483" s="3"/>
      <c r="AW1483" s="7"/>
      <c r="AX1483" s="7"/>
    </row>
    <row r="1484" spans="14:50" x14ac:dyDescent="0.25">
      <c r="N1484" s="3"/>
      <c r="AW1484" s="7"/>
      <c r="AX1484" s="7"/>
    </row>
    <row r="1485" spans="14:50" x14ac:dyDescent="0.25">
      <c r="N1485" s="3"/>
      <c r="AW1485" s="7"/>
      <c r="AX1485" s="7"/>
    </row>
    <row r="1486" spans="14:50" x14ac:dyDescent="0.25">
      <c r="N1486" s="3"/>
      <c r="AW1486" s="7"/>
      <c r="AX1486" s="7"/>
    </row>
    <row r="1487" spans="14:50" x14ac:dyDescent="0.25">
      <c r="N1487" s="3"/>
      <c r="AW1487" s="7"/>
      <c r="AX1487" s="7"/>
    </row>
    <row r="1488" spans="14:50" x14ac:dyDescent="0.25">
      <c r="N1488" s="3"/>
      <c r="AW1488" s="7"/>
      <c r="AX1488" s="7"/>
    </row>
    <row r="1489" spans="14:50" x14ac:dyDescent="0.25">
      <c r="N1489" s="3"/>
      <c r="AW1489" s="7"/>
      <c r="AX1489" s="7"/>
    </row>
    <row r="1490" spans="14:50" x14ac:dyDescent="0.25">
      <c r="N1490" s="3"/>
      <c r="AW1490" s="7"/>
      <c r="AX1490" s="7"/>
    </row>
    <row r="1491" spans="14:50" x14ac:dyDescent="0.25">
      <c r="N1491" s="3"/>
      <c r="AW1491" s="7"/>
      <c r="AX1491" s="7"/>
    </row>
    <row r="1492" spans="14:50" x14ac:dyDescent="0.25">
      <c r="N1492" s="3"/>
      <c r="AW1492" s="7"/>
      <c r="AX1492" s="7"/>
    </row>
    <row r="1493" spans="14:50" x14ac:dyDescent="0.25">
      <c r="N1493" s="3"/>
      <c r="AW1493" s="7"/>
      <c r="AX1493" s="7"/>
    </row>
    <row r="1494" spans="14:50" x14ac:dyDescent="0.25">
      <c r="N1494" s="3"/>
      <c r="AW1494" s="7"/>
      <c r="AX1494" s="7"/>
    </row>
    <row r="1495" spans="14:50" x14ac:dyDescent="0.25">
      <c r="N1495" s="3"/>
      <c r="AW1495" s="7"/>
      <c r="AX1495" s="7"/>
    </row>
    <row r="1496" spans="14:50" x14ac:dyDescent="0.25">
      <c r="N1496" s="3"/>
      <c r="AW1496" s="7"/>
      <c r="AX1496" s="7"/>
    </row>
    <row r="1497" spans="14:50" x14ac:dyDescent="0.25">
      <c r="N1497" s="3"/>
      <c r="AW1497" s="7"/>
      <c r="AX1497" s="7"/>
    </row>
    <row r="1498" spans="14:50" x14ac:dyDescent="0.25">
      <c r="N1498" s="3"/>
      <c r="AW1498" s="7"/>
      <c r="AX1498" s="7"/>
    </row>
    <row r="1499" spans="14:50" x14ac:dyDescent="0.25">
      <c r="N1499" s="3"/>
      <c r="AW1499" s="7"/>
      <c r="AX1499" s="7"/>
    </row>
    <row r="1500" spans="14:50" x14ac:dyDescent="0.25">
      <c r="N1500" s="3"/>
      <c r="AW1500" s="7"/>
      <c r="AX1500" s="7"/>
    </row>
    <row r="1501" spans="14:50" x14ac:dyDescent="0.25">
      <c r="N1501" s="3"/>
      <c r="AW1501" s="7"/>
      <c r="AX1501" s="7"/>
    </row>
    <row r="1502" spans="14:50" x14ac:dyDescent="0.25">
      <c r="N1502" s="3"/>
      <c r="AW1502" s="7"/>
      <c r="AX1502" s="7"/>
    </row>
    <row r="1503" spans="14:50" x14ac:dyDescent="0.25">
      <c r="N1503" s="3"/>
      <c r="AW1503" s="7"/>
      <c r="AX1503" s="7"/>
    </row>
    <row r="1504" spans="14:50" x14ac:dyDescent="0.25">
      <c r="N1504" s="3"/>
      <c r="AW1504" s="7"/>
      <c r="AX1504" s="7"/>
    </row>
    <row r="1505" spans="14:50" x14ac:dyDescent="0.25">
      <c r="N1505" s="3"/>
      <c r="AW1505" s="7"/>
      <c r="AX1505" s="7"/>
    </row>
    <row r="1506" spans="14:50" x14ac:dyDescent="0.25">
      <c r="N1506" s="3"/>
      <c r="AW1506" s="7"/>
      <c r="AX1506" s="7"/>
    </row>
    <row r="1507" spans="14:50" x14ac:dyDescent="0.25">
      <c r="N1507" s="3"/>
      <c r="AW1507" s="7"/>
      <c r="AX1507" s="7"/>
    </row>
    <row r="1508" spans="14:50" x14ac:dyDescent="0.25">
      <c r="N1508" s="3"/>
      <c r="AW1508" s="7"/>
      <c r="AX1508" s="7"/>
    </row>
    <row r="1509" spans="14:50" x14ac:dyDescent="0.25">
      <c r="N1509" s="3"/>
      <c r="AW1509" s="7"/>
      <c r="AX1509" s="7"/>
    </row>
    <row r="1510" spans="14:50" x14ac:dyDescent="0.25">
      <c r="N1510" s="3"/>
      <c r="AW1510" s="7"/>
      <c r="AX1510" s="7"/>
    </row>
    <row r="1511" spans="14:50" x14ac:dyDescent="0.25">
      <c r="N1511" s="3"/>
      <c r="AW1511" s="7"/>
      <c r="AX1511" s="7"/>
    </row>
    <row r="1512" spans="14:50" x14ac:dyDescent="0.25">
      <c r="N1512" s="3"/>
      <c r="AW1512" s="7"/>
      <c r="AX1512" s="7"/>
    </row>
    <row r="1513" spans="14:50" x14ac:dyDescent="0.25">
      <c r="N1513" s="3"/>
      <c r="AW1513" s="7"/>
      <c r="AX1513" s="7"/>
    </row>
    <row r="1514" spans="14:50" x14ac:dyDescent="0.25">
      <c r="N1514" s="3"/>
      <c r="AW1514" s="7"/>
      <c r="AX1514" s="7"/>
    </row>
    <row r="1515" spans="14:50" x14ac:dyDescent="0.25">
      <c r="N1515" s="3"/>
      <c r="AW1515" s="7"/>
      <c r="AX1515" s="7"/>
    </row>
    <row r="1516" spans="14:50" x14ac:dyDescent="0.25">
      <c r="N1516" s="3"/>
      <c r="AW1516" s="7"/>
      <c r="AX1516" s="7"/>
    </row>
    <row r="1517" spans="14:50" x14ac:dyDescent="0.25">
      <c r="N1517" s="3"/>
      <c r="AW1517" s="7"/>
      <c r="AX1517" s="7"/>
    </row>
    <row r="1518" spans="14:50" x14ac:dyDescent="0.25">
      <c r="N1518" s="3"/>
      <c r="AW1518" s="7"/>
      <c r="AX1518" s="7"/>
    </row>
    <row r="1519" spans="14:50" x14ac:dyDescent="0.25">
      <c r="N1519" s="3"/>
      <c r="AW1519" s="7"/>
      <c r="AX1519" s="7"/>
    </row>
    <row r="1520" spans="14:50" x14ac:dyDescent="0.25">
      <c r="N1520" s="3"/>
      <c r="AW1520" s="7"/>
      <c r="AX1520" s="7"/>
    </row>
    <row r="1521" spans="14:50" x14ac:dyDescent="0.25">
      <c r="N1521" s="3"/>
      <c r="AW1521" s="7"/>
      <c r="AX1521" s="7"/>
    </row>
    <row r="1522" spans="14:50" x14ac:dyDescent="0.25">
      <c r="N1522" s="3"/>
      <c r="AW1522" s="7"/>
      <c r="AX1522" s="7"/>
    </row>
    <row r="1523" spans="14:50" x14ac:dyDescent="0.25">
      <c r="N1523" s="3"/>
      <c r="AW1523" s="7"/>
      <c r="AX1523" s="7"/>
    </row>
    <row r="1524" spans="14:50" x14ac:dyDescent="0.25">
      <c r="N1524" s="3"/>
      <c r="AW1524" s="7"/>
      <c r="AX1524" s="7"/>
    </row>
    <row r="1525" spans="14:50" x14ac:dyDescent="0.25">
      <c r="N1525" s="3"/>
      <c r="AW1525" s="7"/>
      <c r="AX1525" s="7"/>
    </row>
    <row r="1526" spans="14:50" x14ac:dyDescent="0.25">
      <c r="N1526" s="3"/>
      <c r="AW1526" s="7"/>
      <c r="AX1526" s="7"/>
    </row>
    <row r="1527" spans="14:50" x14ac:dyDescent="0.25">
      <c r="N1527" s="3"/>
      <c r="AW1527" s="7"/>
      <c r="AX1527" s="7"/>
    </row>
    <row r="1528" spans="14:50" x14ac:dyDescent="0.25">
      <c r="N1528" s="3"/>
      <c r="AW1528" s="7"/>
      <c r="AX1528" s="7"/>
    </row>
    <row r="1529" spans="14:50" x14ac:dyDescent="0.25">
      <c r="N1529" s="3"/>
      <c r="AW1529" s="7"/>
      <c r="AX1529" s="7"/>
    </row>
    <row r="1530" spans="14:50" x14ac:dyDescent="0.25">
      <c r="N1530" s="3"/>
      <c r="AW1530" s="7"/>
      <c r="AX1530" s="7"/>
    </row>
    <row r="1531" spans="14:50" x14ac:dyDescent="0.25">
      <c r="N1531" s="3"/>
      <c r="AW1531" s="7"/>
      <c r="AX1531" s="7"/>
    </row>
    <row r="1532" spans="14:50" x14ac:dyDescent="0.25">
      <c r="N1532" s="3"/>
      <c r="AW1532" s="7"/>
      <c r="AX1532" s="7"/>
    </row>
    <row r="1533" spans="14:50" x14ac:dyDescent="0.25">
      <c r="N1533" s="3"/>
      <c r="AW1533" s="7"/>
      <c r="AX1533" s="7"/>
    </row>
    <row r="1534" spans="14:50" x14ac:dyDescent="0.25">
      <c r="N1534" s="3"/>
      <c r="AW1534" s="7"/>
      <c r="AX1534" s="7"/>
    </row>
    <row r="1535" spans="14:50" x14ac:dyDescent="0.25">
      <c r="N1535" s="3"/>
      <c r="AW1535" s="7"/>
      <c r="AX1535" s="7"/>
    </row>
    <row r="1536" spans="14:50" x14ac:dyDescent="0.25">
      <c r="N1536" s="3"/>
      <c r="AW1536" s="7"/>
      <c r="AX1536" s="7"/>
    </row>
    <row r="1537" spans="14:50" x14ac:dyDescent="0.25">
      <c r="N1537" s="3"/>
      <c r="AW1537" s="7"/>
      <c r="AX1537" s="7"/>
    </row>
    <row r="1538" spans="14:50" x14ac:dyDescent="0.25">
      <c r="N1538" s="3"/>
      <c r="AW1538" s="7"/>
      <c r="AX1538" s="7"/>
    </row>
    <row r="1539" spans="14:50" x14ac:dyDescent="0.25">
      <c r="N1539" s="3"/>
      <c r="AW1539" s="7"/>
      <c r="AX1539" s="7"/>
    </row>
    <row r="1540" spans="14:50" x14ac:dyDescent="0.25">
      <c r="N1540" s="3"/>
      <c r="AW1540" s="7"/>
      <c r="AX1540" s="7"/>
    </row>
    <row r="1541" spans="14:50" x14ac:dyDescent="0.25">
      <c r="N1541" s="3"/>
      <c r="AW1541" s="7"/>
      <c r="AX1541" s="7"/>
    </row>
    <row r="1542" spans="14:50" x14ac:dyDescent="0.25">
      <c r="N1542" s="3"/>
      <c r="AW1542" s="7"/>
      <c r="AX1542" s="7"/>
    </row>
    <row r="1543" spans="14:50" x14ac:dyDescent="0.25">
      <c r="N1543" s="3"/>
      <c r="AW1543" s="7"/>
      <c r="AX1543" s="7"/>
    </row>
    <row r="1544" spans="14:50" x14ac:dyDescent="0.25">
      <c r="N1544" s="3"/>
      <c r="AW1544" s="7"/>
      <c r="AX1544" s="7"/>
    </row>
    <row r="1545" spans="14:50" x14ac:dyDescent="0.25">
      <c r="N1545" s="3"/>
      <c r="AW1545" s="7"/>
      <c r="AX1545" s="7"/>
    </row>
    <row r="1546" spans="14:50" x14ac:dyDescent="0.25">
      <c r="N1546" s="3"/>
      <c r="AW1546" s="7"/>
      <c r="AX1546" s="7"/>
    </row>
    <row r="1547" spans="14:50" x14ac:dyDescent="0.25">
      <c r="N1547" s="3"/>
      <c r="AW1547" s="7"/>
      <c r="AX1547" s="7"/>
    </row>
    <row r="1548" spans="14:50" x14ac:dyDescent="0.25">
      <c r="N1548" s="3"/>
      <c r="AW1548" s="7"/>
      <c r="AX1548" s="7"/>
    </row>
    <row r="1549" spans="14:50" x14ac:dyDescent="0.25">
      <c r="N1549" s="3"/>
      <c r="AW1549" s="7"/>
      <c r="AX1549" s="7"/>
    </row>
    <row r="1550" spans="14:50" x14ac:dyDescent="0.25">
      <c r="N1550" s="3"/>
      <c r="AW1550" s="7"/>
      <c r="AX1550" s="7"/>
    </row>
    <row r="1551" spans="14:50" x14ac:dyDescent="0.25">
      <c r="N1551" s="3"/>
      <c r="AW1551" s="7"/>
      <c r="AX1551" s="7"/>
    </row>
    <row r="1552" spans="14:50" x14ac:dyDescent="0.25">
      <c r="N1552" s="3"/>
      <c r="AW1552" s="7"/>
      <c r="AX1552" s="7"/>
    </row>
    <row r="1553" spans="14:50" x14ac:dyDescent="0.25">
      <c r="N1553" s="3"/>
      <c r="AW1553" s="7"/>
      <c r="AX1553" s="7"/>
    </row>
    <row r="1554" spans="14:50" x14ac:dyDescent="0.25">
      <c r="N1554" s="3"/>
      <c r="AW1554" s="7"/>
      <c r="AX1554" s="7"/>
    </row>
    <row r="1555" spans="14:50" x14ac:dyDescent="0.25">
      <c r="N1555" s="3"/>
      <c r="AW1555" s="7"/>
      <c r="AX1555" s="7"/>
    </row>
    <row r="1556" spans="14:50" x14ac:dyDescent="0.25">
      <c r="N1556" s="3"/>
      <c r="AW1556" s="7"/>
      <c r="AX1556" s="7"/>
    </row>
    <row r="1557" spans="14:50" x14ac:dyDescent="0.25">
      <c r="N1557" s="3"/>
      <c r="AW1557" s="7"/>
      <c r="AX1557" s="7"/>
    </row>
    <row r="1558" spans="14:50" x14ac:dyDescent="0.25">
      <c r="N1558" s="3"/>
      <c r="AW1558" s="7"/>
      <c r="AX1558" s="7"/>
    </row>
    <row r="1559" spans="14:50" x14ac:dyDescent="0.25">
      <c r="N1559" s="3"/>
      <c r="AW1559" s="7"/>
      <c r="AX1559" s="7"/>
    </row>
    <row r="1560" spans="14:50" x14ac:dyDescent="0.25">
      <c r="N1560" s="3"/>
      <c r="AW1560" s="7"/>
      <c r="AX1560" s="7"/>
    </row>
    <row r="1561" spans="14:50" x14ac:dyDescent="0.25">
      <c r="N1561" s="3"/>
      <c r="AW1561" s="7"/>
      <c r="AX1561" s="7"/>
    </row>
    <row r="1562" spans="14:50" x14ac:dyDescent="0.25">
      <c r="N1562" s="3"/>
      <c r="AW1562" s="7"/>
      <c r="AX1562" s="7"/>
    </row>
    <row r="1563" spans="14:50" x14ac:dyDescent="0.25">
      <c r="N1563" s="3"/>
      <c r="AW1563" s="7"/>
      <c r="AX1563" s="7"/>
    </row>
    <row r="1564" spans="14:50" x14ac:dyDescent="0.25">
      <c r="N1564" s="3"/>
      <c r="AW1564" s="7"/>
      <c r="AX1564" s="7"/>
    </row>
    <row r="1565" spans="14:50" x14ac:dyDescent="0.25">
      <c r="N1565" s="3"/>
      <c r="AW1565" s="7"/>
      <c r="AX1565" s="7"/>
    </row>
    <row r="1566" spans="14:50" x14ac:dyDescent="0.25">
      <c r="N1566" s="3"/>
      <c r="AW1566" s="7"/>
      <c r="AX1566" s="7"/>
    </row>
    <row r="1567" spans="14:50" x14ac:dyDescent="0.25">
      <c r="N1567" s="3"/>
      <c r="AW1567" s="7"/>
      <c r="AX1567" s="7"/>
    </row>
    <row r="1568" spans="14:50" x14ac:dyDescent="0.25">
      <c r="N1568" s="3"/>
      <c r="AW1568" s="7"/>
      <c r="AX1568" s="7"/>
    </row>
    <row r="1569" spans="14:50" x14ac:dyDescent="0.25">
      <c r="N1569" s="3"/>
      <c r="AW1569" s="7"/>
      <c r="AX1569" s="7"/>
    </row>
    <row r="1570" spans="14:50" x14ac:dyDescent="0.25">
      <c r="N1570" s="3"/>
      <c r="AW1570" s="7"/>
      <c r="AX1570" s="7"/>
    </row>
    <row r="1571" spans="14:50" x14ac:dyDescent="0.25">
      <c r="N1571" s="3"/>
      <c r="AW1571" s="7"/>
      <c r="AX1571" s="7"/>
    </row>
    <row r="1572" spans="14:50" x14ac:dyDescent="0.25">
      <c r="N1572" s="3"/>
      <c r="AW1572" s="7"/>
      <c r="AX1572" s="7"/>
    </row>
    <row r="1573" spans="14:50" x14ac:dyDescent="0.25">
      <c r="N1573" s="3"/>
      <c r="AW1573" s="7"/>
      <c r="AX1573" s="7"/>
    </row>
    <row r="1574" spans="14:50" x14ac:dyDescent="0.25">
      <c r="N1574" s="3"/>
      <c r="AW1574" s="7"/>
      <c r="AX1574" s="7"/>
    </row>
    <row r="1575" spans="14:50" x14ac:dyDescent="0.25">
      <c r="N1575" s="3"/>
      <c r="AW1575" s="7"/>
      <c r="AX1575" s="7"/>
    </row>
    <row r="1576" spans="14:50" x14ac:dyDescent="0.25">
      <c r="N1576" s="3"/>
      <c r="AW1576" s="7"/>
      <c r="AX1576" s="7"/>
    </row>
    <row r="1577" spans="14:50" x14ac:dyDescent="0.25">
      <c r="N1577" s="3"/>
      <c r="AW1577" s="7"/>
      <c r="AX1577" s="7"/>
    </row>
    <row r="1578" spans="14:50" x14ac:dyDescent="0.25">
      <c r="N1578" s="3"/>
      <c r="AW1578" s="7"/>
      <c r="AX1578" s="7"/>
    </row>
    <row r="1579" spans="14:50" x14ac:dyDescent="0.25">
      <c r="N1579" s="3"/>
      <c r="AW1579" s="7"/>
      <c r="AX1579" s="7"/>
    </row>
    <row r="1580" spans="14:50" x14ac:dyDescent="0.25">
      <c r="N1580" s="3"/>
      <c r="AW1580" s="7"/>
      <c r="AX1580" s="7"/>
    </row>
    <row r="1581" spans="14:50" x14ac:dyDescent="0.25">
      <c r="N1581" s="3"/>
      <c r="AW1581" s="7"/>
      <c r="AX1581" s="7"/>
    </row>
    <row r="1582" spans="14:50" x14ac:dyDescent="0.25">
      <c r="N1582" s="3"/>
      <c r="AW1582" s="7"/>
      <c r="AX1582" s="7"/>
    </row>
    <row r="1583" spans="14:50" x14ac:dyDescent="0.25">
      <c r="N1583" s="3"/>
      <c r="AW1583" s="7"/>
      <c r="AX1583" s="7"/>
    </row>
    <row r="1584" spans="14:50" x14ac:dyDescent="0.25">
      <c r="N1584" s="3"/>
      <c r="AW1584" s="7"/>
      <c r="AX1584" s="7"/>
    </row>
    <row r="1585" spans="14:50" x14ac:dyDescent="0.25">
      <c r="N1585" s="3"/>
      <c r="AW1585" s="7"/>
      <c r="AX1585" s="7"/>
    </row>
    <row r="1586" spans="14:50" x14ac:dyDescent="0.25">
      <c r="N1586" s="3"/>
      <c r="AW1586" s="7"/>
      <c r="AX1586" s="7"/>
    </row>
    <row r="1587" spans="14:50" x14ac:dyDescent="0.25">
      <c r="N1587" s="3"/>
      <c r="AW1587" s="7"/>
      <c r="AX1587" s="7"/>
    </row>
    <row r="1588" spans="14:50" x14ac:dyDescent="0.25">
      <c r="N1588" s="3"/>
      <c r="AW1588" s="7"/>
      <c r="AX1588" s="7"/>
    </row>
    <row r="1589" spans="14:50" x14ac:dyDescent="0.25">
      <c r="N1589" s="3"/>
      <c r="AW1589" s="7"/>
      <c r="AX1589" s="7"/>
    </row>
    <row r="1590" spans="14:50" x14ac:dyDescent="0.25">
      <c r="N1590" s="3"/>
      <c r="AW1590" s="7"/>
      <c r="AX1590" s="7"/>
    </row>
    <row r="1591" spans="14:50" x14ac:dyDescent="0.25">
      <c r="N1591" s="3"/>
      <c r="AW1591" s="7"/>
      <c r="AX1591" s="7"/>
    </row>
    <row r="1592" spans="14:50" x14ac:dyDescent="0.25">
      <c r="N1592" s="3"/>
      <c r="AW1592" s="7"/>
      <c r="AX1592" s="7"/>
    </row>
    <row r="1593" spans="14:50" x14ac:dyDescent="0.25">
      <c r="N1593" s="3"/>
      <c r="AW1593" s="7"/>
      <c r="AX1593" s="7"/>
    </row>
    <row r="1594" spans="14:50" x14ac:dyDescent="0.25">
      <c r="N1594" s="3"/>
      <c r="AW1594" s="7"/>
      <c r="AX1594" s="7"/>
    </row>
    <row r="1595" spans="14:50" x14ac:dyDescent="0.25">
      <c r="N1595" s="3"/>
      <c r="AW1595" s="7"/>
      <c r="AX1595" s="7"/>
    </row>
    <row r="1596" spans="14:50" x14ac:dyDescent="0.25">
      <c r="N1596" s="3"/>
      <c r="AW1596" s="7"/>
      <c r="AX1596" s="7"/>
    </row>
    <row r="1597" spans="14:50" x14ac:dyDescent="0.25">
      <c r="N1597" s="3"/>
      <c r="AW1597" s="7"/>
      <c r="AX1597" s="7"/>
    </row>
    <row r="1598" spans="14:50" x14ac:dyDescent="0.25">
      <c r="N1598" s="3"/>
      <c r="AW1598" s="7"/>
      <c r="AX1598" s="7"/>
    </row>
    <row r="1599" spans="14:50" x14ac:dyDescent="0.25">
      <c r="N1599" s="3"/>
      <c r="AW1599" s="7"/>
      <c r="AX1599" s="7"/>
    </row>
    <row r="1600" spans="14:50" x14ac:dyDescent="0.25">
      <c r="N1600" s="3"/>
      <c r="AW1600" s="7"/>
      <c r="AX1600" s="7"/>
    </row>
    <row r="1601" spans="14:50" x14ac:dyDescent="0.25">
      <c r="N1601" s="3"/>
      <c r="AW1601" s="7"/>
      <c r="AX1601" s="7"/>
    </row>
    <row r="1602" spans="14:50" x14ac:dyDescent="0.25">
      <c r="N1602" s="3"/>
      <c r="AW1602" s="7"/>
      <c r="AX1602" s="7"/>
    </row>
    <row r="1603" spans="14:50" x14ac:dyDescent="0.25">
      <c r="N1603" s="3"/>
      <c r="AW1603" s="7"/>
      <c r="AX1603" s="7"/>
    </row>
    <row r="1604" spans="14:50" x14ac:dyDescent="0.25">
      <c r="N1604" s="3"/>
      <c r="AW1604" s="7"/>
      <c r="AX1604" s="7"/>
    </row>
    <row r="1605" spans="14:50" x14ac:dyDescent="0.25">
      <c r="N1605" s="3"/>
      <c r="AW1605" s="7"/>
      <c r="AX1605" s="7"/>
    </row>
    <row r="1606" spans="14:50" x14ac:dyDescent="0.25">
      <c r="N1606" s="3"/>
      <c r="AW1606" s="7"/>
      <c r="AX1606" s="7"/>
    </row>
    <row r="1607" spans="14:50" x14ac:dyDescent="0.25">
      <c r="N1607" s="3"/>
      <c r="AW1607" s="7"/>
      <c r="AX1607" s="7"/>
    </row>
    <row r="1608" spans="14:50" x14ac:dyDescent="0.25">
      <c r="N1608" s="3"/>
      <c r="AW1608" s="7"/>
      <c r="AX1608" s="7"/>
    </row>
    <row r="1609" spans="14:50" x14ac:dyDescent="0.25">
      <c r="N1609" s="3"/>
      <c r="AW1609" s="7"/>
      <c r="AX1609" s="7"/>
    </row>
    <row r="1610" spans="14:50" x14ac:dyDescent="0.25">
      <c r="N1610" s="3"/>
      <c r="AW1610" s="7"/>
      <c r="AX1610" s="7"/>
    </row>
    <row r="1611" spans="14:50" x14ac:dyDescent="0.25">
      <c r="N1611" s="3"/>
      <c r="AW1611" s="7"/>
      <c r="AX1611" s="7"/>
    </row>
    <row r="1612" spans="14:50" x14ac:dyDescent="0.25">
      <c r="N1612" s="3"/>
      <c r="AW1612" s="7"/>
      <c r="AX1612" s="7"/>
    </row>
    <row r="1613" spans="14:50" x14ac:dyDescent="0.25">
      <c r="N1613" s="3"/>
      <c r="AW1613" s="7"/>
      <c r="AX1613" s="7"/>
    </row>
    <row r="1614" spans="14:50" x14ac:dyDescent="0.25">
      <c r="N1614" s="3"/>
      <c r="AW1614" s="7"/>
      <c r="AX1614" s="7"/>
    </row>
    <row r="1615" spans="14:50" x14ac:dyDescent="0.25">
      <c r="N1615" s="3"/>
      <c r="AW1615" s="7"/>
      <c r="AX1615" s="7"/>
    </row>
    <row r="1616" spans="14:50" x14ac:dyDescent="0.25">
      <c r="N1616" s="3"/>
      <c r="AW1616" s="7"/>
      <c r="AX1616" s="7"/>
    </row>
    <row r="1617" spans="14:50" x14ac:dyDescent="0.25">
      <c r="N1617" s="3"/>
      <c r="AW1617" s="7"/>
      <c r="AX1617" s="7"/>
    </row>
    <row r="1618" spans="14:50" x14ac:dyDescent="0.25">
      <c r="N1618" s="3"/>
      <c r="AW1618" s="7"/>
      <c r="AX1618" s="7"/>
    </row>
    <row r="1619" spans="14:50" x14ac:dyDescent="0.25">
      <c r="N1619" s="3"/>
      <c r="AW1619" s="7"/>
      <c r="AX1619" s="7"/>
    </row>
    <row r="1620" spans="14:50" x14ac:dyDescent="0.25">
      <c r="N1620" s="3"/>
      <c r="AW1620" s="7"/>
      <c r="AX1620" s="7"/>
    </row>
    <row r="1621" spans="14:50" x14ac:dyDescent="0.25">
      <c r="N1621" s="3"/>
      <c r="AW1621" s="7"/>
      <c r="AX1621" s="7"/>
    </row>
    <row r="1622" spans="14:50" x14ac:dyDescent="0.25">
      <c r="N1622" s="3"/>
      <c r="AW1622" s="7"/>
      <c r="AX1622" s="7"/>
    </row>
    <row r="1623" spans="14:50" x14ac:dyDescent="0.25">
      <c r="N1623" s="3"/>
      <c r="AW1623" s="7"/>
      <c r="AX1623" s="7"/>
    </row>
    <row r="1624" spans="14:50" x14ac:dyDescent="0.25">
      <c r="N1624" s="3"/>
      <c r="AW1624" s="7"/>
      <c r="AX1624" s="7"/>
    </row>
    <row r="1625" spans="14:50" x14ac:dyDescent="0.25">
      <c r="N1625" s="3"/>
      <c r="AW1625" s="7"/>
      <c r="AX1625" s="7"/>
    </row>
    <row r="1626" spans="14:50" x14ac:dyDescent="0.25">
      <c r="N1626" s="3"/>
      <c r="AW1626" s="7"/>
      <c r="AX1626" s="7"/>
    </row>
    <row r="1627" spans="14:50" x14ac:dyDescent="0.25">
      <c r="N1627" s="3"/>
      <c r="AW1627" s="7"/>
      <c r="AX1627" s="7"/>
    </row>
    <row r="1628" spans="14:50" x14ac:dyDescent="0.25">
      <c r="N1628" s="3"/>
      <c r="AW1628" s="7"/>
      <c r="AX1628" s="7"/>
    </row>
    <row r="1629" spans="14:50" x14ac:dyDescent="0.25">
      <c r="N1629" s="3"/>
      <c r="AW1629" s="7"/>
      <c r="AX1629" s="7"/>
    </row>
    <row r="1630" spans="14:50" x14ac:dyDescent="0.25">
      <c r="N1630" s="3"/>
      <c r="AW1630" s="7"/>
      <c r="AX1630" s="7"/>
    </row>
    <row r="1631" spans="14:50" x14ac:dyDescent="0.25">
      <c r="N1631" s="3"/>
      <c r="AW1631" s="7"/>
      <c r="AX1631" s="7"/>
    </row>
    <row r="1632" spans="14:50" x14ac:dyDescent="0.25">
      <c r="N1632" s="3"/>
      <c r="AW1632" s="7"/>
      <c r="AX1632" s="7"/>
    </row>
    <row r="1633" spans="14:50" x14ac:dyDescent="0.25">
      <c r="N1633" s="3"/>
      <c r="AW1633" s="7"/>
      <c r="AX1633" s="7"/>
    </row>
    <row r="1634" spans="14:50" x14ac:dyDescent="0.25">
      <c r="N1634" s="3"/>
      <c r="AW1634" s="7"/>
      <c r="AX1634" s="7"/>
    </row>
    <row r="1635" spans="14:50" x14ac:dyDescent="0.25">
      <c r="N1635" s="3"/>
      <c r="AW1635" s="7"/>
      <c r="AX1635" s="7"/>
    </row>
    <row r="1636" spans="14:50" x14ac:dyDescent="0.25">
      <c r="N1636" s="3"/>
      <c r="AW1636" s="7"/>
      <c r="AX1636" s="7"/>
    </row>
    <row r="1637" spans="14:50" x14ac:dyDescent="0.25">
      <c r="N1637" s="3"/>
      <c r="AW1637" s="7"/>
      <c r="AX1637" s="7"/>
    </row>
    <row r="1638" spans="14:50" x14ac:dyDescent="0.25">
      <c r="N1638" s="3"/>
      <c r="AW1638" s="7"/>
      <c r="AX1638" s="7"/>
    </row>
    <row r="1639" spans="14:50" x14ac:dyDescent="0.25">
      <c r="N1639" s="3"/>
      <c r="AW1639" s="7"/>
      <c r="AX1639" s="7"/>
    </row>
    <row r="1640" spans="14:50" x14ac:dyDescent="0.25">
      <c r="N1640" s="3"/>
      <c r="AW1640" s="7"/>
      <c r="AX1640" s="7"/>
    </row>
    <row r="1641" spans="14:50" x14ac:dyDescent="0.25">
      <c r="N1641" s="3"/>
      <c r="AW1641" s="7"/>
      <c r="AX1641" s="7"/>
    </row>
    <row r="1642" spans="14:50" x14ac:dyDescent="0.25">
      <c r="N1642" s="3"/>
      <c r="AW1642" s="7"/>
      <c r="AX1642" s="7"/>
    </row>
    <row r="1643" spans="14:50" x14ac:dyDescent="0.25">
      <c r="N1643" s="3"/>
      <c r="AW1643" s="7"/>
      <c r="AX1643" s="7"/>
    </row>
    <row r="1644" spans="14:50" x14ac:dyDescent="0.25">
      <c r="N1644" s="3"/>
      <c r="AW1644" s="7"/>
      <c r="AX1644" s="7"/>
    </row>
    <row r="1645" spans="14:50" x14ac:dyDescent="0.25">
      <c r="N1645" s="3"/>
      <c r="AW1645" s="7"/>
      <c r="AX1645" s="7"/>
    </row>
    <row r="1646" spans="14:50" x14ac:dyDescent="0.25">
      <c r="N1646" s="3"/>
      <c r="AW1646" s="7"/>
      <c r="AX1646" s="7"/>
    </row>
    <row r="1647" spans="14:50" x14ac:dyDescent="0.25">
      <c r="N1647" s="3"/>
      <c r="AW1647" s="7"/>
      <c r="AX1647" s="7"/>
    </row>
    <row r="1648" spans="14:50" x14ac:dyDescent="0.25">
      <c r="N1648" s="3"/>
      <c r="AW1648" s="7"/>
      <c r="AX1648" s="7"/>
    </row>
    <row r="1649" spans="14:50" x14ac:dyDescent="0.25">
      <c r="N1649" s="3"/>
      <c r="AW1649" s="7"/>
      <c r="AX1649" s="7"/>
    </row>
    <row r="1650" spans="14:50" x14ac:dyDescent="0.25">
      <c r="N1650" s="3"/>
      <c r="AW1650" s="7"/>
      <c r="AX1650" s="7"/>
    </row>
    <row r="1651" spans="14:50" x14ac:dyDescent="0.25">
      <c r="N1651" s="3"/>
      <c r="AW1651" s="7"/>
      <c r="AX1651" s="7"/>
    </row>
    <row r="1652" spans="14:50" x14ac:dyDescent="0.25">
      <c r="N1652" s="3"/>
      <c r="AW1652" s="7"/>
      <c r="AX1652" s="7"/>
    </row>
    <row r="1653" spans="14:50" x14ac:dyDescent="0.25">
      <c r="N1653" s="3"/>
      <c r="AW1653" s="7"/>
      <c r="AX1653" s="7"/>
    </row>
    <row r="1654" spans="14:50" x14ac:dyDescent="0.25">
      <c r="N1654" s="3"/>
      <c r="AW1654" s="7"/>
      <c r="AX1654" s="7"/>
    </row>
    <row r="1655" spans="14:50" x14ac:dyDescent="0.25">
      <c r="N1655" s="3"/>
      <c r="AW1655" s="7"/>
      <c r="AX1655" s="7"/>
    </row>
    <row r="1656" spans="14:50" x14ac:dyDescent="0.25">
      <c r="N1656" s="3"/>
      <c r="AW1656" s="7"/>
      <c r="AX1656" s="7"/>
    </row>
    <row r="1657" spans="14:50" x14ac:dyDescent="0.25">
      <c r="N1657" s="3"/>
      <c r="AW1657" s="7"/>
      <c r="AX1657" s="7"/>
    </row>
    <row r="1658" spans="14:50" x14ac:dyDescent="0.25">
      <c r="N1658" s="3"/>
      <c r="AW1658" s="7"/>
      <c r="AX1658" s="7"/>
    </row>
    <row r="1659" spans="14:50" x14ac:dyDescent="0.25">
      <c r="N1659" s="3"/>
      <c r="AW1659" s="7"/>
      <c r="AX1659" s="7"/>
    </row>
    <row r="1660" spans="14:50" x14ac:dyDescent="0.25">
      <c r="N1660" s="3"/>
      <c r="AW1660" s="7"/>
      <c r="AX1660" s="7"/>
    </row>
    <row r="1661" spans="14:50" x14ac:dyDescent="0.25">
      <c r="N1661" s="3"/>
      <c r="AW1661" s="7"/>
      <c r="AX1661" s="7"/>
    </row>
    <row r="1662" spans="14:50" x14ac:dyDescent="0.25">
      <c r="N1662" s="3"/>
      <c r="AW1662" s="7"/>
      <c r="AX1662" s="7"/>
    </row>
    <row r="1663" spans="14:50" x14ac:dyDescent="0.25">
      <c r="N1663" s="3"/>
      <c r="AW1663" s="7"/>
      <c r="AX1663" s="7"/>
    </row>
    <row r="1664" spans="14:50" x14ac:dyDescent="0.25">
      <c r="N1664" s="3"/>
      <c r="AW1664" s="7"/>
      <c r="AX1664" s="7"/>
    </row>
    <row r="1665" spans="14:50" x14ac:dyDescent="0.25">
      <c r="N1665" s="3"/>
      <c r="AW1665" s="7"/>
      <c r="AX1665" s="7"/>
    </row>
    <row r="1666" spans="14:50" x14ac:dyDescent="0.25">
      <c r="N1666" s="3"/>
      <c r="AW1666" s="7"/>
      <c r="AX1666" s="7"/>
    </row>
    <row r="1667" spans="14:50" x14ac:dyDescent="0.25">
      <c r="N1667" s="3"/>
      <c r="AW1667" s="7"/>
      <c r="AX1667" s="7"/>
    </row>
    <row r="1668" spans="14:50" x14ac:dyDescent="0.25">
      <c r="N1668" s="3"/>
      <c r="AW1668" s="7"/>
      <c r="AX1668" s="7"/>
    </row>
    <row r="1669" spans="14:50" x14ac:dyDescent="0.25">
      <c r="N1669" s="3"/>
      <c r="AW1669" s="7"/>
      <c r="AX1669" s="7"/>
    </row>
    <row r="1670" spans="14:50" x14ac:dyDescent="0.25">
      <c r="N1670" s="3"/>
      <c r="AW1670" s="7"/>
      <c r="AX1670" s="7"/>
    </row>
    <row r="1671" spans="14:50" x14ac:dyDescent="0.25">
      <c r="N1671" s="3"/>
      <c r="AW1671" s="7"/>
      <c r="AX1671" s="7"/>
    </row>
    <row r="1672" spans="14:50" x14ac:dyDescent="0.25">
      <c r="N1672" s="3"/>
      <c r="AW1672" s="7"/>
      <c r="AX1672" s="7"/>
    </row>
    <row r="1673" spans="14:50" x14ac:dyDescent="0.25">
      <c r="N1673" s="3"/>
      <c r="AW1673" s="7"/>
      <c r="AX1673" s="7"/>
    </row>
    <row r="1674" spans="14:50" x14ac:dyDescent="0.25">
      <c r="N1674" s="3"/>
      <c r="AW1674" s="7"/>
      <c r="AX1674" s="7"/>
    </row>
    <row r="1675" spans="14:50" x14ac:dyDescent="0.25">
      <c r="N1675" s="3"/>
      <c r="AW1675" s="7"/>
      <c r="AX1675" s="7"/>
    </row>
    <row r="1676" spans="14:50" x14ac:dyDescent="0.25">
      <c r="N1676" s="3"/>
      <c r="AW1676" s="7"/>
      <c r="AX1676" s="7"/>
    </row>
    <row r="1677" spans="14:50" x14ac:dyDescent="0.25">
      <c r="N1677" s="3"/>
      <c r="AW1677" s="7"/>
      <c r="AX1677" s="7"/>
    </row>
    <row r="1678" spans="14:50" x14ac:dyDescent="0.25">
      <c r="N1678" s="3"/>
      <c r="AW1678" s="7"/>
      <c r="AX1678" s="7"/>
    </row>
    <row r="1679" spans="14:50" x14ac:dyDescent="0.25">
      <c r="N1679" s="3"/>
      <c r="AW1679" s="7"/>
      <c r="AX1679" s="7"/>
    </row>
    <row r="1680" spans="14:50" x14ac:dyDescent="0.25">
      <c r="N1680" s="3"/>
      <c r="AW1680" s="7"/>
      <c r="AX1680" s="7"/>
    </row>
    <row r="1681" spans="14:50" x14ac:dyDescent="0.25">
      <c r="N1681" s="3"/>
      <c r="AW1681" s="7"/>
      <c r="AX1681" s="7"/>
    </row>
    <row r="1682" spans="14:50" x14ac:dyDescent="0.25">
      <c r="N1682" s="3"/>
      <c r="AW1682" s="7"/>
      <c r="AX1682" s="7"/>
    </row>
    <row r="1683" spans="14:50" x14ac:dyDescent="0.25">
      <c r="N1683" s="3"/>
      <c r="AW1683" s="7"/>
      <c r="AX1683" s="7"/>
    </row>
    <row r="1684" spans="14:50" x14ac:dyDescent="0.25">
      <c r="N1684" s="3"/>
      <c r="AW1684" s="7"/>
      <c r="AX1684" s="7"/>
    </row>
    <row r="1685" spans="14:50" x14ac:dyDescent="0.25">
      <c r="N1685" s="3"/>
      <c r="AW1685" s="7"/>
      <c r="AX1685" s="7"/>
    </row>
    <row r="1686" spans="14:50" x14ac:dyDescent="0.25">
      <c r="N1686" s="3"/>
      <c r="AW1686" s="7"/>
      <c r="AX1686" s="7"/>
    </row>
    <row r="1687" spans="14:50" x14ac:dyDescent="0.25">
      <c r="N1687" s="3"/>
      <c r="AW1687" s="7"/>
      <c r="AX1687" s="7"/>
    </row>
    <row r="1688" spans="14:50" x14ac:dyDescent="0.25">
      <c r="N1688" s="3"/>
      <c r="AW1688" s="7"/>
      <c r="AX1688" s="7"/>
    </row>
    <row r="1689" spans="14:50" x14ac:dyDescent="0.25">
      <c r="N1689" s="3"/>
      <c r="AW1689" s="7"/>
      <c r="AX1689" s="7"/>
    </row>
    <row r="1690" spans="14:50" x14ac:dyDescent="0.25">
      <c r="N1690" s="3"/>
      <c r="AW1690" s="7"/>
      <c r="AX1690" s="7"/>
    </row>
    <row r="1691" spans="14:50" x14ac:dyDescent="0.25">
      <c r="N1691" s="3"/>
      <c r="AW1691" s="7"/>
      <c r="AX1691" s="7"/>
    </row>
    <row r="1692" spans="14:50" x14ac:dyDescent="0.25">
      <c r="N1692" s="3"/>
      <c r="AW1692" s="7"/>
      <c r="AX1692" s="7"/>
    </row>
    <row r="1693" spans="14:50" x14ac:dyDescent="0.25">
      <c r="N1693" s="3"/>
      <c r="AW1693" s="7"/>
      <c r="AX1693" s="7"/>
    </row>
    <row r="1694" spans="14:50" x14ac:dyDescent="0.25">
      <c r="N1694" s="3"/>
      <c r="AW1694" s="7"/>
      <c r="AX1694" s="7"/>
    </row>
    <row r="1695" spans="14:50" x14ac:dyDescent="0.25">
      <c r="N1695" s="3"/>
      <c r="AW1695" s="7"/>
      <c r="AX1695" s="7"/>
    </row>
    <row r="1696" spans="14:50" x14ac:dyDescent="0.25">
      <c r="N1696" s="3"/>
      <c r="AW1696" s="7"/>
      <c r="AX1696" s="7"/>
    </row>
    <row r="1697" spans="14:50" x14ac:dyDescent="0.25">
      <c r="N1697" s="3"/>
      <c r="AW1697" s="7"/>
      <c r="AX1697" s="7"/>
    </row>
    <row r="1698" spans="14:50" x14ac:dyDescent="0.25">
      <c r="N1698" s="3"/>
      <c r="AW1698" s="7"/>
      <c r="AX1698" s="7"/>
    </row>
    <row r="1699" spans="14:50" x14ac:dyDescent="0.25">
      <c r="N1699" s="3"/>
      <c r="AW1699" s="7"/>
      <c r="AX1699" s="7"/>
    </row>
    <row r="1700" spans="14:50" x14ac:dyDescent="0.25">
      <c r="N1700" s="3"/>
      <c r="AW1700" s="7"/>
      <c r="AX1700" s="7"/>
    </row>
    <row r="1701" spans="14:50" x14ac:dyDescent="0.25">
      <c r="N1701" s="3"/>
      <c r="AW1701" s="7"/>
      <c r="AX1701" s="7"/>
    </row>
    <row r="1702" spans="14:50" x14ac:dyDescent="0.25">
      <c r="N1702" s="3"/>
      <c r="AW1702" s="7"/>
      <c r="AX1702" s="7"/>
    </row>
    <row r="1703" spans="14:50" x14ac:dyDescent="0.25">
      <c r="N1703" s="3"/>
      <c r="AW1703" s="7"/>
      <c r="AX1703" s="7"/>
    </row>
    <row r="1704" spans="14:50" x14ac:dyDescent="0.25">
      <c r="N1704" s="3"/>
      <c r="AW1704" s="7"/>
      <c r="AX1704" s="7"/>
    </row>
    <row r="1705" spans="14:50" x14ac:dyDescent="0.25">
      <c r="N1705" s="3"/>
      <c r="AW1705" s="7"/>
      <c r="AX1705" s="7"/>
    </row>
    <row r="1706" spans="14:50" x14ac:dyDescent="0.25">
      <c r="N1706" s="3"/>
      <c r="AW1706" s="7"/>
      <c r="AX1706" s="7"/>
    </row>
    <row r="1707" spans="14:50" x14ac:dyDescent="0.25">
      <c r="N1707" s="3"/>
      <c r="AW1707" s="7"/>
      <c r="AX1707" s="7"/>
    </row>
    <row r="1708" spans="14:50" x14ac:dyDescent="0.25">
      <c r="N1708" s="3"/>
      <c r="AW1708" s="7"/>
      <c r="AX1708" s="7"/>
    </row>
    <row r="1709" spans="14:50" x14ac:dyDescent="0.25">
      <c r="N1709" s="3"/>
      <c r="AW1709" s="7"/>
      <c r="AX1709" s="7"/>
    </row>
    <row r="1710" spans="14:50" x14ac:dyDescent="0.25">
      <c r="N1710" s="3"/>
      <c r="AW1710" s="7"/>
      <c r="AX1710" s="7"/>
    </row>
    <row r="1711" spans="14:50" x14ac:dyDescent="0.25">
      <c r="N1711" s="3"/>
      <c r="AW1711" s="7"/>
      <c r="AX1711" s="7"/>
    </row>
    <row r="1712" spans="14:50" x14ac:dyDescent="0.25">
      <c r="N1712" s="3"/>
      <c r="AW1712" s="7"/>
      <c r="AX1712" s="7"/>
    </row>
    <row r="1713" spans="14:50" x14ac:dyDescent="0.25">
      <c r="N1713" s="3"/>
      <c r="AW1713" s="7"/>
      <c r="AX1713" s="7"/>
    </row>
    <row r="1714" spans="14:50" x14ac:dyDescent="0.25">
      <c r="N1714" s="3"/>
      <c r="AW1714" s="7"/>
      <c r="AX1714" s="7"/>
    </row>
    <row r="1715" spans="14:50" x14ac:dyDescent="0.25">
      <c r="N1715" s="3"/>
      <c r="AW1715" s="7"/>
      <c r="AX1715" s="7"/>
    </row>
    <row r="1716" spans="14:50" x14ac:dyDescent="0.25">
      <c r="N1716" s="3"/>
      <c r="AW1716" s="7"/>
      <c r="AX1716" s="7"/>
    </row>
    <row r="1717" spans="14:50" x14ac:dyDescent="0.25">
      <c r="N1717" s="3"/>
      <c r="AW1717" s="7"/>
      <c r="AX1717" s="7"/>
    </row>
    <row r="1718" spans="14:50" x14ac:dyDescent="0.25">
      <c r="N1718" s="3"/>
      <c r="AW1718" s="7"/>
      <c r="AX1718" s="7"/>
    </row>
    <row r="1719" spans="14:50" x14ac:dyDescent="0.25">
      <c r="N1719" s="3"/>
      <c r="AW1719" s="7"/>
      <c r="AX1719" s="7"/>
    </row>
    <row r="1720" spans="14:50" x14ac:dyDescent="0.25">
      <c r="N1720" s="3"/>
      <c r="AW1720" s="7"/>
      <c r="AX1720" s="7"/>
    </row>
    <row r="1721" spans="14:50" x14ac:dyDescent="0.25">
      <c r="N1721" s="3"/>
      <c r="AW1721" s="7"/>
      <c r="AX1721" s="7"/>
    </row>
    <row r="1722" spans="14:50" x14ac:dyDescent="0.25">
      <c r="N1722" s="3"/>
      <c r="AW1722" s="7"/>
      <c r="AX1722" s="7"/>
    </row>
    <row r="1723" spans="14:50" x14ac:dyDescent="0.25">
      <c r="N1723" s="3"/>
      <c r="AW1723" s="7"/>
      <c r="AX1723" s="7"/>
    </row>
    <row r="1724" spans="14:50" x14ac:dyDescent="0.25">
      <c r="N1724" s="3"/>
      <c r="AW1724" s="7"/>
      <c r="AX1724" s="7"/>
    </row>
    <row r="1725" spans="14:50" x14ac:dyDescent="0.25">
      <c r="N1725" s="3"/>
      <c r="AW1725" s="7"/>
      <c r="AX1725" s="7"/>
    </row>
    <row r="1726" spans="14:50" x14ac:dyDescent="0.25">
      <c r="N1726" s="3"/>
      <c r="AW1726" s="7"/>
      <c r="AX1726" s="7"/>
    </row>
    <row r="1727" spans="14:50" x14ac:dyDescent="0.25">
      <c r="N1727" s="3"/>
      <c r="AW1727" s="7"/>
      <c r="AX1727" s="7"/>
    </row>
    <row r="1728" spans="14:50" x14ac:dyDescent="0.25">
      <c r="N1728" s="3"/>
      <c r="AW1728" s="7"/>
      <c r="AX1728" s="7"/>
    </row>
    <row r="1729" spans="14:50" x14ac:dyDescent="0.25">
      <c r="N1729" s="3"/>
      <c r="AW1729" s="7"/>
      <c r="AX1729" s="7"/>
    </row>
    <row r="1730" spans="14:50" x14ac:dyDescent="0.25">
      <c r="N1730" s="3"/>
      <c r="AW1730" s="7"/>
      <c r="AX1730" s="7"/>
    </row>
    <row r="1731" spans="14:50" x14ac:dyDescent="0.25">
      <c r="N1731" s="3"/>
      <c r="AW1731" s="7"/>
      <c r="AX1731" s="7"/>
    </row>
    <row r="1732" spans="14:50" x14ac:dyDescent="0.25">
      <c r="N1732" s="3"/>
      <c r="AW1732" s="7"/>
      <c r="AX1732" s="7"/>
    </row>
    <row r="1733" spans="14:50" x14ac:dyDescent="0.25">
      <c r="N1733" s="3"/>
      <c r="AW1733" s="7"/>
      <c r="AX1733" s="7"/>
    </row>
    <row r="1734" spans="14:50" x14ac:dyDescent="0.25">
      <c r="N1734" s="3"/>
      <c r="AW1734" s="7"/>
      <c r="AX1734" s="7"/>
    </row>
    <row r="1735" spans="14:50" x14ac:dyDescent="0.25">
      <c r="N1735" s="3"/>
      <c r="AW1735" s="7"/>
      <c r="AX1735" s="7"/>
    </row>
    <row r="1736" spans="14:50" x14ac:dyDescent="0.25">
      <c r="N1736" s="3"/>
      <c r="AW1736" s="7"/>
      <c r="AX1736" s="7"/>
    </row>
    <row r="1737" spans="14:50" x14ac:dyDescent="0.25">
      <c r="N1737" s="3"/>
      <c r="AW1737" s="7"/>
      <c r="AX1737" s="7"/>
    </row>
    <row r="1738" spans="14:50" x14ac:dyDescent="0.25">
      <c r="N1738" s="3"/>
      <c r="AW1738" s="7"/>
      <c r="AX1738" s="7"/>
    </row>
    <row r="1739" spans="14:50" x14ac:dyDescent="0.25">
      <c r="N1739" s="3"/>
      <c r="AW1739" s="7"/>
      <c r="AX1739" s="7"/>
    </row>
    <row r="1740" spans="14:50" x14ac:dyDescent="0.25">
      <c r="N1740" s="3"/>
      <c r="AW1740" s="7"/>
      <c r="AX1740" s="7"/>
    </row>
    <row r="1741" spans="14:50" x14ac:dyDescent="0.25">
      <c r="N1741" s="3"/>
      <c r="AW1741" s="7"/>
      <c r="AX1741" s="7"/>
    </row>
    <row r="1742" spans="14:50" x14ac:dyDescent="0.25">
      <c r="N1742" s="3"/>
      <c r="AW1742" s="7"/>
      <c r="AX1742" s="7"/>
    </row>
    <row r="1743" spans="14:50" x14ac:dyDescent="0.25">
      <c r="N1743" s="3"/>
      <c r="AW1743" s="7"/>
      <c r="AX1743" s="7"/>
    </row>
    <row r="1744" spans="14:50" x14ac:dyDescent="0.25">
      <c r="N1744" s="3"/>
      <c r="AW1744" s="7"/>
      <c r="AX1744" s="7"/>
    </row>
    <row r="1745" spans="14:50" x14ac:dyDescent="0.25">
      <c r="N1745" s="3"/>
      <c r="AW1745" s="7"/>
      <c r="AX1745" s="7"/>
    </row>
    <row r="1746" spans="14:50" x14ac:dyDescent="0.25">
      <c r="N1746" s="3"/>
      <c r="AW1746" s="7"/>
      <c r="AX1746" s="7"/>
    </row>
    <row r="1747" spans="14:50" x14ac:dyDescent="0.25">
      <c r="N1747" s="3"/>
      <c r="AW1747" s="7"/>
      <c r="AX1747" s="7"/>
    </row>
    <row r="1748" spans="14:50" x14ac:dyDescent="0.25">
      <c r="N1748" s="3"/>
      <c r="AW1748" s="7"/>
      <c r="AX1748" s="7"/>
    </row>
    <row r="1749" spans="14:50" x14ac:dyDescent="0.25">
      <c r="N1749" s="3"/>
      <c r="AW1749" s="7"/>
      <c r="AX1749" s="7"/>
    </row>
    <row r="1750" spans="14:50" x14ac:dyDescent="0.25">
      <c r="N1750" s="3"/>
      <c r="AW1750" s="7"/>
      <c r="AX1750" s="7"/>
    </row>
    <row r="1751" spans="14:50" x14ac:dyDescent="0.25">
      <c r="N1751" s="3"/>
      <c r="AW1751" s="7"/>
      <c r="AX1751" s="7"/>
    </row>
    <row r="1752" spans="14:50" x14ac:dyDescent="0.25">
      <c r="N1752" s="3"/>
      <c r="AW1752" s="7"/>
      <c r="AX1752" s="7"/>
    </row>
    <row r="1753" spans="14:50" x14ac:dyDescent="0.25">
      <c r="N1753" s="3"/>
      <c r="AW1753" s="7"/>
      <c r="AX1753" s="7"/>
    </row>
    <row r="1754" spans="14:50" x14ac:dyDescent="0.25">
      <c r="N1754" s="3"/>
      <c r="AW1754" s="7"/>
      <c r="AX1754" s="7"/>
    </row>
    <row r="1755" spans="14:50" x14ac:dyDescent="0.25">
      <c r="N1755" s="3"/>
      <c r="AW1755" s="7"/>
      <c r="AX1755" s="7"/>
    </row>
    <row r="1756" spans="14:50" x14ac:dyDescent="0.25">
      <c r="N1756" s="3"/>
      <c r="AW1756" s="7"/>
      <c r="AX1756" s="7"/>
    </row>
    <row r="1757" spans="14:50" x14ac:dyDescent="0.25">
      <c r="N1757" s="3"/>
      <c r="AW1757" s="7"/>
      <c r="AX1757" s="7"/>
    </row>
    <row r="1758" spans="14:50" x14ac:dyDescent="0.25">
      <c r="N1758" s="3"/>
      <c r="AW1758" s="7"/>
      <c r="AX1758" s="7"/>
    </row>
    <row r="1759" spans="14:50" x14ac:dyDescent="0.25">
      <c r="N1759" s="3"/>
      <c r="AW1759" s="7"/>
      <c r="AX1759" s="7"/>
    </row>
    <row r="1760" spans="14:50" x14ac:dyDescent="0.25">
      <c r="N1760" s="3"/>
      <c r="AW1760" s="7"/>
      <c r="AX1760" s="7"/>
    </row>
    <row r="1761" spans="14:50" x14ac:dyDescent="0.25">
      <c r="N1761" s="3"/>
      <c r="AW1761" s="7"/>
      <c r="AX1761" s="7"/>
    </row>
    <row r="1762" spans="14:50" x14ac:dyDescent="0.25">
      <c r="N1762" s="3"/>
      <c r="AW1762" s="7"/>
      <c r="AX1762" s="7"/>
    </row>
    <row r="1763" spans="14:50" x14ac:dyDescent="0.25">
      <c r="N1763" s="3"/>
      <c r="AW1763" s="7"/>
      <c r="AX1763" s="7"/>
    </row>
    <row r="1764" spans="14:50" x14ac:dyDescent="0.25">
      <c r="N1764" s="3"/>
      <c r="AW1764" s="7"/>
      <c r="AX1764" s="7"/>
    </row>
    <row r="1765" spans="14:50" x14ac:dyDescent="0.25">
      <c r="N1765" s="3"/>
      <c r="AW1765" s="7"/>
      <c r="AX1765" s="7"/>
    </row>
    <row r="1766" spans="14:50" x14ac:dyDescent="0.25">
      <c r="N1766" s="3"/>
      <c r="AW1766" s="7"/>
      <c r="AX1766" s="7"/>
    </row>
    <row r="1767" spans="14:50" x14ac:dyDescent="0.25">
      <c r="N1767" s="3"/>
      <c r="AW1767" s="7"/>
      <c r="AX1767" s="7"/>
    </row>
    <row r="1768" spans="14:50" x14ac:dyDescent="0.25">
      <c r="N1768" s="3"/>
      <c r="AW1768" s="7"/>
      <c r="AX1768" s="7"/>
    </row>
    <row r="1769" spans="14:50" x14ac:dyDescent="0.25">
      <c r="N1769" s="3"/>
      <c r="AW1769" s="7"/>
      <c r="AX1769" s="7"/>
    </row>
    <row r="1770" spans="14:50" x14ac:dyDescent="0.25">
      <c r="N1770" s="3"/>
      <c r="AW1770" s="7"/>
      <c r="AX1770" s="7"/>
    </row>
    <row r="1771" spans="14:50" x14ac:dyDescent="0.25">
      <c r="N1771" s="3"/>
      <c r="AW1771" s="7"/>
      <c r="AX1771" s="7"/>
    </row>
    <row r="1772" spans="14:50" x14ac:dyDescent="0.25">
      <c r="N1772" s="3"/>
      <c r="AW1772" s="7"/>
      <c r="AX1772" s="7"/>
    </row>
    <row r="1773" spans="14:50" x14ac:dyDescent="0.25">
      <c r="N1773" s="3"/>
      <c r="AW1773" s="7"/>
      <c r="AX1773" s="7"/>
    </row>
    <row r="1774" spans="14:50" x14ac:dyDescent="0.25">
      <c r="N1774" s="3"/>
      <c r="AW1774" s="7"/>
      <c r="AX1774" s="7"/>
    </row>
    <row r="1775" spans="14:50" x14ac:dyDescent="0.25">
      <c r="N1775" s="3"/>
      <c r="AW1775" s="7"/>
      <c r="AX1775" s="7"/>
    </row>
    <row r="1776" spans="14:50" x14ac:dyDescent="0.25">
      <c r="N1776" s="3"/>
      <c r="AW1776" s="7"/>
      <c r="AX1776" s="7"/>
    </row>
    <row r="1777" spans="14:50" x14ac:dyDescent="0.25">
      <c r="N1777" s="3"/>
      <c r="AW1777" s="7"/>
      <c r="AX1777" s="7"/>
    </row>
    <row r="1778" spans="14:50" x14ac:dyDescent="0.25">
      <c r="N1778" s="3"/>
      <c r="AW1778" s="7"/>
      <c r="AX1778" s="7"/>
    </row>
    <row r="1779" spans="14:50" x14ac:dyDescent="0.25">
      <c r="N1779" s="3"/>
      <c r="AW1779" s="7"/>
      <c r="AX1779" s="7"/>
    </row>
    <row r="1780" spans="14:50" x14ac:dyDescent="0.25">
      <c r="N1780" s="3"/>
      <c r="AW1780" s="7"/>
      <c r="AX1780" s="7"/>
    </row>
    <row r="1781" spans="14:50" x14ac:dyDescent="0.25">
      <c r="N1781" s="3"/>
      <c r="AW1781" s="7"/>
      <c r="AX1781" s="7"/>
    </row>
    <row r="1782" spans="14:50" x14ac:dyDescent="0.25">
      <c r="N1782" s="3"/>
      <c r="AW1782" s="7"/>
      <c r="AX1782" s="7"/>
    </row>
    <row r="1783" spans="14:50" x14ac:dyDescent="0.25">
      <c r="N1783" s="3"/>
      <c r="AW1783" s="7"/>
      <c r="AX1783" s="7"/>
    </row>
    <row r="1784" spans="14:50" x14ac:dyDescent="0.25">
      <c r="N1784" s="3"/>
      <c r="AW1784" s="7"/>
      <c r="AX1784" s="7"/>
    </row>
    <row r="1785" spans="14:50" x14ac:dyDescent="0.25">
      <c r="N1785" s="3"/>
      <c r="AW1785" s="7"/>
      <c r="AX1785" s="7"/>
    </row>
    <row r="1786" spans="14:50" x14ac:dyDescent="0.25">
      <c r="N1786" s="3"/>
      <c r="AW1786" s="7"/>
      <c r="AX1786" s="7"/>
    </row>
    <row r="1787" spans="14:50" x14ac:dyDescent="0.25">
      <c r="N1787" s="3"/>
      <c r="AW1787" s="7"/>
      <c r="AX1787" s="7"/>
    </row>
    <row r="1788" spans="14:50" x14ac:dyDescent="0.25">
      <c r="N1788" s="3"/>
      <c r="AW1788" s="7"/>
      <c r="AX1788" s="7"/>
    </row>
    <row r="1789" spans="14:50" x14ac:dyDescent="0.25">
      <c r="N1789" s="3"/>
      <c r="AW1789" s="7"/>
      <c r="AX1789" s="7"/>
    </row>
    <row r="1790" spans="14:50" x14ac:dyDescent="0.25">
      <c r="N1790" s="3"/>
      <c r="AW1790" s="7"/>
      <c r="AX1790" s="7"/>
    </row>
    <row r="1791" spans="14:50" x14ac:dyDescent="0.25">
      <c r="N1791" s="3"/>
      <c r="AW1791" s="7"/>
      <c r="AX1791" s="7"/>
    </row>
    <row r="1792" spans="14:50" x14ac:dyDescent="0.25">
      <c r="N1792" s="3"/>
      <c r="AW1792" s="7"/>
      <c r="AX1792" s="7"/>
    </row>
    <row r="1793" spans="14:50" x14ac:dyDescent="0.25">
      <c r="N1793" s="3"/>
      <c r="AW1793" s="7"/>
      <c r="AX1793" s="7"/>
    </row>
    <row r="1794" spans="14:50" x14ac:dyDescent="0.25">
      <c r="N1794" s="3"/>
      <c r="AW1794" s="7"/>
      <c r="AX1794" s="7"/>
    </row>
    <row r="1795" spans="14:50" x14ac:dyDescent="0.25">
      <c r="N1795" s="3"/>
      <c r="AW1795" s="7"/>
      <c r="AX1795" s="7"/>
    </row>
    <row r="1796" spans="14:50" x14ac:dyDescent="0.25">
      <c r="N1796" s="3"/>
      <c r="AW1796" s="7"/>
      <c r="AX1796" s="7"/>
    </row>
    <row r="1797" spans="14:50" x14ac:dyDescent="0.25">
      <c r="N1797" s="3"/>
      <c r="AW1797" s="7"/>
      <c r="AX1797" s="7"/>
    </row>
    <row r="1798" spans="14:50" x14ac:dyDescent="0.25">
      <c r="N1798" s="3"/>
      <c r="AW1798" s="7"/>
      <c r="AX1798" s="7"/>
    </row>
    <row r="1799" spans="14:50" x14ac:dyDescent="0.25">
      <c r="N1799" s="3"/>
      <c r="AW1799" s="7"/>
      <c r="AX1799" s="7"/>
    </row>
    <row r="1800" spans="14:50" x14ac:dyDescent="0.25">
      <c r="N1800" s="3"/>
      <c r="AW1800" s="7"/>
      <c r="AX1800" s="7"/>
    </row>
    <row r="1801" spans="14:50" x14ac:dyDescent="0.25">
      <c r="N1801" s="3"/>
      <c r="AW1801" s="7"/>
      <c r="AX1801" s="7"/>
    </row>
    <row r="1802" spans="14:50" x14ac:dyDescent="0.25">
      <c r="N1802" s="3"/>
      <c r="AW1802" s="7"/>
      <c r="AX1802" s="7"/>
    </row>
    <row r="1803" spans="14:50" x14ac:dyDescent="0.25">
      <c r="N1803" s="3"/>
      <c r="AW1803" s="7"/>
      <c r="AX1803" s="7"/>
    </row>
    <row r="1804" spans="14:50" x14ac:dyDescent="0.25">
      <c r="N1804" s="3"/>
      <c r="AW1804" s="7"/>
      <c r="AX1804" s="7"/>
    </row>
    <row r="1805" spans="14:50" x14ac:dyDescent="0.25">
      <c r="N1805" s="3"/>
      <c r="AW1805" s="7"/>
      <c r="AX1805" s="7"/>
    </row>
    <row r="1806" spans="14:50" x14ac:dyDescent="0.25">
      <c r="N1806" s="3"/>
      <c r="AW1806" s="7"/>
      <c r="AX1806" s="7"/>
    </row>
    <row r="1807" spans="14:50" x14ac:dyDescent="0.25">
      <c r="N1807" s="3"/>
      <c r="AW1807" s="7"/>
      <c r="AX1807" s="7"/>
    </row>
    <row r="1808" spans="14:50" x14ac:dyDescent="0.25">
      <c r="N1808" s="3"/>
      <c r="AW1808" s="7"/>
      <c r="AX1808" s="7"/>
    </row>
    <row r="1809" spans="14:50" x14ac:dyDescent="0.25">
      <c r="N1809" s="3"/>
      <c r="AW1809" s="7"/>
      <c r="AX1809" s="7"/>
    </row>
    <row r="1810" spans="14:50" x14ac:dyDescent="0.25">
      <c r="N1810" s="3"/>
      <c r="AW1810" s="7"/>
      <c r="AX1810" s="7"/>
    </row>
    <row r="1811" spans="14:50" x14ac:dyDescent="0.25">
      <c r="N1811" s="3"/>
      <c r="AW1811" s="7"/>
      <c r="AX1811" s="7"/>
    </row>
    <row r="1812" spans="14:50" x14ac:dyDescent="0.25">
      <c r="N1812" s="3"/>
      <c r="AW1812" s="7"/>
      <c r="AX1812" s="7"/>
    </row>
    <row r="1813" spans="14:50" x14ac:dyDescent="0.25">
      <c r="N1813" s="3"/>
      <c r="AW1813" s="7"/>
      <c r="AX1813" s="7"/>
    </row>
    <row r="1814" spans="14:50" x14ac:dyDescent="0.25">
      <c r="N1814" s="3"/>
      <c r="AW1814" s="7"/>
      <c r="AX1814" s="7"/>
    </row>
    <row r="1815" spans="14:50" x14ac:dyDescent="0.25">
      <c r="N1815" s="3"/>
      <c r="AW1815" s="7"/>
      <c r="AX1815" s="7"/>
    </row>
    <row r="1816" spans="14:50" x14ac:dyDescent="0.25">
      <c r="N1816" s="3"/>
      <c r="AW1816" s="7"/>
      <c r="AX1816" s="7"/>
    </row>
    <row r="1817" spans="14:50" x14ac:dyDescent="0.25">
      <c r="N1817" s="3"/>
      <c r="AW1817" s="7"/>
      <c r="AX1817" s="7"/>
    </row>
    <row r="1818" spans="14:50" x14ac:dyDescent="0.25">
      <c r="N1818" s="3"/>
      <c r="AW1818" s="7"/>
      <c r="AX1818" s="7"/>
    </row>
    <row r="1819" spans="14:50" x14ac:dyDescent="0.25">
      <c r="N1819" s="3"/>
      <c r="AW1819" s="7"/>
      <c r="AX1819" s="7"/>
    </row>
    <row r="1820" spans="14:50" x14ac:dyDescent="0.25">
      <c r="N1820" s="3"/>
      <c r="AW1820" s="7"/>
      <c r="AX1820" s="7"/>
    </row>
    <row r="1821" spans="14:50" x14ac:dyDescent="0.25">
      <c r="N1821" s="3"/>
      <c r="AW1821" s="7"/>
      <c r="AX1821" s="7"/>
    </row>
    <row r="1822" spans="14:50" x14ac:dyDescent="0.25">
      <c r="N1822" s="3"/>
      <c r="AW1822" s="7"/>
      <c r="AX1822" s="7"/>
    </row>
    <row r="1823" spans="14:50" x14ac:dyDescent="0.25">
      <c r="N1823" s="3"/>
      <c r="AW1823" s="7"/>
      <c r="AX1823" s="7"/>
    </row>
    <row r="1824" spans="14:50" x14ac:dyDescent="0.25">
      <c r="N1824" s="3"/>
      <c r="AW1824" s="7"/>
      <c r="AX1824" s="7"/>
    </row>
    <row r="1825" spans="14:50" x14ac:dyDescent="0.25">
      <c r="N1825" s="3"/>
      <c r="AW1825" s="7"/>
      <c r="AX1825" s="7"/>
    </row>
    <row r="1826" spans="14:50" x14ac:dyDescent="0.25">
      <c r="N1826" s="3"/>
      <c r="AW1826" s="7"/>
      <c r="AX1826" s="7"/>
    </row>
    <row r="1827" spans="14:50" x14ac:dyDescent="0.25">
      <c r="N1827" s="3"/>
      <c r="AW1827" s="7"/>
      <c r="AX1827" s="7"/>
    </row>
    <row r="1828" spans="14:50" x14ac:dyDescent="0.25">
      <c r="N1828" s="3"/>
      <c r="AW1828" s="7"/>
      <c r="AX1828" s="7"/>
    </row>
    <row r="1829" spans="14:50" x14ac:dyDescent="0.25">
      <c r="N1829" s="3"/>
      <c r="AW1829" s="7"/>
      <c r="AX1829" s="7"/>
    </row>
    <row r="1830" spans="14:50" x14ac:dyDescent="0.25">
      <c r="N1830" s="3"/>
      <c r="AW1830" s="7"/>
      <c r="AX1830" s="7"/>
    </row>
    <row r="1831" spans="14:50" x14ac:dyDescent="0.25">
      <c r="N1831" s="3"/>
      <c r="AW1831" s="7"/>
      <c r="AX1831" s="7"/>
    </row>
    <row r="1832" spans="14:50" x14ac:dyDescent="0.25">
      <c r="N1832" s="3"/>
      <c r="AW1832" s="7"/>
      <c r="AX1832" s="7"/>
    </row>
    <row r="1833" spans="14:50" x14ac:dyDescent="0.25">
      <c r="N1833" s="3"/>
      <c r="AW1833" s="7"/>
      <c r="AX1833" s="7"/>
    </row>
    <row r="1834" spans="14:50" x14ac:dyDescent="0.25">
      <c r="N1834" s="3"/>
      <c r="AW1834" s="7"/>
      <c r="AX1834" s="7"/>
    </row>
    <row r="1835" spans="14:50" x14ac:dyDescent="0.25">
      <c r="N1835" s="3"/>
      <c r="AW1835" s="7"/>
      <c r="AX1835" s="7"/>
    </row>
    <row r="1836" spans="14:50" x14ac:dyDescent="0.25">
      <c r="N1836" s="3"/>
      <c r="AW1836" s="7"/>
      <c r="AX1836" s="7"/>
    </row>
    <row r="1837" spans="14:50" x14ac:dyDescent="0.25">
      <c r="N1837" s="3"/>
      <c r="AW1837" s="7"/>
      <c r="AX1837" s="7"/>
    </row>
    <row r="1838" spans="14:50" x14ac:dyDescent="0.25">
      <c r="N1838" s="3"/>
      <c r="AW1838" s="7"/>
      <c r="AX1838" s="7"/>
    </row>
    <row r="1839" spans="14:50" x14ac:dyDescent="0.25">
      <c r="N1839" s="3"/>
      <c r="AW1839" s="7"/>
      <c r="AX1839" s="7"/>
    </row>
    <row r="1840" spans="14:50" x14ac:dyDescent="0.25">
      <c r="N1840" s="3"/>
      <c r="AW1840" s="7"/>
      <c r="AX1840" s="7"/>
    </row>
    <row r="1841" spans="14:50" x14ac:dyDescent="0.25">
      <c r="N1841" s="3"/>
      <c r="AW1841" s="7"/>
      <c r="AX1841" s="7"/>
    </row>
    <row r="1842" spans="14:50" x14ac:dyDescent="0.25">
      <c r="N1842" s="3"/>
      <c r="AW1842" s="7"/>
      <c r="AX1842" s="7"/>
    </row>
    <row r="1843" spans="14:50" x14ac:dyDescent="0.25">
      <c r="N1843" s="3"/>
      <c r="AW1843" s="7"/>
      <c r="AX1843" s="7"/>
    </row>
    <row r="1844" spans="14:50" x14ac:dyDescent="0.25">
      <c r="N1844" s="3"/>
      <c r="AW1844" s="7"/>
      <c r="AX1844" s="7"/>
    </row>
    <row r="1845" spans="14:50" x14ac:dyDescent="0.25">
      <c r="N1845" s="3"/>
      <c r="AW1845" s="7"/>
      <c r="AX1845" s="7"/>
    </row>
    <row r="1846" spans="14:50" x14ac:dyDescent="0.25">
      <c r="N1846" s="3"/>
      <c r="AW1846" s="7"/>
      <c r="AX1846" s="7"/>
    </row>
    <row r="1847" spans="14:50" x14ac:dyDescent="0.25">
      <c r="N1847" s="3"/>
      <c r="AW1847" s="7"/>
      <c r="AX1847" s="7"/>
    </row>
    <row r="1848" spans="14:50" x14ac:dyDescent="0.25">
      <c r="N1848" s="3"/>
      <c r="AW1848" s="7"/>
      <c r="AX1848" s="7"/>
    </row>
    <row r="1849" spans="14:50" x14ac:dyDescent="0.25">
      <c r="N1849" s="3"/>
      <c r="AW1849" s="7"/>
      <c r="AX1849" s="7"/>
    </row>
    <row r="1850" spans="14:50" x14ac:dyDescent="0.25">
      <c r="N1850" s="3"/>
      <c r="AW1850" s="7"/>
      <c r="AX1850" s="7"/>
    </row>
    <row r="1851" spans="14:50" x14ac:dyDescent="0.25">
      <c r="N1851" s="3"/>
      <c r="AW1851" s="7"/>
      <c r="AX1851" s="7"/>
    </row>
    <row r="1852" spans="14:50" x14ac:dyDescent="0.25">
      <c r="N1852" s="3"/>
      <c r="AW1852" s="7"/>
      <c r="AX1852" s="7"/>
    </row>
    <row r="1853" spans="14:50" x14ac:dyDescent="0.25">
      <c r="N1853" s="3"/>
      <c r="AW1853" s="7"/>
      <c r="AX1853" s="7"/>
    </row>
    <row r="1854" spans="14:50" x14ac:dyDescent="0.25">
      <c r="N1854" s="3"/>
      <c r="AW1854" s="7"/>
      <c r="AX1854" s="7"/>
    </row>
    <row r="1855" spans="14:50" x14ac:dyDescent="0.25">
      <c r="N1855" s="3"/>
      <c r="AW1855" s="7"/>
      <c r="AX1855" s="7"/>
    </row>
    <row r="1856" spans="14:50" x14ac:dyDescent="0.25">
      <c r="N1856" s="3"/>
      <c r="AW1856" s="7"/>
      <c r="AX1856" s="7"/>
    </row>
    <row r="1857" spans="14:50" x14ac:dyDescent="0.25">
      <c r="N1857" s="3"/>
      <c r="AW1857" s="7"/>
      <c r="AX1857" s="7"/>
    </row>
    <row r="1858" spans="14:50" x14ac:dyDescent="0.25">
      <c r="N1858" s="3"/>
      <c r="AW1858" s="7"/>
      <c r="AX1858" s="7"/>
    </row>
    <row r="1859" spans="14:50" x14ac:dyDescent="0.25">
      <c r="N1859" s="3"/>
      <c r="AW1859" s="7"/>
      <c r="AX1859" s="7"/>
    </row>
    <row r="1860" spans="14:50" x14ac:dyDescent="0.25">
      <c r="N1860" s="3"/>
      <c r="AW1860" s="7"/>
      <c r="AX1860" s="7"/>
    </row>
    <row r="1861" spans="14:50" x14ac:dyDescent="0.25">
      <c r="N1861" s="3"/>
      <c r="AW1861" s="7"/>
      <c r="AX1861" s="7"/>
    </row>
    <row r="1862" spans="14:50" x14ac:dyDescent="0.25">
      <c r="N1862" s="3"/>
      <c r="AW1862" s="7"/>
      <c r="AX1862" s="7"/>
    </row>
    <row r="1863" spans="14:50" x14ac:dyDescent="0.25">
      <c r="N1863" s="3"/>
      <c r="AW1863" s="7"/>
      <c r="AX1863" s="7"/>
    </row>
    <row r="1864" spans="14:50" x14ac:dyDescent="0.25">
      <c r="N1864" s="3"/>
      <c r="AW1864" s="7"/>
      <c r="AX1864" s="7"/>
    </row>
    <row r="1865" spans="14:50" x14ac:dyDescent="0.25">
      <c r="N1865" s="3"/>
      <c r="AW1865" s="7"/>
      <c r="AX1865" s="7"/>
    </row>
    <row r="1866" spans="14:50" x14ac:dyDescent="0.25">
      <c r="N1866" s="3"/>
      <c r="AW1866" s="7"/>
      <c r="AX1866" s="7"/>
    </row>
    <row r="1867" spans="14:50" x14ac:dyDescent="0.25">
      <c r="N1867" s="3"/>
      <c r="AW1867" s="7"/>
      <c r="AX1867" s="7"/>
    </row>
    <row r="1868" spans="14:50" x14ac:dyDescent="0.25">
      <c r="N1868" s="3"/>
      <c r="AW1868" s="7"/>
      <c r="AX1868" s="7"/>
    </row>
    <row r="1869" spans="14:50" x14ac:dyDescent="0.25">
      <c r="N1869" s="3"/>
      <c r="AW1869" s="7"/>
      <c r="AX1869" s="7"/>
    </row>
    <row r="1870" spans="14:50" x14ac:dyDescent="0.25">
      <c r="N1870" s="3"/>
      <c r="AW1870" s="7"/>
      <c r="AX1870" s="7"/>
    </row>
    <row r="1871" spans="14:50" x14ac:dyDescent="0.25">
      <c r="N1871" s="3"/>
      <c r="AW1871" s="7"/>
      <c r="AX1871" s="7"/>
    </row>
    <row r="1872" spans="14:50" x14ac:dyDescent="0.25">
      <c r="N1872" s="3"/>
      <c r="AW1872" s="7"/>
      <c r="AX1872" s="7"/>
    </row>
    <row r="1873" spans="14:50" x14ac:dyDescent="0.25">
      <c r="N1873" s="3"/>
      <c r="AW1873" s="7"/>
      <c r="AX1873" s="7"/>
    </row>
    <row r="1874" spans="14:50" x14ac:dyDescent="0.25">
      <c r="N1874" s="3"/>
      <c r="AW1874" s="7"/>
      <c r="AX1874" s="7"/>
    </row>
    <row r="1875" spans="14:50" x14ac:dyDescent="0.25">
      <c r="N1875" s="3"/>
      <c r="AW1875" s="7"/>
      <c r="AX1875" s="7"/>
    </row>
    <row r="1876" spans="14:50" x14ac:dyDescent="0.25">
      <c r="N1876" s="3"/>
      <c r="AW1876" s="7"/>
      <c r="AX1876" s="7"/>
    </row>
    <row r="1877" spans="14:50" x14ac:dyDescent="0.25">
      <c r="N1877" s="3"/>
      <c r="AW1877" s="7"/>
      <c r="AX1877" s="7"/>
    </row>
    <row r="1878" spans="14:50" x14ac:dyDescent="0.25">
      <c r="N1878" s="3"/>
      <c r="AW1878" s="7"/>
      <c r="AX1878" s="7"/>
    </row>
    <row r="1879" spans="14:50" x14ac:dyDescent="0.25">
      <c r="N1879" s="3"/>
      <c r="AW1879" s="7"/>
      <c r="AX1879" s="7"/>
    </row>
    <row r="1880" spans="14:50" x14ac:dyDescent="0.25">
      <c r="N1880" s="3"/>
      <c r="AW1880" s="7"/>
      <c r="AX1880" s="7"/>
    </row>
    <row r="1881" spans="14:50" x14ac:dyDescent="0.25">
      <c r="N1881" s="3"/>
      <c r="AW1881" s="7"/>
      <c r="AX1881" s="7"/>
    </row>
    <row r="1882" spans="14:50" x14ac:dyDescent="0.25">
      <c r="N1882" s="3"/>
      <c r="AW1882" s="7"/>
      <c r="AX1882" s="7"/>
    </row>
    <row r="1883" spans="14:50" x14ac:dyDescent="0.25">
      <c r="N1883" s="3"/>
      <c r="AW1883" s="7"/>
      <c r="AX1883" s="7"/>
    </row>
    <row r="1884" spans="14:50" x14ac:dyDescent="0.25">
      <c r="N1884" s="3"/>
      <c r="AW1884" s="7"/>
      <c r="AX1884" s="7"/>
    </row>
    <row r="1885" spans="14:50" x14ac:dyDescent="0.25">
      <c r="N1885" s="3"/>
      <c r="AW1885" s="7"/>
      <c r="AX1885" s="7"/>
    </row>
    <row r="1886" spans="14:50" x14ac:dyDescent="0.25">
      <c r="N1886" s="3"/>
      <c r="AW1886" s="7"/>
      <c r="AX1886" s="7"/>
    </row>
    <row r="1887" spans="14:50" x14ac:dyDescent="0.25">
      <c r="N1887" s="3"/>
      <c r="AW1887" s="7"/>
      <c r="AX1887" s="7"/>
    </row>
    <row r="1888" spans="14:50" x14ac:dyDescent="0.25">
      <c r="N1888" s="3"/>
      <c r="AW1888" s="7"/>
      <c r="AX1888" s="7"/>
    </row>
    <row r="1889" spans="14:50" x14ac:dyDescent="0.25">
      <c r="N1889" s="3"/>
      <c r="AW1889" s="7"/>
      <c r="AX1889" s="7"/>
    </row>
    <row r="1890" spans="14:50" x14ac:dyDescent="0.25">
      <c r="N1890" s="3"/>
      <c r="AW1890" s="7"/>
      <c r="AX1890" s="7"/>
    </row>
    <row r="1891" spans="14:50" x14ac:dyDescent="0.25">
      <c r="N1891" s="3"/>
      <c r="AW1891" s="7"/>
      <c r="AX1891" s="7"/>
    </row>
    <row r="1892" spans="14:50" x14ac:dyDescent="0.25">
      <c r="N1892" s="3"/>
      <c r="AW1892" s="7"/>
      <c r="AX1892" s="7"/>
    </row>
    <row r="1893" spans="14:50" x14ac:dyDescent="0.25">
      <c r="N1893" s="3"/>
      <c r="AW1893" s="7"/>
      <c r="AX1893" s="7"/>
    </row>
    <row r="1894" spans="14:50" x14ac:dyDescent="0.25">
      <c r="N1894" s="3"/>
      <c r="AW1894" s="7"/>
      <c r="AX1894" s="7"/>
    </row>
    <row r="1895" spans="14:50" x14ac:dyDescent="0.25">
      <c r="N1895" s="3"/>
      <c r="AW1895" s="7"/>
      <c r="AX1895" s="7"/>
    </row>
    <row r="1896" spans="14:50" x14ac:dyDescent="0.25">
      <c r="N1896" s="3"/>
      <c r="AW1896" s="7"/>
      <c r="AX1896" s="7"/>
    </row>
    <row r="1897" spans="14:50" x14ac:dyDescent="0.25">
      <c r="N1897" s="3"/>
      <c r="AW1897" s="7"/>
      <c r="AX1897" s="7"/>
    </row>
    <row r="1898" spans="14:50" x14ac:dyDescent="0.25">
      <c r="N1898" s="3"/>
      <c r="AW1898" s="7"/>
      <c r="AX1898" s="7"/>
    </row>
    <row r="1899" spans="14:50" x14ac:dyDescent="0.25">
      <c r="N1899" s="3"/>
      <c r="AW1899" s="7"/>
      <c r="AX1899" s="7"/>
    </row>
    <row r="1900" spans="14:50" x14ac:dyDescent="0.25">
      <c r="N1900" s="3"/>
      <c r="AW1900" s="7"/>
      <c r="AX1900" s="7"/>
    </row>
    <row r="1901" spans="14:50" x14ac:dyDescent="0.25">
      <c r="N1901" s="3"/>
      <c r="AW1901" s="7"/>
      <c r="AX1901" s="7"/>
    </row>
    <row r="1902" spans="14:50" x14ac:dyDescent="0.25">
      <c r="N1902" s="3"/>
      <c r="AW1902" s="7"/>
      <c r="AX1902" s="7"/>
    </row>
    <row r="1903" spans="14:50" x14ac:dyDescent="0.25">
      <c r="N1903" s="3"/>
      <c r="AW1903" s="7"/>
      <c r="AX1903" s="7"/>
    </row>
    <row r="1904" spans="14:50" x14ac:dyDescent="0.25">
      <c r="N1904" s="3"/>
      <c r="AW1904" s="7"/>
      <c r="AX1904" s="7"/>
    </row>
    <row r="1905" spans="14:50" x14ac:dyDescent="0.25">
      <c r="N1905" s="3"/>
      <c r="AW1905" s="7"/>
      <c r="AX1905" s="7"/>
    </row>
    <row r="1906" spans="14:50" x14ac:dyDescent="0.25">
      <c r="N1906" s="3"/>
      <c r="AW1906" s="7"/>
      <c r="AX1906" s="7"/>
    </row>
    <row r="1907" spans="14:50" x14ac:dyDescent="0.25">
      <c r="N1907" s="3"/>
      <c r="AW1907" s="7"/>
      <c r="AX1907" s="7"/>
    </row>
    <row r="1908" spans="14:50" x14ac:dyDescent="0.25">
      <c r="N1908" s="3"/>
      <c r="AW1908" s="7"/>
      <c r="AX1908" s="7"/>
    </row>
    <row r="1909" spans="14:50" x14ac:dyDescent="0.25">
      <c r="N1909" s="3"/>
      <c r="AW1909" s="7"/>
      <c r="AX1909" s="7"/>
    </row>
    <row r="1910" spans="14:50" x14ac:dyDescent="0.25">
      <c r="N1910" s="3"/>
      <c r="AW1910" s="7"/>
      <c r="AX1910" s="7"/>
    </row>
    <row r="1911" spans="14:50" x14ac:dyDescent="0.25">
      <c r="N1911" s="3"/>
      <c r="AW1911" s="7"/>
      <c r="AX1911" s="7"/>
    </row>
    <row r="1912" spans="14:50" x14ac:dyDescent="0.25">
      <c r="N1912" s="3"/>
      <c r="AW1912" s="7"/>
      <c r="AX1912" s="7"/>
    </row>
    <row r="1913" spans="14:50" x14ac:dyDescent="0.25">
      <c r="N1913" s="3"/>
      <c r="AW1913" s="7"/>
      <c r="AX1913" s="7"/>
    </row>
    <row r="1914" spans="14:50" x14ac:dyDescent="0.25">
      <c r="N1914" s="3"/>
      <c r="AW1914" s="7"/>
      <c r="AX1914" s="7"/>
    </row>
    <row r="1915" spans="14:50" x14ac:dyDescent="0.25">
      <c r="N1915" s="3"/>
      <c r="AW1915" s="7"/>
      <c r="AX1915" s="7"/>
    </row>
    <row r="1916" spans="14:50" x14ac:dyDescent="0.25">
      <c r="N1916" s="3"/>
      <c r="AW1916" s="7"/>
      <c r="AX1916" s="7"/>
    </row>
    <row r="1917" spans="14:50" x14ac:dyDescent="0.25">
      <c r="N1917" s="3"/>
      <c r="AW1917" s="7"/>
      <c r="AX1917" s="7"/>
    </row>
    <row r="1918" spans="14:50" x14ac:dyDescent="0.25">
      <c r="N1918" s="3"/>
      <c r="AW1918" s="7"/>
      <c r="AX1918" s="7"/>
    </row>
    <row r="1919" spans="14:50" x14ac:dyDescent="0.25">
      <c r="N1919" s="3"/>
      <c r="AW1919" s="7"/>
      <c r="AX1919" s="7"/>
    </row>
    <row r="1920" spans="14:50" x14ac:dyDescent="0.25">
      <c r="N1920" s="3"/>
      <c r="AW1920" s="7"/>
      <c r="AX1920" s="7"/>
    </row>
    <row r="1921" spans="14:50" x14ac:dyDescent="0.25">
      <c r="N1921" s="3"/>
      <c r="AW1921" s="7"/>
      <c r="AX1921" s="7"/>
    </row>
    <row r="1922" spans="14:50" x14ac:dyDescent="0.25">
      <c r="N1922" s="3"/>
      <c r="AW1922" s="7"/>
      <c r="AX1922" s="7"/>
    </row>
    <row r="1923" spans="14:50" x14ac:dyDescent="0.25">
      <c r="N1923" s="3"/>
      <c r="AW1923" s="7"/>
      <c r="AX1923" s="7"/>
    </row>
    <row r="1924" spans="14:50" x14ac:dyDescent="0.25">
      <c r="N1924" s="3"/>
      <c r="AW1924" s="7"/>
      <c r="AX1924" s="7"/>
    </row>
    <row r="1925" spans="14:50" x14ac:dyDescent="0.25">
      <c r="N1925" s="3"/>
      <c r="AW1925" s="7"/>
      <c r="AX1925" s="7"/>
    </row>
    <row r="1926" spans="14:50" x14ac:dyDescent="0.25">
      <c r="N1926" s="3"/>
      <c r="AW1926" s="7"/>
      <c r="AX1926" s="7"/>
    </row>
    <row r="1927" spans="14:50" x14ac:dyDescent="0.25">
      <c r="N1927" s="3"/>
      <c r="AW1927" s="7"/>
      <c r="AX1927" s="7"/>
    </row>
    <row r="1928" spans="14:50" x14ac:dyDescent="0.25">
      <c r="N1928" s="3"/>
      <c r="AW1928" s="7"/>
      <c r="AX1928" s="7"/>
    </row>
    <row r="1929" spans="14:50" x14ac:dyDescent="0.25">
      <c r="N1929" s="3"/>
      <c r="AW1929" s="7"/>
      <c r="AX1929" s="7"/>
    </row>
    <row r="1930" spans="14:50" x14ac:dyDescent="0.25">
      <c r="N1930" s="3"/>
      <c r="AW1930" s="7"/>
      <c r="AX1930" s="7"/>
    </row>
    <row r="1931" spans="14:50" x14ac:dyDescent="0.25">
      <c r="N1931" s="3"/>
      <c r="AW1931" s="7"/>
      <c r="AX1931" s="7"/>
    </row>
    <row r="1932" spans="14:50" x14ac:dyDescent="0.25">
      <c r="N1932" s="3"/>
      <c r="AW1932" s="7"/>
      <c r="AX1932" s="7"/>
    </row>
    <row r="1933" spans="14:50" x14ac:dyDescent="0.25">
      <c r="N1933" s="3"/>
      <c r="AW1933" s="7"/>
      <c r="AX1933" s="7"/>
    </row>
    <row r="1934" spans="14:50" x14ac:dyDescent="0.25">
      <c r="N1934" s="3"/>
      <c r="AW1934" s="7"/>
      <c r="AX1934" s="7"/>
    </row>
    <row r="1935" spans="14:50" x14ac:dyDescent="0.25">
      <c r="N1935" s="3"/>
      <c r="AW1935" s="7"/>
      <c r="AX1935" s="7"/>
    </row>
    <row r="1936" spans="14:50" x14ac:dyDescent="0.25">
      <c r="N1936" s="3"/>
      <c r="AW1936" s="7"/>
      <c r="AX1936" s="7"/>
    </row>
    <row r="1937" spans="14:50" x14ac:dyDescent="0.25">
      <c r="N1937" s="3"/>
      <c r="AW1937" s="7"/>
      <c r="AX1937" s="7"/>
    </row>
    <row r="1938" spans="14:50" x14ac:dyDescent="0.25">
      <c r="N1938" s="3"/>
      <c r="AW1938" s="7"/>
      <c r="AX1938" s="7"/>
    </row>
    <row r="1939" spans="14:50" x14ac:dyDescent="0.25">
      <c r="N1939" s="3"/>
      <c r="AW1939" s="7"/>
      <c r="AX1939" s="7"/>
    </row>
    <row r="1940" spans="14:50" x14ac:dyDescent="0.25">
      <c r="N1940" s="3"/>
      <c r="AW1940" s="7"/>
      <c r="AX1940" s="7"/>
    </row>
    <row r="1941" spans="14:50" x14ac:dyDescent="0.25">
      <c r="N1941" s="3"/>
      <c r="AW1941" s="7"/>
      <c r="AX1941" s="7"/>
    </row>
    <row r="1942" spans="14:50" x14ac:dyDescent="0.25">
      <c r="N1942" s="3"/>
      <c r="AW1942" s="7"/>
      <c r="AX1942" s="7"/>
    </row>
    <row r="1943" spans="14:50" x14ac:dyDescent="0.25">
      <c r="N1943" s="3"/>
      <c r="AW1943" s="7"/>
      <c r="AX1943" s="7"/>
    </row>
    <row r="1944" spans="14:50" x14ac:dyDescent="0.25">
      <c r="N1944" s="3"/>
      <c r="AW1944" s="7"/>
      <c r="AX1944" s="7"/>
    </row>
    <row r="1945" spans="14:50" x14ac:dyDescent="0.25">
      <c r="N1945" s="3"/>
      <c r="AW1945" s="7"/>
      <c r="AX1945" s="7"/>
    </row>
    <row r="1946" spans="14:50" x14ac:dyDescent="0.25">
      <c r="N1946" s="3"/>
      <c r="AW1946" s="7"/>
      <c r="AX1946" s="7"/>
    </row>
    <row r="1947" spans="14:50" x14ac:dyDescent="0.25">
      <c r="N1947" s="3"/>
      <c r="AW1947" s="7"/>
      <c r="AX1947" s="7"/>
    </row>
    <row r="1948" spans="14:50" x14ac:dyDescent="0.25">
      <c r="N1948" s="3"/>
      <c r="AW1948" s="7"/>
      <c r="AX1948" s="7"/>
    </row>
    <row r="1949" spans="14:50" x14ac:dyDescent="0.25">
      <c r="N1949" s="3"/>
      <c r="AW1949" s="7"/>
      <c r="AX1949" s="7"/>
    </row>
    <row r="1950" spans="14:50" x14ac:dyDescent="0.25">
      <c r="N1950" s="3"/>
      <c r="AW1950" s="7"/>
      <c r="AX1950" s="7"/>
    </row>
    <row r="1951" spans="14:50" x14ac:dyDescent="0.25">
      <c r="N1951" s="3"/>
      <c r="AW1951" s="7"/>
      <c r="AX1951" s="7"/>
    </row>
    <row r="1952" spans="14:50" x14ac:dyDescent="0.25">
      <c r="N1952" s="3"/>
      <c r="AW1952" s="7"/>
      <c r="AX1952" s="7"/>
    </row>
    <row r="1953" spans="14:50" x14ac:dyDescent="0.25">
      <c r="N1953" s="3"/>
      <c r="AW1953" s="7"/>
      <c r="AX1953" s="7"/>
    </row>
    <row r="1954" spans="14:50" x14ac:dyDescent="0.25">
      <c r="N1954" s="3"/>
      <c r="AW1954" s="7"/>
      <c r="AX1954" s="7"/>
    </row>
    <row r="1955" spans="14:50" x14ac:dyDescent="0.25">
      <c r="N1955" s="3"/>
      <c r="AW1955" s="7"/>
      <c r="AX1955" s="7"/>
    </row>
    <row r="1956" spans="14:50" x14ac:dyDescent="0.25">
      <c r="N1956" s="3"/>
      <c r="AW1956" s="7"/>
      <c r="AX1956" s="7"/>
    </row>
    <row r="1957" spans="14:50" x14ac:dyDescent="0.25">
      <c r="N1957" s="3"/>
      <c r="AW1957" s="7"/>
      <c r="AX1957" s="7"/>
    </row>
    <row r="1958" spans="14:50" x14ac:dyDescent="0.25">
      <c r="N1958" s="3"/>
      <c r="AW1958" s="7"/>
      <c r="AX1958" s="7"/>
    </row>
    <row r="1959" spans="14:50" x14ac:dyDescent="0.25">
      <c r="N1959" s="3"/>
      <c r="AW1959" s="7"/>
      <c r="AX1959" s="7"/>
    </row>
    <row r="1960" spans="14:50" x14ac:dyDescent="0.25">
      <c r="N1960" s="3"/>
      <c r="AW1960" s="7"/>
      <c r="AX1960" s="7"/>
    </row>
    <row r="1961" spans="14:50" x14ac:dyDescent="0.25">
      <c r="N1961" s="3"/>
      <c r="AW1961" s="7"/>
      <c r="AX1961" s="7"/>
    </row>
    <row r="1962" spans="14:50" x14ac:dyDescent="0.25">
      <c r="N1962" s="3"/>
      <c r="AW1962" s="7"/>
      <c r="AX1962" s="7"/>
    </row>
    <row r="1963" spans="14:50" x14ac:dyDescent="0.25">
      <c r="N1963" s="3"/>
      <c r="AW1963" s="7"/>
      <c r="AX1963" s="7"/>
    </row>
    <row r="1964" spans="14:50" x14ac:dyDescent="0.25">
      <c r="N1964" s="3"/>
      <c r="AW1964" s="7"/>
      <c r="AX1964" s="7"/>
    </row>
    <row r="1965" spans="14:50" x14ac:dyDescent="0.25">
      <c r="N1965" s="3"/>
      <c r="AW1965" s="7"/>
      <c r="AX1965" s="7"/>
    </row>
    <row r="1966" spans="14:50" x14ac:dyDescent="0.25">
      <c r="N1966" s="3"/>
      <c r="AW1966" s="7"/>
      <c r="AX1966" s="7"/>
    </row>
    <row r="1967" spans="14:50" x14ac:dyDescent="0.25">
      <c r="N1967" s="3"/>
      <c r="AW1967" s="7"/>
      <c r="AX1967" s="7"/>
    </row>
    <row r="1968" spans="14:50" x14ac:dyDescent="0.25">
      <c r="N1968" s="3"/>
      <c r="AW1968" s="7"/>
      <c r="AX1968" s="7"/>
    </row>
    <row r="1969" spans="14:50" x14ac:dyDescent="0.25">
      <c r="N1969" s="3"/>
      <c r="AW1969" s="7"/>
      <c r="AX1969" s="7"/>
    </row>
    <row r="1970" spans="14:50" x14ac:dyDescent="0.25">
      <c r="N1970" s="3"/>
      <c r="AW1970" s="7"/>
      <c r="AX1970" s="7"/>
    </row>
    <row r="1971" spans="14:50" x14ac:dyDescent="0.25">
      <c r="N1971" s="3"/>
      <c r="AW1971" s="7"/>
      <c r="AX1971" s="7"/>
    </row>
    <row r="1972" spans="14:50" x14ac:dyDescent="0.25">
      <c r="N1972" s="3"/>
      <c r="AW1972" s="7"/>
      <c r="AX1972" s="7"/>
    </row>
    <row r="1973" spans="14:50" x14ac:dyDescent="0.25">
      <c r="N1973" s="3"/>
      <c r="AW1973" s="7"/>
      <c r="AX1973" s="7"/>
    </row>
    <row r="1974" spans="14:50" x14ac:dyDescent="0.25">
      <c r="N1974" s="3"/>
      <c r="AW1974" s="7"/>
      <c r="AX1974" s="7"/>
    </row>
    <row r="1975" spans="14:50" x14ac:dyDescent="0.25">
      <c r="N1975" s="3"/>
      <c r="AW1975" s="7"/>
      <c r="AX1975" s="7"/>
    </row>
    <row r="1976" spans="14:50" x14ac:dyDescent="0.25">
      <c r="N1976" s="3"/>
      <c r="AW1976" s="7"/>
      <c r="AX1976" s="7"/>
    </row>
    <row r="1977" spans="14:50" x14ac:dyDescent="0.25">
      <c r="N1977" s="3"/>
      <c r="AW1977" s="7"/>
      <c r="AX1977" s="7"/>
    </row>
    <row r="1978" spans="14:50" x14ac:dyDescent="0.25">
      <c r="N1978" s="3"/>
      <c r="AW1978" s="7"/>
      <c r="AX1978" s="7"/>
    </row>
    <row r="1979" spans="14:50" x14ac:dyDescent="0.25">
      <c r="N1979" s="3"/>
      <c r="AW1979" s="7"/>
      <c r="AX1979" s="7"/>
    </row>
    <row r="1980" spans="14:50" x14ac:dyDescent="0.25">
      <c r="N1980" s="3"/>
      <c r="AW1980" s="7"/>
      <c r="AX1980" s="7"/>
    </row>
    <row r="1981" spans="14:50" x14ac:dyDescent="0.25">
      <c r="N1981" s="3"/>
      <c r="AW1981" s="7"/>
      <c r="AX1981" s="7"/>
    </row>
    <row r="1982" spans="14:50" x14ac:dyDescent="0.25">
      <c r="N1982" s="3"/>
      <c r="AW1982" s="7"/>
      <c r="AX1982" s="7"/>
    </row>
    <row r="1983" spans="14:50" x14ac:dyDescent="0.25">
      <c r="N1983" s="3"/>
      <c r="AW1983" s="7"/>
      <c r="AX1983" s="7"/>
    </row>
    <row r="1984" spans="14:50" x14ac:dyDescent="0.25">
      <c r="N1984" s="3"/>
      <c r="AW1984" s="7"/>
      <c r="AX1984" s="7"/>
    </row>
    <row r="1985" spans="14:50" x14ac:dyDescent="0.25">
      <c r="N1985" s="3"/>
      <c r="AW1985" s="7"/>
      <c r="AX1985" s="7"/>
    </row>
    <row r="1986" spans="14:50" x14ac:dyDescent="0.25">
      <c r="N1986" s="3"/>
      <c r="AW1986" s="7"/>
      <c r="AX1986" s="7"/>
    </row>
    <row r="1987" spans="14:50" x14ac:dyDescent="0.25">
      <c r="N1987" s="3"/>
      <c r="AW1987" s="7"/>
      <c r="AX1987" s="7"/>
    </row>
    <row r="1988" spans="14:50" x14ac:dyDescent="0.25">
      <c r="N1988" s="3"/>
      <c r="AW1988" s="7"/>
      <c r="AX1988" s="7"/>
    </row>
    <row r="1989" spans="14:50" x14ac:dyDescent="0.25">
      <c r="N1989" s="3"/>
      <c r="AW1989" s="7"/>
      <c r="AX1989" s="7"/>
    </row>
    <row r="1990" spans="14:50" x14ac:dyDescent="0.25">
      <c r="N1990" s="3"/>
      <c r="AW1990" s="7"/>
      <c r="AX1990" s="7"/>
    </row>
    <row r="1991" spans="14:50" x14ac:dyDescent="0.25">
      <c r="N1991" s="3"/>
      <c r="AW1991" s="7"/>
      <c r="AX1991" s="7"/>
    </row>
    <row r="1992" spans="14:50" x14ac:dyDescent="0.25">
      <c r="N1992" s="3"/>
      <c r="AW1992" s="7"/>
      <c r="AX1992" s="7"/>
    </row>
    <row r="1993" spans="14:50" x14ac:dyDescent="0.25">
      <c r="N1993" s="3"/>
      <c r="AW1993" s="7"/>
      <c r="AX1993" s="7"/>
    </row>
    <row r="1994" spans="14:50" x14ac:dyDescent="0.25">
      <c r="N1994" s="3"/>
      <c r="AW1994" s="7"/>
      <c r="AX1994" s="7"/>
    </row>
    <row r="1995" spans="14:50" x14ac:dyDescent="0.25">
      <c r="N1995" s="3"/>
      <c r="AW1995" s="7"/>
      <c r="AX1995" s="7"/>
    </row>
    <row r="1996" spans="14:50" x14ac:dyDescent="0.25">
      <c r="N1996" s="3"/>
      <c r="AW1996" s="7"/>
      <c r="AX1996" s="7"/>
    </row>
    <row r="1997" spans="14:50" x14ac:dyDescent="0.25">
      <c r="N1997" s="3"/>
      <c r="AW1997" s="7"/>
      <c r="AX1997" s="7"/>
    </row>
    <row r="1998" spans="14:50" x14ac:dyDescent="0.25">
      <c r="N1998" s="3"/>
      <c r="AW1998" s="7"/>
      <c r="AX1998" s="7"/>
    </row>
    <row r="1999" spans="14:50" x14ac:dyDescent="0.25">
      <c r="N1999" s="3"/>
      <c r="AW1999" s="7"/>
      <c r="AX1999" s="7"/>
    </row>
    <row r="2000" spans="14:50" x14ac:dyDescent="0.25">
      <c r="N2000" s="3"/>
      <c r="AW2000" s="7"/>
      <c r="AX2000" s="7"/>
    </row>
    <row r="2001" spans="14:50" x14ac:dyDescent="0.25">
      <c r="N2001" s="3"/>
      <c r="AW2001" s="7"/>
      <c r="AX2001" s="7"/>
    </row>
    <row r="2002" spans="14:50" x14ac:dyDescent="0.25">
      <c r="N2002" s="3"/>
      <c r="AW2002" s="7"/>
      <c r="AX2002" s="7"/>
    </row>
    <row r="2003" spans="14:50" x14ac:dyDescent="0.25">
      <c r="N2003" s="3"/>
      <c r="AW2003" s="7"/>
      <c r="AX2003" s="7"/>
    </row>
    <row r="2004" spans="14:50" x14ac:dyDescent="0.25">
      <c r="N2004" s="3"/>
      <c r="AW2004" s="7"/>
      <c r="AX2004" s="7"/>
    </row>
    <row r="2005" spans="14:50" x14ac:dyDescent="0.25">
      <c r="N2005" s="3"/>
      <c r="AW2005" s="7"/>
      <c r="AX2005" s="7"/>
    </row>
    <row r="2006" spans="14:50" x14ac:dyDescent="0.25">
      <c r="N2006" s="3"/>
      <c r="AW2006" s="7"/>
      <c r="AX2006" s="7"/>
    </row>
    <row r="2007" spans="14:50" x14ac:dyDescent="0.25">
      <c r="N2007" s="3"/>
      <c r="AW2007" s="7"/>
      <c r="AX2007" s="7"/>
    </row>
    <row r="2008" spans="14:50" x14ac:dyDescent="0.25">
      <c r="N2008" s="3"/>
      <c r="AW2008" s="7"/>
      <c r="AX2008" s="7"/>
    </row>
    <row r="2009" spans="14:50" x14ac:dyDescent="0.25">
      <c r="N2009" s="3"/>
      <c r="AW2009" s="7"/>
      <c r="AX2009" s="7"/>
    </row>
    <row r="2010" spans="14:50" x14ac:dyDescent="0.25">
      <c r="N2010" s="3"/>
      <c r="AW2010" s="7"/>
      <c r="AX2010" s="7"/>
    </row>
    <row r="2011" spans="14:50" x14ac:dyDescent="0.25">
      <c r="N2011" s="3"/>
      <c r="AW2011" s="7"/>
      <c r="AX2011" s="7"/>
    </row>
    <row r="2012" spans="14:50" x14ac:dyDescent="0.25">
      <c r="N2012" s="3"/>
      <c r="AW2012" s="7"/>
      <c r="AX2012" s="7"/>
    </row>
    <row r="2013" spans="14:50" x14ac:dyDescent="0.25">
      <c r="N2013" s="3"/>
      <c r="AW2013" s="7"/>
      <c r="AX2013" s="7"/>
    </row>
    <row r="2014" spans="14:50" x14ac:dyDescent="0.25">
      <c r="N2014" s="3"/>
      <c r="AW2014" s="7"/>
      <c r="AX2014" s="7"/>
    </row>
    <row r="2015" spans="14:50" x14ac:dyDescent="0.25">
      <c r="N2015" s="3"/>
      <c r="AW2015" s="7"/>
      <c r="AX2015" s="7"/>
    </row>
    <row r="2016" spans="14:50" x14ac:dyDescent="0.25">
      <c r="N2016" s="3"/>
      <c r="AW2016" s="7"/>
      <c r="AX2016" s="7"/>
    </row>
    <row r="2017" spans="14:50" x14ac:dyDescent="0.25">
      <c r="N2017" s="3"/>
      <c r="AW2017" s="7"/>
      <c r="AX2017" s="7"/>
    </row>
    <row r="2018" spans="14:50" x14ac:dyDescent="0.25">
      <c r="N2018" s="3"/>
      <c r="AW2018" s="7"/>
      <c r="AX2018" s="7"/>
    </row>
    <row r="2019" spans="14:50" x14ac:dyDescent="0.25">
      <c r="N2019" s="3"/>
      <c r="AW2019" s="7"/>
      <c r="AX2019" s="7"/>
    </row>
    <row r="2020" spans="14:50" x14ac:dyDescent="0.25">
      <c r="N2020" s="3"/>
      <c r="AW2020" s="7"/>
      <c r="AX2020" s="7"/>
    </row>
    <row r="2021" spans="14:50" x14ac:dyDescent="0.25">
      <c r="N2021" s="3"/>
      <c r="AW2021" s="7"/>
      <c r="AX2021" s="7"/>
    </row>
    <row r="2022" spans="14:50" x14ac:dyDescent="0.25">
      <c r="N2022" s="3"/>
      <c r="AW2022" s="7"/>
      <c r="AX2022" s="7"/>
    </row>
    <row r="2023" spans="14:50" x14ac:dyDescent="0.25">
      <c r="N2023" s="3"/>
      <c r="AW2023" s="7"/>
      <c r="AX2023" s="7"/>
    </row>
    <row r="2024" spans="14:50" x14ac:dyDescent="0.25">
      <c r="N2024" s="3"/>
      <c r="AW2024" s="7"/>
      <c r="AX2024" s="7"/>
    </row>
    <row r="2025" spans="14:50" x14ac:dyDescent="0.25">
      <c r="N2025" s="3"/>
      <c r="AW2025" s="7"/>
      <c r="AX2025" s="7"/>
    </row>
    <row r="2026" spans="14:50" x14ac:dyDescent="0.25">
      <c r="N2026" s="3"/>
      <c r="AW2026" s="7"/>
      <c r="AX2026" s="7"/>
    </row>
    <row r="2027" spans="14:50" x14ac:dyDescent="0.25">
      <c r="N2027" s="3"/>
      <c r="AW2027" s="7"/>
      <c r="AX2027" s="7"/>
    </row>
    <row r="2028" spans="14:50" x14ac:dyDescent="0.25">
      <c r="N2028" s="3"/>
      <c r="AW2028" s="7"/>
      <c r="AX2028" s="7"/>
    </row>
    <row r="2029" spans="14:50" x14ac:dyDescent="0.25">
      <c r="N2029" s="3"/>
      <c r="AW2029" s="7"/>
      <c r="AX2029" s="7"/>
    </row>
    <row r="2030" spans="14:50" x14ac:dyDescent="0.25">
      <c r="N2030" s="3"/>
      <c r="AW2030" s="7"/>
      <c r="AX2030" s="7"/>
    </row>
    <row r="2031" spans="14:50" x14ac:dyDescent="0.25">
      <c r="N2031" s="3"/>
      <c r="AW2031" s="7"/>
      <c r="AX2031" s="7"/>
    </row>
    <row r="2032" spans="14:50" x14ac:dyDescent="0.25">
      <c r="N2032" s="3"/>
      <c r="AW2032" s="7"/>
      <c r="AX2032" s="7"/>
    </row>
    <row r="2033" spans="14:50" x14ac:dyDescent="0.25">
      <c r="N2033" s="3"/>
      <c r="AW2033" s="7"/>
      <c r="AX2033" s="7"/>
    </row>
    <row r="2034" spans="14:50" x14ac:dyDescent="0.25">
      <c r="N2034" s="3"/>
      <c r="AW2034" s="7"/>
      <c r="AX2034" s="7"/>
    </row>
    <row r="2035" spans="14:50" x14ac:dyDescent="0.25">
      <c r="N2035" s="3"/>
      <c r="AW2035" s="7"/>
      <c r="AX2035" s="7"/>
    </row>
    <row r="2036" spans="14:50" x14ac:dyDescent="0.25">
      <c r="N2036" s="3"/>
      <c r="AW2036" s="7"/>
      <c r="AX2036" s="7"/>
    </row>
    <row r="2037" spans="14:50" x14ac:dyDescent="0.25">
      <c r="N2037" s="3"/>
      <c r="AW2037" s="7"/>
      <c r="AX2037" s="7"/>
    </row>
    <row r="2038" spans="14:50" x14ac:dyDescent="0.25">
      <c r="N2038" s="3"/>
      <c r="AW2038" s="7"/>
      <c r="AX2038" s="7"/>
    </row>
    <row r="2039" spans="14:50" x14ac:dyDescent="0.25">
      <c r="N2039" s="3"/>
      <c r="AW2039" s="7"/>
      <c r="AX2039" s="7"/>
    </row>
    <row r="2040" spans="14:50" x14ac:dyDescent="0.25">
      <c r="N2040" s="3"/>
      <c r="AW2040" s="7"/>
      <c r="AX2040" s="7"/>
    </row>
    <row r="2041" spans="14:50" x14ac:dyDescent="0.25">
      <c r="N2041" s="3"/>
      <c r="AW2041" s="7"/>
      <c r="AX2041" s="7"/>
    </row>
    <row r="2042" spans="14:50" x14ac:dyDescent="0.25">
      <c r="N2042" s="3"/>
      <c r="AW2042" s="7"/>
      <c r="AX2042" s="7"/>
    </row>
    <row r="2043" spans="14:50" x14ac:dyDescent="0.25">
      <c r="N2043" s="3"/>
      <c r="AW2043" s="7"/>
      <c r="AX2043" s="7"/>
    </row>
    <row r="2044" spans="14:50" x14ac:dyDescent="0.25">
      <c r="N2044" s="3"/>
      <c r="AW2044" s="7"/>
      <c r="AX2044" s="7"/>
    </row>
    <row r="2045" spans="14:50" x14ac:dyDescent="0.25">
      <c r="N2045" s="3"/>
      <c r="AW2045" s="7"/>
      <c r="AX2045" s="7"/>
    </row>
    <row r="2046" spans="14:50" x14ac:dyDescent="0.25">
      <c r="N2046" s="3"/>
      <c r="AW2046" s="7"/>
      <c r="AX2046" s="7"/>
    </row>
    <row r="2047" spans="14:50" x14ac:dyDescent="0.25">
      <c r="N2047" s="3"/>
      <c r="AW2047" s="7"/>
      <c r="AX2047" s="7"/>
    </row>
    <row r="2048" spans="14:50" x14ac:dyDescent="0.25">
      <c r="N2048" s="3"/>
      <c r="AW2048" s="7"/>
      <c r="AX2048" s="7"/>
    </row>
    <row r="2049" spans="14:50" x14ac:dyDescent="0.25">
      <c r="N2049" s="3"/>
      <c r="AW2049" s="7"/>
      <c r="AX2049" s="7"/>
    </row>
    <row r="2050" spans="14:50" x14ac:dyDescent="0.25">
      <c r="N2050" s="3"/>
      <c r="AW2050" s="7"/>
      <c r="AX2050" s="7"/>
    </row>
    <row r="2051" spans="14:50" x14ac:dyDescent="0.25">
      <c r="N2051" s="3"/>
      <c r="AW2051" s="7"/>
      <c r="AX2051" s="7"/>
    </row>
    <row r="2052" spans="14:50" x14ac:dyDescent="0.25">
      <c r="N2052" s="3"/>
      <c r="AW2052" s="7"/>
      <c r="AX2052" s="7"/>
    </row>
    <row r="2053" spans="14:50" x14ac:dyDescent="0.25">
      <c r="N2053" s="3"/>
      <c r="AW2053" s="7"/>
      <c r="AX2053" s="7"/>
    </row>
    <row r="2054" spans="14:50" x14ac:dyDescent="0.25">
      <c r="N2054" s="3"/>
      <c r="AW2054" s="7"/>
      <c r="AX2054" s="7"/>
    </row>
    <row r="2055" spans="14:50" x14ac:dyDescent="0.25">
      <c r="N2055" s="3"/>
      <c r="AW2055" s="7"/>
      <c r="AX2055" s="7"/>
    </row>
    <row r="2056" spans="14:50" x14ac:dyDescent="0.25">
      <c r="N2056" s="3"/>
      <c r="AW2056" s="7"/>
      <c r="AX2056" s="7"/>
    </row>
    <row r="2057" spans="14:50" x14ac:dyDescent="0.25">
      <c r="N2057" s="3"/>
      <c r="AW2057" s="7"/>
      <c r="AX2057" s="7"/>
    </row>
    <row r="2058" spans="14:50" x14ac:dyDescent="0.25">
      <c r="N2058" s="3"/>
      <c r="AW2058" s="7"/>
      <c r="AX2058" s="7"/>
    </row>
    <row r="2059" spans="14:50" x14ac:dyDescent="0.25">
      <c r="N2059" s="3"/>
      <c r="AW2059" s="7"/>
      <c r="AX2059" s="7"/>
    </row>
    <row r="2060" spans="14:50" x14ac:dyDescent="0.25">
      <c r="N2060" s="3"/>
      <c r="AW2060" s="7"/>
      <c r="AX2060" s="7"/>
    </row>
    <row r="2061" spans="14:50" x14ac:dyDescent="0.25">
      <c r="N2061" s="3"/>
      <c r="AW2061" s="7"/>
      <c r="AX2061" s="7"/>
    </row>
    <row r="2062" spans="14:50" x14ac:dyDescent="0.25">
      <c r="N2062" s="3"/>
      <c r="AW2062" s="7"/>
      <c r="AX2062" s="7"/>
    </row>
    <row r="2063" spans="14:50" x14ac:dyDescent="0.25">
      <c r="N2063" s="3"/>
      <c r="AW2063" s="7"/>
      <c r="AX2063" s="7"/>
    </row>
    <row r="2064" spans="14:50" x14ac:dyDescent="0.25">
      <c r="N2064" s="3"/>
      <c r="AW2064" s="7"/>
      <c r="AX2064" s="7"/>
    </row>
    <row r="2065" spans="14:50" x14ac:dyDescent="0.25">
      <c r="N2065" s="3"/>
      <c r="AW2065" s="7"/>
      <c r="AX2065" s="7"/>
    </row>
    <row r="2066" spans="14:50" x14ac:dyDescent="0.25">
      <c r="N2066" s="3"/>
      <c r="AW2066" s="7"/>
      <c r="AX2066" s="7"/>
    </row>
    <row r="2067" spans="14:50" x14ac:dyDescent="0.25">
      <c r="N2067" s="3"/>
      <c r="AW2067" s="7"/>
      <c r="AX2067" s="7"/>
    </row>
    <row r="2068" spans="14:50" x14ac:dyDescent="0.25">
      <c r="N2068" s="3"/>
      <c r="AW2068" s="7"/>
      <c r="AX2068" s="7"/>
    </row>
    <row r="2069" spans="14:50" x14ac:dyDescent="0.25">
      <c r="N2069" s="3"/>
      <c r="AW2069" s="7"/>
      <c r="AX2069" s="7"/>
    </row>
    <row r="2070" spans="14:50" x14ac:dyDescent="0.25">
      <c r="N2070" s="3"/>
      <c r="AW2070" s="7"/>
      <c r="AX2070" s="7"/>
    </row>
    <row r="2071" spans="14:50" x14ac:dyDescent="0.25">
      <c r="N2071" s="3"/>
      <c r="AW2071" s="7"/>
      <c r="AX2071" s="7"/>
    </row>
    <row r="2072" spans="14:50" x14ac:dyDescent="0.25">
      <c r="N2072" s="3"/>
      <c r="AW2072" s="7"/>
      <c r="AX2072" s="7"/>
    </row>
    <row r="2073" spans="14:50" x14ac:dyDescent="0.25">
      <c r="N2073" s="3"/>
      <c r="AW2073" s="7"/>
      <c r="AX2073" s="7"/>
    </row>
    <row r="2074" spans="14:50" x14ac:dyDescent="0.25">
      <c r="N2074" s="3"/>
      <c r="AW2074" s="7"/>
      <c r="AX2074" s="7"/>
    </row>
    <row r="2075" spans="14:50" x14ac:dyDescent="0.25">
      <c r="N2075" s="3"/>
      <c r="AW2075" s="7"/>
      <c r="AX2075" s="7"/>
    </row>
    <row r="2076" spans="14:50" x14ac:dyDescent="0.25">
      <c r="N2076" s="3"/>
      <c r="AW2076" s="7"/>
      <c r="AX2076" s="7"/>
    </row>
    <row r="2077" spans="14:50" x14ac:dyDescent="0.25">
      <c r="N2077" s="3"/>
      <c r="AW2077" s="7"/>
      <c r="AX2077" s="7"/>
    </row>
    <row r="2078" spans="14:50" x14ac:dyDescent="0.25">
      <c r="N2078" s="3"/>
      <c r="AW2078" s="7"/>
      <c r="AX2078" s="7"/>
    </row>
    <row r="2079" spans="14:50" x14ac:dyDescent="0.25">
      <c r="N2079" s="3"/>
      <c r="AW2079" s="7"/>
      <c r="AX2079" s="7"/>
    </row>
    <row r="2080" spans="14:50" x14ac:dyDescent="0.25">
      <c r="N2080" s="3"/>
      <c r="AW2080" s="7"/>
      <c r="AX2080" s="7"/>
    </row>
    <row r="2081" spans="14:50" x14ac:dyDescent="0.25">
      <c r="N2081" s="3"/>
      <c r="AW2081" s="7"/>
      <c r="AX2081" s="7"/>
    </row>
    <row r="2082" spans="14:50" x14ac:dyDescent="0.25">
      <c r="N2082" s="3"/>
      <c r="AW2082" s="7"/>
      <c r="AX2082" s="7"/>
    </row>
    <row r="2083" spans="14:50" x14ac:dyDescent="0.25">
      <c r="N2083" s="3"/>
      <c r="AW2083" s="7"/>
      <c r="AX2083" s="7"/>
    </row>
    <row r="2084" spans="14:50" x14ac:dyDescent="0.25">
      <c r="N2084" s="3"/>
      <c r="AW2084" s="7"/>
      <c r="AX2084" s="7"/>
    </row>
    <row r="2085" spans="14:50" x14ac:dyDescent="0.25">
      <c r="N2085" s="3"/>
      <c r="AW2085" s="7"/>
      <c r="AX2085" s="7"/>
    </row>
    <row r="2086" spans="14:50" x14ac:dyDescent="0.25">
      <c r="N2086" s="3"/>
      <c r="AW2086" s="7"/>
      <c r="AX2086" s="7"/>
    </row>
    <row r="2087" spans="14:50" x14ac:dyDescent="0.25">
      <c r="N2087" s="3"/>
      <c r="AW2087" s="7"/>
      <c r="AX2087" s="7"/>
    </row>
    <row r="2088" spans="14:50" x14ac:dyDescent="0.25">
      <c r="N2088" s="3"/>
      <c r="AW2088" s="7"/>
      <c r="AX2088" s="7"/>
    </row>
    <row r="2089" spans="14:50" x14ac:dyDescent="0.25">
      <c r="N2089" s="3"/>
      <c r="AW2089" s="7"/>
      <c r="AX2089" s="7"/>
    </row>
    <row r="2090" spans="14:50" x14ac:dyDescent="0.25">
      <c r="N2090" s="3"/>
      <c r="AW2090" s="7"/>
      <c r="AX2090" s="7"/>
    </row>
    <row r="2091" spans="14:50" x14ac:dyDescent="0.25">
      <c r="N2091" s="3"/>
      <c r="AW2091" s="7"/>
      <c r="AX2091" s="7"/>
    </row>
    <row r="2092" spans="14:50" x14ac:dyDescent="0.25">
      <c r="N2092" s="3"/>
      <c r="AW2092" s="7"/>
      <c r="AX2092" s="7"/>
    </row>
    <row r="2093" spans="14:50" x14ac:dyDescent="0.25">
      <c r="N2093" s="3"/>
      <c r="AW2093" s="7"/>
      <c r="AX2093" s="7"/>
    </row>
    <row r="2094" spans="14:50" x14ac:dyDescent="0.25">
      <c r="N2094" s="3"/>
      <c r="AW2094" s="7"/>
      <c r="AX2094" s="7"/>
    </row>
    <row r="2095" spans="14:50" x14ac:dyDescent="0.25">
      <c r="N2095" s="3"/>
      <c r="AW2095" s="7"/>
      <c r="AX2095" s="7"/>
    </row>
    <row r="2096" spans="14:50" x14ac:dyDescent="0.25">
      <c r="N2096" s="3"/>
      <c r="AW2096" s="7"/>
      <c r="AX2096" s="7"/>
    </row>
    <row r="2097" spans="14:50" x14ac:dyDescent="0.25">
      <c r="N2097" s="3"/>
      <c r="AW2097" s="7"/>
      <c r="AX2097" s="7"/>
    </row>
    <row r="2098" spans="14:50" x14ac:dyDescent="0.25">
      <c r="N2098" s="3"/>
      <c r="AW2098" s="7"/>
      <c r="AX2098" s="7"/>
    </row>
    <row r="2099" spans="14:50" x14ac:dyDescent="0.25">
      <c r="N2099" s="3"/>
      <c r="AW2099" s="7"/>
      <c r="AX2099" s="7"/>
    </row>
    <row r="2100" spans="14:50" x14ac:dyDescent="0.25">
      <c r="N2100" s="3"/>
      <c r="AW2100" s="7"/>
      <c r="AX2100" s="7"/>
    </row>
    <row r="2101" spans="14:50" x14ac:dyDescent="0.25">
      <c r="N2101" s="3"/>
      <c r="AW2101" s="7"/>
      <c r="AX2101" s="7"/>
    </row>
    <row r="2102" spans="14:50" x14ac:dyDescent="0.25">
      <c r="N2102" s="3"/>
      <c r="AW2102" s="7"/>
      <c r="AX2102" s="7"/>
    </row>
    <row r="2103" spans="14:50" x14ac:dyDescent="0.25">
      <c r="N2103" s="3"/>
      <c r="AW2103" s="7"/>
      <c r="AX2103" s="7"/>
    </row>
    <row r="2104" spans="14:50" x14ac:dyDescent="0.25">
      <c r="N2104" s="3"/>
      <c r="AW2104" s="7"/>
      <c r="AX2104" s="7"/>
    </row>
    <row r="2105" spans="14:50" x14ac:dyDescent="0.25">
      <c r="N2105" s="3"/>
      <c r="AW2105" s="7"/>
      <c r="AX2105" s="7"/>
    </row>
    <row r="2106" spans="14:50" x14ac:dyDescent="0.25">
      <c r="N2106" s="3"/>
      <c r="AW2106" s="7"/>
      <c r="AX2106" s="7"/>
    </row>
    <row r="2107" spans="14:50" x14ac:dyDescent="0.25">
      <c r="N2107" s="3"/>
      <c r="AW2107" s="7"/>
      <c r="AX2107" s="7"/>
    </row>
    <row r="2108" spans="14:50" x14ac:dyDescent="0.25">
      <c r="N2108" s="3"/>
      <c r="AW2108" s="7"/>
      <c r="AX2108" s="7"/>
    </row>
    <row r="2109" spans="14:50" x14ac:dyDescent="0.25">
      <c r="N2109" s="3"/>
      <c r="AW2109" s="7"/>
      <c r="AX2109" s="7"/>
    </row>
    <row r="2110" spans="14:50" x14ac:dyDescent="0.25">
      <c r="N2110" s="3"/>
      <c r="AW2110" s="7"/>
      <c r="AX2110" s="7"/>
    </row>
    <row r="2111" spans="14:50" x14ac:dyDescent="0.25">
      <c r="N2111" s="3"/>
      <c r="AW2111" s="7"/>
      <c r="AX2111" s="7"/>
    </row>
    <row r="2112" spans="14:50" x14ac:dyDescent="0.25">
      <c r="N2112" s="3"/>
      <c r="AW2112" s="7"/>
      <c r="AX2112" s="7"/>
    </row>
    <row r="2113" spans="14:50" x14ac:dyDescent="0.25">
      <c r="N2113" s="3"/>
      <c r="AW2113" s="7"/>
      <c r="AX2113" s="7"/>
    </row>
    <row r="2114" spans="14:50" x14ac:dyDescent="0.25">
      <c r="N2114" s="3"/>
      <c r="AW2114" s="7"/>
      <c r="AX2114" s="7"/>
    </row>
    <row r="2115" spans="14:50" x14ac:dyDescent="0.25">
      <c r="N2115" s="3"/>
      <c r="AW2115" s="7"/>
      <c r="AX2115" s="7"/>
    </row>
    <row r="2116" spans="14:50" x14ac:dyDescent="0.25">
      <c r="N2116" s="3"/>
      <c r="AW2116" s="7"/>
      <c r="AX2116" s="7"/>
    </row>
    <row r="2117" spans="14:50" x14ac:dyDescent="0.25">
      <c r="N2117" s="3"/>
      <c r="AW2117" s="7"/>
      <c r="AX2117" s="7"/>
    </row>
    <row r="2118" spans="14:50" x14ac:dyDescent="0.25">
      <c r="N2118" s="3"/>
      <c r="AW2118" s="7"/>
      <c r="AX2118" s="7"/>
    </row>
    <row r="2119" spans="14:50" x14ac:dyDescent="0.25">
      <c r="N2119" s="3"/>
      <c r="AW2119" s="7"/>
      <c r="AX2119" s="7"/>
    </row>
    <row r="2120" spans="14:50" x14ac:dyDescent="0.25">
      <c r="N2120" s="3"/>
      <c r="AW2120" s="7"/>
      <c r="AX2120" s="7"/>
    </row>
    <row r="2121" spans="14:50" x14ac:dyDescent="0.25">
      <c r="N2121" s="3"/>
      <c r="AW2121" s="7"/>
      <c r="AX2121" s="7"/>
    </row>
    <row r="2122" spans="14:50" x14ac:dyDescent="0.25">
      <c r="N2122" s="3"/>
      <c r="AW2122" s="7"/>
      <c r="AX2122" s="7"/>
    </row>
    <row r="2123" spans="14:50" x14ac:dyDescent="0.25">
      <c r="N2123" s="3"/>
      <c r="AW2123" s="7"/>
      <c r="AX2123" s="7"/>
    </row>
    <row r="2124" spans="14:50" x14ac:dyDescent="0.25">
      <c r="N2124" s="3"/>
      <c r="AW2124" s="7"/>
      <c r="AX2124" s="7"/>
    </row>
    <row r="2125" spans="14:50" x14ac:dyDescent="0.25">
      <c r="N2125" s="3"/>
      <c r="AW2125" s="7"/>
      <c r="AX2125" s="7"/>
    </row>
    <row r="2126" spans="14:50" x14ac:dyDescent="0.25">
      <c r="N2126" s="3"/>
      <c r="AW2126" s="7"/>
      <c r="AX2126" s="7"/>
    </row>
    <row r="2127" spans="14:50" x14ac:dyDescent="0.25">
      <c r="N2127" s="3"/>
      <c r="AW2127" s="7"/>
      <c r="AX2127" s="7"/>
    </row>
    <row r="2128" spans="14:50" x14ac:dyDescent="0.25">
      <c r="N2128" s="3"/>
      <c r="AW2128" s="7"/>
      <c r="AX2128" s="7"/>
    </row>
    <row r="2129" spans="14:50" x14ac:dyDescent="0.25">
      <c r="N2129" s="3"/>
      <c r="AW2129" s="7"/>
      <c r="AX2129" s="7"/>
    </row>
    <row r="2130" spans="14:50" x14ac:dyDescent="0.25">
      <c r="N2130" s="3"/>
      <c r="AW2130" s="7"/>
      <c r="AX2130" s="7"/>
    </row>
    <row r="2131" spans="14:50" x14ac:dyDescent="0.25">
      <c r="N2131" s="3"/>
      <c r="AW2131" s="7"/>
      <c r="AX2131" s="7"/>
    </row>
    <row r="2132" spans="14:50" x14ac:dyDescent="0.25">
      <c r="N2132" s="3"/>
      <c r="AW2132" s="7"/>
      <c r="AX2132" s="7"/>
    </row>
    <row r="2133" spans="14:50" x14ac:dyDescent="0.25">
      <c r="N2133" s="3"/>
      <c r="AW2133" s="7"/>
      <c r="AX2133" s="7"/>
    </row>
    <row r="2134" spans="14:50" x14ac:dyDescent="0.25">
      <c r="N2134" s="3"/>
      <c r="AW2134" s="7"/>
      <c r="AX2134" s="7"/>
    </row>
    <row r="2135" spans="14:50" x14ac:dyDescent="0.25">
      <c r="N2135" s="3"/>
      <c r="AW2135" s="7"/>
      <c r="AX2135" s="7"/>
    </row>
    <row r="2136" spans="14:50" x14ac:dyDescent="0.25">
      <c r="N2136" s="3"/>
      <c r="AW2136" s="7"/>
      <c r="AX2136" s="7"/>
    </row>
    <row r="2137" spans="14:50" x14ac:dyDescent="0.25">
      <c r="N2137" s="3"/>
      <c r="AW2137" s="7"/>
      <c r="AX2137" s="7"/>
    </row>
    <row r="2138" spans="14:50" x14ac:dyDescent="0.25">
      <c r="N2138" s="3"/>
      <c r="AW2138" s="7"/>
      <c r="AX2138" s="7"/>
    </row>
    <row r="2139" spans="14:50" x14ac:dyDescent="0.25">
      <c r="N2139" s="3"/>
      <c r="AW2139" s="7"/>
      <c r="AX2139" s="7"/>
    </row>
    <row r="2140" spans="14:50" x14ac:dyDescent="0.25">
      <c r="N2140" s="3"/>
      <c r="AW2140" s="7"/>
      <c r="AX2140" s="7"/>
    </row>
    <row r="2141" spans="14:50" x14ac:dyDescent="0.25">
      <c r="N2141" s="3"/>
      <c r="AW2141" s="7"/>
      <c r="AX2141" s="7"/>
    </row>
    <row r="2142" spans="14:50" x14ac:dyDescent="0.25">
      <c r="N2142" s="3"/>
      <c r="AW2142" s="7"/>
      <c r="AX2142" s="7"/>
    </row>
    <row r="2143" spans="14:50" x14ac:dyDescent="0.25">
      <c r="N2143" s="3"/>
      <c r="AW2143" s="7"/>
      <c r="AX2143" s="7"/>
    </row>
    <row r="2144" spans="14:50" x14ac:dyDescent="0.25">
      <c r="N2144" s="3"/>
      <c r="AW2144" s="7"/>
      <c r="AX2144" s="7"/>
    </row>
    <row r="2145" spans="14:50" x14ac:dyDescent="0.25">
      <c r="N2145" s="3"/>
      <c r="AW2145" s="7"/>
      <c r="AX2145" s="7"/>
    </row>
    <row r="2146" spans="14:50" x14ac:dyDescent="0.25">
      <c r="N2146" s="3"/>
      <c r="AW2146" s="7"/>
      <c r="AX2146" s="7"/>
    </row>
    <row r="2147" spans="14:50" x14ac:dyDescent="0.25">
      <c r="N2147" s="3"/>
      <c r="AW2147" s="7"/>
      <c r="AX2147" s="7"/>
    </row>
    <row r="2148" spans="14:50" x14ac:dyDescent="0.25">
      <c r="N2148" s="3"/>
      <c r="AW2148" s="7"/>
      <c r="AX2148" s="7"/>
    </row>
    <row r="2149" spans="14:50" x14ac:dyDescent="0.25">
      <c r="N2149" s="3"/>
      <c r="AW2149" s="7"/>
      <c r="AX2149" s="7"/>
    </row>
    <row r="2150" spans="14:50" x14ac:dyDescent="0.25">
      <c r="N2150" s="3"/>
      <c r="AW2150" s="7"/>
      <c r="AX2150" s="7"/>
    </row>
    <row r="2151" spans="14:50" x14ac:dyDescent="0.25">
      <c r="N2151" s="3"/>
      <c r="AW2151" s="7"/>
      <c r="AX2151" s="7"/>
    </row>
    <row r="2152" spans="14:50" x14ac:dyDescent="0.25">
      <c r="N2152" s="3"/>
      <c r="AW2152" s="7"/>
      <c r="AX2152" s="7"/>
    </row>
    <row r="2153" spans="14:50" x14ac:dyDescent="0.25">
      <c r="N2153" s="3"/>
      <c r="AW2153" s="7"/>
      <c r="AX2153" s="7"/>
    </row>
    <row r="2154" spans="14:50" x14ac:dyDescent="0.25">
      <c r="N2154" s="3"/>
      <c r="AW2154" s="7"/>
      <c r="AX2154" s="7"/>
    </row>
    <row r="2155" spans="14:50" x14ac:dyDescent="0.25">
      <c r="N2155" s="3"/>
      <c r="AW2155" s="7"/>
      <c r="AX2155" s="7"/>
    </row>
    <row r="2156" spans="14:50" x14ac:dyDescent="0.25">
      <c r="N2156" s="3"/>
      <c r="AW2156" s="7"/>
      <c r="AX2156" s="7"/>
    </row>
    <row r="2157" spans="14:50" x14ac:dyDescent="0.25">
      <c r="N2157" s="3"/>
      <c r="AW2157" s="7"/>
      <c r="AX2157" s="7"/>
    </row>
    <row r="2158" spans="14:50" x14ac:dyDescent="0.25">
      <c r="N2158" s="3"/>
      <c r="AW2158" s="7"/>
      <c r="AX2158" s="7"/>
    </row>
    <row r="2159" spans="14:50" x14ac:dyDescent="0.25">
      <c r="N2159" s="3"/>
      <c r="AW2159" s="7"/>
      <c r="AX2159" s="7"/>
    </row>
    <row r="2160" spans="14:50" x14ac:dyDescent="0.25">
      <c r="N2160" s="3"/>
      <c r="AW2160" s="7"/>
      <c r="AX2160" s="7"/>
    </row>
    <row r="2161" spans="14:50" x14ac:dyDescent="0.25">
      <c r="N2161" s="3"/>
      <c r="AW2161" s="7"/>
      <c r="AX2161" s="7"/>
    </row>
    <row r="2162" spans="14:50" x14ac:dyDescent="0.25">
      <c r="N2162" s="3"/>
      <c r="AW2162" s="7"/>
      <c r="AX2162" s="7"/>
    </row>
    <row r="2163" spans="14:50" x14ac:dyDescent="0.25">
      <c r="N2163" s="3"/>
      <c r="AW2163" s="7"/>
      <c r="AX2163" s="7"/>
    </row>
    <row r="2164" spans="14:50" x14ac:dyDescent="0.25">
      <c r="N2164" s="3"/>
      <c r="AW2164" s="7"/>
      <c r="AX2164" s="7"/>
    </row>
    <row r="2165" spans="14:50" x14ac:dyDescent="0.25">
      <c r="N2165" s="3"/>
      <c r="AW2165" s="7"/>
      <c r="AX2165" s="7"/>
    </row>
    <row r="2166" spans="14:50" x14ac:dyDescent="0.25">
      <c r="N2166" s="3"/>
      <c r="AW2166" s="7"/>
      <c r="AX2166" s="7"/>
    </row>
    <row r="2167" spans="14:50" x14ac:dyDescent="0.25">
      <c r="N2167" s="3"/>
      <c r="AW2167" s="7"/>
      <c r="AX2167" s="7"/>
    </row>
    <row r="2168" spans="14:50" x14ac:dyDescent="0.25">
      <c r="N2168" s="3"/>
      <c r="AW2168" s="7"/>
      <c r="AX2168" s="7"/>
    </row>
    <row r="2169" spans="14:50" x14ac:dyDescent="0.25">
      <c r="N2169" s="3"/>
      <c r="AW2169" s="7"/>
      <c r="AX2169" s="7"/>
    </row>
    <row r="2170" spans="14:50" x14ac:dyDescent="0.25">
      <c r="N2170" s="3"/>
      <c r="AW2170" s="7"/>
      <c r="AX2170" s="7"/>
    </row>
    <row r="2171" spans="14:50" x14ac:dyDescent="0.25">
      <c r="N2171" s="3"/>
      <c r="AW2171" s="7"/>
      <c r="AX2171" s="7"/>
    </row>
    <row r="2172" spans="14:50" x14ac:dyDescent="0.25">
      <c r="N2172" s="3"/>
      <c r="AW2172" s="7"/>
      <c r="AX2172" s="7"/>
    </row>
    <row r="2173" spans="14:50" x14ac:dyDescent="0.25">
      <c r="N2173" s="3"/>
      <c r="AW2173" s="7"/>
      <c r="AX2173" s="7"/>
    </row>
    <row r="2174" spans="14:50" x14ac:dyDescent="0.25">
      <c r="N2174" s="3"/>
      <c r="AW2174" s="7"/>
      <c r="AX2174" s="7"/>
    </row>
    <row r="2175" spans="14:50" x14ac:dyDescent="0.25">
      <c r="N2175" s="3"/>
      <c r="AW2175" s="7"/>
      <c r="AX2175" s="7"/>
    </row>
    <row r="2176" spans="14:50" x14ac:dyDescent="0.25">
      <c r="N2176" s="3"/>
      <c r="AW2176" s="7"/>
      <c r="AX2176" s="7"/>
    </row>
    <row r="2177" spans="14:50" x14ac:dyDescent="0.25">
      <c r="N2177" s="3"/>
      <c r="AW2177" s="7"/>
      <c r="AX2177" s="7"/>
    </row>
    <row r="2178" spans="14:50" x14ac:dyDescent="0.25">
      <c r="N2178" s="3"/>
      <c r="AW2178" s="7"/>
      <c r="AX2178" s="7"/>
    </row>
    <row r="2179" spans="14:50" x14ac:dyDescent="0.25">
      <c r="N2179" s="3"/>
      <c r="AW2179" s="7"/>
      <c r="AX2179" s="7"/>
    </row>
    <row r="2180" spans="14:50" x14ac:dyDescent="0.25">
      <c r="N2180" s="3"/>
      <c r="AW2180" s="7"/>
      <c r="AX2180" s="7"/>
    </row>
    <row r="2181" spans="14:50" x14ac:dyDescent="0.25">
      <c r="N2181" s="3"/>
      <c r="AW2181" s="7"/>
      <c r="AX2181" s="7"/>
    </row>
    <row r="2182" spans="14:50" x14ac:dyDescent="0.25">
      <c r="N2182" s="3"/>
      <c r="AW2182" s="7"/>
      <c r="AX2182" s="7"/>
    </row>
    <row r="2183" spans="14:50" x14ac:dyDescent="0.25">
      <c r="N2183" s="3"/>
      <c r="AW2183" s="7"/>
      <c r="AX2183" s="7"/>
    </row>
    <row r="2184" spans="14:50" x14ac:dyDescent="0.25">
      <c r="N2184" s="3"/>
      <c r="AW2184" s="7"/>
      <c r="AX2184" s="7"/>
    </row>
    <row r="2185" spans="14:50" x14ac:dyDescent="0.25">
      <c r="N2185" s="3"/>
      <c r="AW2185" s="7"/>
      <c r="AX2185" s="7"/>
    </row>
    <row r="2186" spans="14:50" x14ac:dyDescent="0.25">
      <c r="N2186" s="3"/>
      <c r="AW2186" s="7"/>
      <c r="AX2186" s="7"/>
    </row>
    <row r="2187" spans="14:50" x14ac:dyDescent="0.25">
      <c r="N2187" s="3"/>
      <c r="AW2187" s="7"/>
      <c r="AX2187" s="7"/>
    </row>
    <row r="2188" spans="14:50" x14ac:dyDescent="0.25">
      <c r="N2188" s="3"/>
      <c r="AW2188" s="7"/>
      <c r="AX2188" s="7"/>
    </row>
    <row r="2189" spans="14:50" x14ac:dyDescent="0.25">
      <c r="N2189" s="3"/>
      <c r="AW2189" s="7"/>
      <c r="AX2189" s="7"/>
    </row>
    <row r="2190" spans="14:50" x14ac:dyDescent="0.25">
      <c r="N2190" s="3"/>
      <c r="AW2190" s="7"/>
      <c r="AX2190" s="7"/>
    </row>
    <row r="2191" spans="14:50" x14ac:dyDescent="0.25">
      <c r="N2191" s="3"/>
      <c r="AW2191" s="7"/>
      <c r="AX2191" s="7"/>
    </row>
    <row r="2192" spans="14:50" x14ac:dyDescent="0.25">
      <c r="N2192" s="3"/>
      <c r="AW2192" s="7"/>
      <c r="AX2192" s="7"/>
    </row>
    <row r="2193" spans="14:50" x14ac:dyDescent="0.25">
      <c r="N2193" s="3"/>
      <c r="AW2193" s="7"/>
      <c r="AX2193" s="7"/>
    </row>
    <row r="2194" spans="14:50" x14ac:dyDescent="0.25">
      <c r="N2194" s="3"/>
      <c r="AW2194" s="7"/>
      <c r="AX2194" s="7"/>
    </row>
    <row r="2195" spans="14:50" x14ac:dyDescent="0.25">
      <c r="N2195" s="3"/>
      <c r="AW2195" s="7"/>
      <c r="AX2195" s="7"/>
    </row>
    <row r="2196" spans="14:50" x14ac:dyDescent="0.25">
      <c r="N2196" s="3"/>
      <c r="AW2196" s="7"/>
      <c r="AX2196" s="7"/>
    </row>
    <row r="2197" spans="14:50" x14ac:dyDescent="0.25">
      <c r="N2197" s="3"/>
      <c r="AW2197" s="7"/>
      <c r="AX2197" s="7"/>
    </row>
    <row r="2198" spans="14:50" x14ac:dyDescent="0.25">
      <c r="N2198" s="3"/>
      <c r="AW2198" s="7"/>
      <c r="AX2198" s="7"/>
    </row>
    <row r="2199" spans="14:50" x14ac:dyDescent="0.25">
      <c r="N2199" s="3"/>
      <c r="AW2199" s="7"/>
      <c r="AX2199" s="7"/>
    </row>
    <row r="2200" spans="14:50" x14ac:dyDescent="0.25">
      <c r="N2200" s="3"/>
      <c r="AW2200" s="7"/>
      <c r="AX2200" s="7"/>
    </row>
    <row r="2201" spans="14:50" x14ac:dyDescent="0.25">
      <c r="N2201" s="3"/>
      <c r="AW2201" s="7"/>
      <c r="AX2201" s="7"/>
    </row>
    <row r="2202" spans="14:50" x14ac:dyDescent="0.25">
      <c r="N2202" s="3"/>
      <c r="AW2202" s="7"/>
      <c r="AX2202" s="7"/>
    </row>
    <row r="2203" spans="14:50" x14ac:dyDescent="0.25">
      <c r="N2203" s="3"/>
      <c r="AW2203" s="7"/>
      <c r="AX2203" s="7"/>
    </row>
    <row r="2204" spans="14:50" x14ac:dyDescent="0.25">
      <c r="N2204" s="3"/>
      <c r="AW2204" s="7"/>
      <c r="AX2204" s="7"/>
    </row>
    <row r="2205" spans="14:50" x14ac:dyDescent="0.25">
      <c r="N2205" s="3"/>
      <c r="AW2205" s="7"/>
      <c r="AX2205" s="7"/>
    </row>
    <row r="2206" spans="14:50" x14ac:dyDescent="0.25">
      <c r="N2206" s="3"/>
      <c r="AW2206" s="7"/>
      <c r="AX2206" s="7"/>
    </row>
    <row r="2207" spans="14:50" x14ac:dyDescent="0.25">
      <c r="N2207" s="3"/>
      <c r="AW2207" s="7"/>
      <c r="AX2207" s="7"/>
    </row>
    <row r="2208" spans="14:50" x14ac:dyDescent="0.25">
      <c r="N2208" s="3"/>
      <c r="AW2208" s="7"/>
      <c r="AX2208" s="7"/>
    </row>
    <row r="2209" spans="14:50" x14ac:dyDescent="0.25">
      <c r="N2209" s="3"/>
      <c r="AW2209" s="7"/>
      <c r="AX2209" s="7"/>
    </row>
    <row r="2210" spans="14:50" x14ac:dyDescent="0.25">
      <c r="N2210" s="3"/>
      <c r="AW2210" s="7"/>
      <c r="AX2210" s="7"/>
    </row>
    <row r="2211" spans="14:50" x14ac:dyDescent="0.25">
      <c r="N2211" s="3"/>
      <c r="AW2211" s="7"/>
      <c r="AX2211" s="7"/>
    </row>
    <row r="2212" spans="14:50" x14ac:dyDescent="0.25">
      <c r="N2212" s="3"/>
      <c r="AW2212" s="7"/>
      <c r="AX2212" s="7"/>
    </row>
    <row r="2213" spans="14:50" x14ac:dyDescent="0.25">
      <c r="N2213" s="3"/>
      <c r="AW2213" s="7"/>
      <c r="AX2213" s="7"/>
    </row>
    <row r="2214" spans="14:50" x14ac:dyDescent="0.25">
      <c r="N2214" s="3"/>
      <c r="AW2214" s="7"/>
      <c r="AX2214" s="7"/>
    </row>
    <row r="2215" spans="14:50" x14ac:dyDescent="0.25">
      <c r="N2215" s="3"/>
      <c r="AW2215" s="7"/>
      <c r="AX2215" s="7"/>
    </row>
    <row r="2216" spans="14:50" x14ac:dyDescent="0.25">
      <c r="N2216" s="3"/>
      <c r="AW2216" s="7"/>
      <c r="AX2216" s="7"/>
    </row>
    <row r="2217" spans="14:50" x14ac:dyDescent="0.25">
      <c r="N2217" s="3"/>
      <c r="AW2217" s="7"/>
      <c r="AX2217" s="7"/>
    </row>
    <row r="2218" spans="14:50" x14ac:dyDescent="0.25">
      <c r="N2218" s="3"/>
      <c r="AW2218" s="7"/>
      <c r="AX2218" s="7"/>
    </row>
    <row r="2219" spans="14:50" x14ac:dyDescent="0.25">
      <c r="N2219" s="3"/>
      <c r="AW2219" s="7"/>
      <c r="AX2219" s="7"/>
    </row>
    <row r="2220" spans="14:50" x14ac:dyDescent="0.25">
      <c r="N2220" s="3"/>
      <c r="AW2220" s="7"/>
      <c r="AX2220" s="7"/>
    </row>
    <row r="2221" spans="14:50" x14ac:dyDescent="0.25">
      <c r="N2221" s="3"/>
      <c r="AW2221" s="7"/>
      <c r="AX2221" s="7"/>
    </row>
    <row r="2222" spans="14:50" x14ac:dyDescent="0.25">
      <c r="N2222" s="3"/>
      <c r="AW2222" s="7"/>
      <c r="AX2222" s="7"/>
    </row>
    <row r="2223" spans="14:50" x14ac:dyDescent="0.25">
      <c r="N2223" s="3"/>
      <c r="AW2223" s="7"/>
      <c r="AX2223" s="7"/>
    </row>
    <row r="2224" spans="14:50" x14ac:dyDescent="0.25">
      <c r="N2224" s="3"/>
      <c r="AW2224" s="7"/>
      <c r="AX2224" s="7"/>
    </row>
    <row r="2225" spans="14:50" x14ac:dyDescent="0.25">
      <c r="N2225" s="3"/>
      <c r="AW2225" s="7"/>
      <c r="AX2225" s="7"/>
    </row>
    <row r="2226" spans="14:50" x14ac:dyDescent="0.25">
      <c r="N2226" s="3"/>
      <c r="AW2226" s="7"/>
      <c r="AX2226" s="7"/>
    </row>
    <row r="2227" spans="14:50" x14ac:dyDescent="0.25">
      <c r="N2227" s="3"/>
      <c r="AW2227" s="7"/>
      <c r="AX2227" s="7"/>
    </row>
    <row r="2228" spans="14:50" x14ac:dyDescent="0.25">
      <c r="N2228" s="3"/>
      <c r="AW2228" s="7"/>
      <c r="AX2228" s="7"/>
    </row>
    <row r="2229" spans="14:50" x14ac:dyDescent="0.25">
      <c r="N2229" s="3"/>
      <c r="AW2229" s="7"/>
      <c r="AX2229" s="7"/>
    </row>
    <row r="2230" spans="14:50" x14ac:dyDescent="0.25">
      <c r="N2230" s="3"/>
      <c r="AW2230" s="7"/>
      <c r="AX2230" s="7"/>
    </row>
    <row r="2231" spans="14:50" x14ac:dyDescent="0.25">
      <c r="N2231" s="3"/>
      <c r="AW2231" s="7"/>
      <c r="AX2231" s="7"/>
    </row>
    <row r="2232" spans="14:50" x14ac:dyDescent="0.25">
      <c r="N2232" s="3"/>
      <c r="AW2232" s="7"/>
      <c r="AX2232" s="7"/>
    </row>
    <row r="2233" spans="14:50" x14ac:dyDescent="0.25">
      <c r="N2233" s="3"/>
      <c r="AW2233" s="7"/>
      <c r="AX2233" s="7"/>
    </row>
    <row r="2234" spans="14:50" x14ac:dyDescent="0.25">
      <c r="N2234" s="3"/>
      <c r="AW2234" s="7"/>
      <c r="AX2234" s="7"/>
    </row>
    <row r="2235" spans="14:50" x14ac:dyDescent="0.25">
      <c r="N2235" s="3"/>
      <c r="AW2235" s="7"/>
      <c r="AX2235" s="7"/>
    </row>
    <row r="2236" spans="14:50" x14ac:dyDescent="0.25">
      <c r="N2236" s="3"/>
      <c r="AW2236" s="7"/>
      <c r="AX2236" s="7"/>
    </row>
    <row r="2237" spans="14:50" x14ac:dyDescent="0.25">
      <c r="N2237" s="3"/>
      <c r="AW2237" s="7"/>
      <c r="AX2237" s="7"/>
    </row>
    <row r="2238" spans="14:50" x14ac:dyDescent="0.25">
      <c r="N2238" s="3"/>
      <c r="AW2238" s="7"/>
      <c r="AX2238" s="7"/>
    </row>
    <row r="2239" spans="14:50" x14ac:dyDescent="0.25">
      <c r="N2239" s="3"/>
      <c r="AW2239" s="7"/>
      <c r="AX2239" s="7"/>
    </row>
    <row r="2240" spans="14:50" x14ac:dyDescent="0.25">
      <c r="N2240" s="3"/>
      <c r="AW2240" s="7"/>
      <c r="AX2240" s="7"/>
    </row>
    <row r="2241" spans="14:50" x14ac:dyDescent="0.25">
      <c r="N2241" s="3"/>
      <c r="AW2241" s="7"/>
      <c r="AX2241" s="7"/>
    </row>
    <row r="2242" spans="14:50" x14ac:dyDescent="0.25">
      <c r="N2242" s="3"/>
      <c r="AW2242" s="7"/>
      <c r="AX2242" s="7"/>
    </row>
    <row r="2243" spans="14:50" x14ac:dyDescent="0.25">
      <c r="N2243" s="3"/>
      <c r="AW2243" s="7"/>
      <c r="AX2243" s="7"/>
    </row>
    <row r="2244" spans="14:50" x14ac:dyDescent="0.25">
      <c r="N2244" s="3"/>
      <c r="AW2244" s="7"/>
      <c r="AX2244" s="7"/>
    </row>
    <row r="2245" spans="14:50" x14ac:dyDescent="0.25">
      <c r="N2245" s="3"/>
      <c r="AW2245" s="7"/>
      <c r="AX2245" s="7"/>
    </row>
    <row r="2246" spans="14:50" x14ac:dyDescent="0.25">
      <c r="N2246" s="3"/>
      <c r="AW2246" s="7"/>
      <c r="AX2246" s="7"/>
    </row>
    <row r="2247" spans="14:50" x14ac:dyDescent="0.25">
      <c r="N2247" s="3"/>
      <c r="AW2247" s="7"/>
      <c r="AX2247" s="7"/>
    </row>
    <row r="2248" spans="14:50" x14ac:dyDescent="0.25">
      <c r="N2248" s="3"/>
      <c r="AW2248" s="7"/>
      <c r="AX2248" s="7"/>
    </row>
    <row r="2249" spans="14:50" x14ac:dyDescent="0.25">
      <c r="N2249" s="3"/>
      <c r="AW2249" s="7"/>
      <c r="AX2249" s="7"/>
    </row>
    <row r="2250" spans="14:50" x14ac:dyDescent="0.25">
      <c r="N2250" s="3"/>
      <c r="AW2250" s="7"/>
      <c r="AX2250" s="7"/>
    </row>
    <row r="2251" spans="14:50" x14ac:dyDescent="0.25">
      <c r="N2251" s="3"/>
      <c r="AW2251" s="7"/>
      <c r="AX2251" s="7"/>
    </row>
    <row r="2252" spans="14:50" x14ac:dyDescent="0.25">
      <c r="N2252" s="3"/>
      <c r="AW2252" s="7"/>
      <c r="AX2252" s="7"/>
    </row>
    <row r="2253" spans="14:50" x14ac:dyDescent="0.25">
      <c r="N2253" s="3"/>
      <c r="AW2253" s="7"/>
      <c r="AX2253" s="7"/>
    </row>
    <row r="2254" spans="14:50" x14ac:dyDescent="0.25">
      <c r="N2254" s="3"/>
      <c r="AW2254" s="7"/>
      <c r="AX2254" s="7"/>
    </row>
    <row r="2255" spans="14:50" x14ac:dyDescent="0.25">
      <c r="N2255" s="3"/>
      <c r="AW2255" s="7"/>
      <c r="AX2255" s="7"/>
    </row>
    <row r="2256" spans="14:50" x14ac:dyDescent="0.25">
      <c r="N2256" s="3"/>
      <c r="AW2256" s="7"/>
      <c r="AX2256" s="7"/>
    </row>
    <row r="2257" spans="14:50" x14ac:dyDescent="0.25">
      <c r="N2257" s="3"/>
      <c r="AW2257" s="7"/>
      <c r="AX2257" s="7"/>
    </row>
    <row r="2258" spans="14:50" x14ac:dyDescent="0.25">
      <c r="N2258" s="3"/>
      <c r="AW2258" s="7"/>
      <c r="AX2258" s="7"/>
    </row>
    <row r="2259" spans="14:50" x14ac:dyDescent="0.25">
      <c r="N2259" s="3"/>
      <c r="AW2259" s="7"/>
      <c r="AX2259" s="7"/>
    </row>
    <row r="2260" spans="14:50" x14ac:dyDescent="0.25">
      <c r="N2260" s="3"/>
      <c r="AW2260" s="7"/>
      <c r="AX2260" s="7"/>
    </row>
    <row r="2261" spans="14:50" x14ac:dyDescent="0.25">
      <c r="N2261" s="3"/>
      <c r="AW2261" s="7"/>
      <c r="AX2261" s="7"/>
    </row>
    <row r="2262" spans="14:50" x14ac:dyDescent="0.25">
      <c r="N2262" s="3"/>
      <c r="AW2262" s="7"/>
      <c r="AX2262" s="7"/>
    </row>
    <row r="2263" spans="14:50" x14ac:dyDescent="0.25">
      <c r="N2263" s="3"/>
      <c r="AW2263" s="7"/>
      <c r="AX2263" s="7"/>
    </row>
    <row r="2264" spans="14:50" x14ac:dyDescent="0.25">
      <c r="N2264" s="3"/>
      <c r="AW2264" s="7"/>
      <c r="AX2264" s="7"/>
    </row>
    <row r="2265" spans="14:50" x14ac:dyDescent="0.25">
      <c r="N2265" s="3"/>
      <c r="AW2265" s="7"/>
      <c r="AX2265" s="7"/>
    </row>
    <row r="2266" spans="14:50" x14ac:dyDescent="0.25">
      <c r="N2266" s="3"/>
      <c r="AW2266" s="7"/>
      <c r="AX2266" s="7"/>
    </row>
    <row r="2267" spans="14:50" x14ac:dyDescent="0.25">
      <c r="N2267" s="3"/>
      <c r="AW2267" s="7"/>
      <c r="AX2267" s="7"/>
    </row>
    <row r="2268" spans="14:50" x14ac:dyDescent="0.25">
      <c r="N2268" s="3"/>
      <c r="AW2268" s="7"/>
      <c r="AX2268" s="7"/>
    </row>
    <row r="2269" spans="14:50" x14ac:dyDescent="0.25">
      <c r="N2269" s="3"/>
      <c r="AW2269" s="7"/>
      <c r="AX2269" s="7"/>
    </row>
    <row r="2270" spans="14:50" x14ac:dyDescent="0.25">
      <c r="N2270" s="3"/>
      <c r="AW2270" s="7"/>
      <c r="AX2270" s="7"/>
    </row>
    <row r="2271" spans="14:50" x14ac:dyDescent="0.25">
      <c r="N2271" s="3"/>
      <c r="AW2271" s="7"/>
      <c r="AX2271" s="7"/>
    </row>
    <row r="2272" spans="14:50" x14ac:dyDescent="0.25">
      <c r="N2272" s="3"/>
      <c r="AW2272" s="7"/>
      <c r="AX2272" s="7"/>
    </row>
    <row r="2273" spans="14:50" x14ac:dyDescent="0.25">
      <c r="N2273" s="3"/>
      <c r="AW2273" s="7"/>
      <c r="AX2273" s="7"/>
    </row>
    <row r="2274" spans="14:50" x14ac:dyDescent="0.25">
      <c r="N2274" s="3"/>
      <c r="AW2274" s="7"/>
      <c r="AX2274" s="7"/>
    </row>
    <row r="2275" spans="14:50" x14ac:dyDescent="0.25">
      <c r="N2275" s="3"/>
      <c r="AW2275" s="7"/>
      <c r="AX2275" s="7"/>
    </row>
    <row r="2276" spans="14:50" x14ac:dyDescent="0.25">
      <c r="N2276" s="3"/>
      <c r="AW2276" s="7"/>
      <c r="AX2276" s="7"/>
    </row>
    <row r="2277" spans="14:50" x14ac:dyDescent="0.25">
      <c r="N2277" s="3"/>
      <c r="AW2277" s="7"/>
      <c r="AX2277" s="7"/>
    </row>
    <row r="2278" spans="14:50" x14ac:dyDescent="0.25">
      <c r="N2278" s="3"/>
      <c r="AW2278" s="7"/>
      <c r="AX2278" s="7"/>
    </row>
    <row r="2279" spans="14:50" x14ac:dyDescent="0.25">
      <c r="N2279" s="3"/>
      <c r="AW2279" s="7"/>
      <c r="AX2279" s="7"/>
    </row>
    <row r="2280" spans="14:50" x14ac:dyDescent="0.25">
      <c r="N2280" s="3"/>
      <c r="AW2280" s="7"/>
      <c r="AX2280" s="7"/>
    </row>
    <row r="2281" spans="14:50" x14ac:dyDescent="0.25">
      <c r="N2281" s="3"/>
      <c r="AW2281" s="7"/>
      <c r="AX2281" s="7"/>
    </row>
    <row r="2282" spans="14:50" x14ac:dyDescent="0.25">
      <c r="N2282" s="3"/>
      <c r="AW2282" s="7"/>
      <c r="AX2282" s="7"/>
    </row>
    <row r="2283" spans="14:50" x14ac:dyDescent="0.25">
      <c r="N2283" s="3"/>
      <c r="AW2283" s="7"/>
      <c r="AX2283" s="7"/>
    </row>
    <row r="2284" spans="14:50" x14ac:dyDescent="0.25">
      <c r="N2284" s="3"/>
      <c r="AW2284" s="7"/>
      <c r="AX2284" s="7"/>
    </row>
    <row r="2285" spans="14:50" x14ac:dyDescent="0.25">
      <c r="N2285" s="3"/>
      <c r="AW2285" s="7"/>
      <c r="AX2285" s="7"/>
    </row>
    <row r="2286" spans="14:50" x14ac:dyDescent="0.25">
      <c r="N2286" s="3"/>
      <c r="AW2286" s="7"/>
      <c r="AX2286" s="7"/>
    </row>
    <row r="2287" spans="14:50" x14ac:dyDescent="0.25">
      <c r="N2287" s="3"/>
      <c r="AW2287" s="7"/>
      <c r="AX2287" s="7"/>
    </row>
    <row r="2288" spans="14:50" x14ac:dyDescent="0.25">
      <c r="N2288" s="3"/>
      <c r="AW2288" s="7"/>
      <c r="AX2288" s="7"/>
    </row>
    <row r="2289" spans="14:50" x14ac:dyDescent="0.25">
      <c r="N2289" s="3"/>
      <c r="AW2289" s="7"/>
      <c r="AX2289" s="7"/>
    </row>
    <row r="2290" spans="14:50" x14ac:dyDescent="0.25">
      <c r="N2290" s="3"/>
      <c r="AW2290" s="7"/>
      <c r="AX2290" s="7"/>
    </row>
    <row r="2291" spans="14:50" x14ac:dyDescent="0.25">
      <c r="N2291" s="3"/>
      <c r="AW2291" s="7"/>
      <c r="AX2291" s="7"/>
    </row>
    <row r="2292" spans="14:50" x14ac:dyDescent="0.25">
      <c r="N2292" s="3"/>
      <c r="AW2292" s="7"/>
      <c r="AX2292" s="7"/>
    </row>
    <row r="2293" spans="14:50" x14ac:dyDescent="0.25">
      <c r="N2293" s="3"/>
      <c r="AW2293" s="7"/>
      <c r="AX2293" s="7"/>
    </row>
    <row r="2294" spans="14:50" x14ac:dyDescent="0.25">
      <c r="N2294" s="3"/>
      <c r="AW2294" s="7"/>
      <c r="AX2294" s="7"/>
    </row>
    <row r="2295" spans="14:50" x14ac:dyDescent="0.25">
      <c r="N2295" s="3"/>
      <c r="AW2295" s="7"/>
      <c r="AX2295" s="7"/>
    </row>
    <row r="2296" spans="14:50" x14ac:dyDescent="0.25">
      <c r="N2296" s="3"/>
      <c r="AW2296" s="7"/>
      <c r="AX2296" s="7"/>
    </row>
    <row r="2297" spans="14:50" x14ac:dyDescent="0.25">
      <c r="N2297" s="3"/>
      <c r="AW2297" s="7"/>
      <c r="AX2297" s="7"/>
    </row>
    <row r="2298" spans="14:50" x14ac:dyDescent="0.25">
      <c r="N2298" s="3"/>
      <c r="AW2298" s="7"/>
      <c r="AX2298" s="7"/>
    </row>
    <row r="2299" spans="14:50" x14ac:dyDescent="0.25">
      <c r="N2299" s="3"/>
      <c r="AW2299" s="7"/>
      <c r="AX2299" s="7"/>
    </row>
    <row r="2300" spans="14:50" x14ac:dyDescent="0.25">
      <c r="N2300" s="3"/>
      <c r="AW2300" s="7"/>
      <c r="AX2300" s="7"/>
    </row>
    <row r="2301" spans="14:50" x14ac:dyDescent="0.25">
      <c r="N2301" s="3"/>
      <c r="AW2301" s="7"/>
      <c r="AX2301" s="7"/>
    </row>
    <row r="2302" spans="14:50" x14ac:dyDescent="0.25">
      <c r="N2302" s="3"/>
      <c r="AW2302" s="7"/>
      <c r="AX2302" s="7"/>
    </row>
    <row r="2303" spans="14:50" x14ac:dyDescent="0.25">
      <c r="N2303" s="3"/>
      <c r="AW2303" s="7"/>
      <c r="AX2303" s="7"/>
    </row>
    <row r="2304" spans="14:50" x14ac:dyDescent="0.25">
      <c r="N2304" s="3"/>
      <c r="AW2304" s="7"/>
      <c r="AX2304" s="7"/>
    </row>
    <row r="2305" spans="14:50" x14ac:dyDescent="0.25">
      <c r="N2305" s="3"/>
      <c r="AW2305" s="7"/>
      <c r="AX2305" s="7"/>
    </row>
    <row r="2306" spans="14:50" x14ac:dyDescent="0.25">
      <c r="N2306" s="3"/>
      <c r="AW2306" s="7"/>
      <c r="AX2306" s="7"/>
    </row>
    <row r="2307" spans="14:50" x14ac:dyDescent="0.25">
      <c r="N2307" s="3"/>
      <c r="AW2307" s="7"/>
      <c r="AX2307" s="7"/>
    </row>
    <row r="2308" spans="14:50" x14ac:dyDescent="0.25">
      <c r="N2308" s="3"/>
      <c r="AW2308" s="7"/>
      <c r="AX2308" s="7"/>
    </row>
    <row r="2309" spans="14:50" x14ac:dyDescent="0.25">
      <c r="N2309" s="3"/>
      <c r="AW2309" s="7"/>
      <c r="AX2309" s="7"/>
    </row>
    <row r="2310" spans="14:50" x14ac:dyDescent="0.25">
      <c r="N2310" s="3"/>
      <c r="AW2310" s="7"/>
      <c r="AX2310" s="7"/>
    </row>
    <row r="2311" spans="14:50" x14ac:dyDescent="0.25">
      <c r="N2311" s="3"/>
      <c r="AW2311" s="7"/>
      <c r="AX2311" s="7"/>
    </row>
    <row r="2312" spans="14:50" x14ac:dyDescent="0.25">
      <c r="N2312" s="3"/>
      <c r="AW2312" s="7"/>
      <c r="AX2312" s="7"/>
    </row>
    <row r="2313" spans="14:50" x14ac:dyDescent="0.25">
      <c r="N2313" s="3"/>
      <c r="AW2313" s="7"/>
      <c r="AX2313" s="7"/>
    </row>
    <row r="2314" spans="14:50" x14ac:dyDescent="0.25">
      <c r="N2314" s="3"/>
      <c r="AW2314" s="7"/>
      <c r="AX2314" s="7"/>
    </row>
    <row r="2315" spans="14:50" x14ac:dyDescent="0.25">
      <c r="N2315" s="3"/>
      <c r="AW2315" s="7"/>
      <c r="AX2315" s="7"/>
    </row>
    <row r="2316" spans="14:50" x14ac:dyDescent="0.25">
      <c r="N2316" s="3"/>
      <c r="AW2316" s="7"/>
      <c r="AX2316" s="7"/>
    </row>
    <row r="2317" spans="14:50" x14ac:dyDescent="0.25">
      <c r="N2317" s="3"/>
      <c r="AW2317" s="7"/>
      <c r="AX2317" s="7"/>
    </row>
    <row r="2318" spans="14:50" x14ac:dyDescent="0.25">
      <c r="N2318" s="3"/>
      <c r="AW2318" s="7"/>
      <c r="AX2318" s="7"/>
    </row>
    <row r="2319" spans="14:50" x14ac:dyDescent="0.25">
      <c r="N2319" s="3"/>
      <c r="AW2319" s="7"/>
      <c r="AX2319" s="7"/>
    </row>
    <row r="2320" spans="14:50" x14ac:dyDescent="0.25">
      <c r="N2320" s="3"/>
      <c r="AW2320" s="7"/>
      <c r="AX2320" s="7"/>
    </row>
    <row r="2321" spans="14:50" x14ac:dyDescent="0.25">
      <c r="N2321" s="3"/>
      <c r="AW2321" s="7"/>
      <c r="AX2321" s="7"/>
    </row>
    <row r="2322" spans="14:50" x14ac:dyDescent="0.25">
      <c r="N2322" s="3"/>
      <c r="AW2322" s="7"/>
      <c r="AX2322" s="7"/>
    </row>
    <row r="2323" spans="14:50" x14ac:dyDescent="0.25">
      <c r="N2323" s="3"/>
      <c r="AW2323" s="7"/>
      <c r="AX2323" s="7"/>
    </row>
    <row r="2324" spans="14:50" x14ac:dyDescent="0.25">
      <c r="N2324" s="3"/>
      <c r="AW2324" s="7"/>
      <c r="AX2324" s="7"/>
    </row>
    <row r="2325" spans="14:50" x14ac:dyDescent="0.25">
      <c r="N2325" s="3"/>
      <c r="AW2325" s="7"/>
      <c r="AX2325" s="7"/>
    </row>
    <row r="2326" spans="14:50" x14ac:dyDescent="0.25">
      <c r="N2326" s="3"/>
      <c r="AW2326" s="7"/>
      <c r="AX2326" s="7"/>
    </row>
    <row r="2327" spans="14:50" x14ac:dyDescent="0.25">
      <c r="N2327" s="3"/>
      <c r="AW2327" s="7"/>
      <c r="AX2327" s="7"/>
    </row>
    <row r="2328" spans="14:50" x14ac:dyDescent="0.25">
      <c r="N2328" s="3"/>
      <c r="AW2328" s="7"/>
      <c r="AX2328" s="7"/>
    </row>
    <row r="2329" spans="14:50" x14ac:dyDescent="0.25">
      <c r="N2329" s="3"/>
      <c r="AW2329" s="7"/>
      <c r="AX2329" s="7"/>
    </row>
    <row r="2330" spans="14:50" x14ac:dyDescent="0.25">
      <c r="N2330" s="3"/>
      <c r="AW2330" s="7"/>
      <c r="AX2330" s="7"/>
    </row>
    <row r="2331" spans="14:50" x14ac:dyDescent="0.25">
      <c r="N2331" s="3"/>
      <c r="AW2331" s="7"/>
      <c r="AX2331" s="7"/>
    </row>
    <row r="2332" spans="14:50" x14ac:dyDescent="0.25">
      <c r="N2332" s="3"/>
      <c r="AW2332" s="7"/>
      <c r="AX2332" s="7"/>
    </row>
    <row r="2333" spans="14:50" x14ac:dyDescent="0.25">
      <c r="N2333" s="3"/>
      <c r="AW2333" s="7"/>
      <c r="AX2333" s="7"/>
    </row>
    <row r="2334" spans="14:50" x14ac:dyDescent="0.25">
      <c r="N2334" s="3"/>
      <c r="AW2334" s="7"/>
      <c r="AX2334" s="7"/>
    </row>
    <row r="2335" spans="14:50" x14ac:dyDescent="0.25">
      <c r="N2335" s="3"/>
      <c r="AW2335" s="7"/>
      <c r="AX2335" s="7"/>
    </row>
    <row r="2336" spans="14:50" x14ac:dyDescent="0.25">
      <c r="N2336" s="3"/>
      <c r="AW2336" s="7"/>
      <c r="AX2336" s="7"/>
    </row>
    <row r="2337" spans="14:50" x14ac:dyDescent="0.25">
      <c r="N2337" s="3"/>
      <c r="AW2337" s="7"/>
      <c r="AX2337" s="7"/>
    </row>
    <row r="2338" spans="14:50" x14ac:dyDescent="0.25">
      <c r="N2338" s="3"/>
      <c r="AW2338" s="7"/>
      <c r="AX2338" s="7"/>
    </row>
    <row r="2339" spans="14:50" x14ac:dyDescent="0.25">
      <c r="N2339" s="3"/>
      <c r="AW2339" s="7"/>
      <c r="AX2339" s="7"/>
    </row>
    <row r="2340" spans="14:50" x14ac:dyDescent="0.25">
      <c r="N2340" s="3"/>
      <c r="AW2340" s="7"/>
      <c r="AX2340" s="7"/>
    </row>
    <row r="2341" spans="14:50" x14ac:dyDescent="0.25">
      <c r="N2341" s="3"/>
      <c r="AW2341" s="7"/>
      <c r="AX2341" s="7"/>
    </row>
    <row r="2342" spans="14:50" x14ac:dyDescent="0.25">
      <c r="N2342" s="3"/>
      <c r="AW2342" s="7"/>
      <c r="AX2342" s="7"/>
    </row>
    <row r="2343" spans="14:50" x14ac:dyDescent="0.25">
      <c r="N2343" s="3"/>
      <c r="AW2343" s="7"/>
      <c r="AX2343" s="7"/>
    </row>
    <row r="2344" spans="14:50" x14ac:dyDescent="0.25">
      <c r="N2344" s="3"/>
      <c r="AW2344" s="7"/>
      <c r="AX2344" s="7"/>
    </row>
    <row r="2345" spans="14:50" x14ac:dyDescent="0.25">
      <c r="N2345" s="3"/>
      <c r="AW2345" s="7"/>
      <c r="AX2345" s="7"/>
    </row>
    <row r="2346" spans="14:50" x14ac:dyDescent="0.25">
      <c r="N2346" s="3"/>
      <c r="AW2346" s="7"/>
      <c r="AX2346" s="7"/>
    </row>
    <row r="2347" spans="14:50" x14ac:dyDescent="0.25">
      <c r="N2347" s="3"/>
      <c r="AW2347" s="7"/>
      <c r="AX2347" s="7"/>
    </row>
    <row r="2348" spans="14:50" x14ac:dyDescent="0.25">
      <c r="N2348" s="3"/>
      <c r="AW2348" s="7"/>
      <c r="AX2348" s="7"/>
    </row>
    <row r="2349" spans="14:50" x14ac:dyDescent="0.25">
      <c r="N2349" s="3"/>
      <c r="AW2349" s="7"/>
      <c r="AX2349" s="7"/>
    </row>
    <row r="2350" spans="14:50" x14ac:dyDescent="0.25">
      <c r="N2350" s="3"/>
      <c r="AW2350" s="7"/>
      <c r="AX2350" s="7"/>
    </row>
    <row r="2351" spans="14:50" x14ac:dyDescent="0.25">
      <c r="N2351" s="3"/>
      <c r="AW2351" s="7"/>
      <c r="AX2351" s="7"/>
    </row>
    <row r="2352" spans="14:50" x14ac:dyDescent="0.25">
      <c r="N2352" s="3"/>
      <c r="AW2352" s="7"/>
      <c r="AX2352" s="7"/>
    </row>
    <row r="2353" spans="14:50" x14ac:dyDescent="0.25">
      <c r="N2353" s="3"/>
      <c r="AW2353" s="7"/>
      <c r="AX2353" s="7"/>
    </row>
    <row r="2354" spans="14:50" x14ac:dyDescent="0.25">
      <c r="N2354" s="3"/>
      <c r="AW2354" s="7"/>
      <c r="AX2354" s="7"/>
    </row>
    <row r="2355" spans="14:50" x14ac:dyDescent="0.25">
      <c r="N2355" s="3"/>
      <c r="AW2355" s="7"/>
      <c r="AX2355" s="7"/>
    </row>
    <row r="2356" spans="14:50" x14ac:dyDescent="0.25">
      <c r="N2356" s="3"/>
      <c r="AW2356" s="7"/>
      <c r="AX2356" s="7"/>
    </row>
    <row r="2357" spans="14:50" x14ac:dyDescent="0.25">
      <c r="N2357" s="3"/>
      <c r="AW2357" s="7"/>
      <c r="AX2357" s="7"/>
    </row>
    <row r="2358" spans="14:50" x14ac:dyDescent="0.25">
      <c r="N2358" s="3"/>
      <c r="AW2358" s="7"/>
      <c r="AX2358" s="7"/>
    </row>
    <row r="2359" spans="14:50" x14ac:dyDescent="0.25">
      <c r="N2359" s="3"/>
      <c r="AW2359" s="7"/>
      <c r="AX2359" s="7"/>
    </row>
    <row r="2360" spans="14:50" x14ac:dyDescent="0.25">
      <c r="N2360" s="3"/>
      <c r="AW2360" s="7"/>
      <c r="AX2360" s="7"/>
    </row>
    <row r="2361" spans="14:50" x14ac:dyDescent="0.25">
      <c r="N2361" s="3"/>
      <c r="AW2361" s="7"/>
      <c r="AX2361" s="7"/>
    </row>
    <row r="2362" spans="14:50" x14ac:dyDescent="0.25">
      <c r="N2362" s="3"/>
      <c r="AW2362" s="7"/>
      <c r="AX2362" s="7"/>
    </row>
    <row r="2363" spans="14:50" x14ac:dyDescent="0.25">
      <c r="N2363" s="3"/>
      <c r="AW2363" s="7"/>
      <c r="AX2363" s="7"/>
    </row>
    <row r="2364" spans="14:50" x14ac:dyDescent="0.25">
      <c r="N2364" s="3"/>
      <c r="AW2364" s="7"/>
      <c r="AX2364" s="7"/>
    </row>
    <row r="2365" spans="14:50" x14ac:dyDescent="0.25">
      <c r="N2365" s="3"/>
      <c r="AW2365" s="7"/>
      <c r="AX2365" s="7"/>
    </row>
    <row r="2366" spans="14:50" x14ac:dyDescent="0.25">
      <c r="N2366" s="3"/>
      <c r="AW2366" s="7"/>
      <c r="AX2366" s="7"/>
    </row>
    <row r="2367" spans="14:50" x14ac:dyDescent="0.25">
      <c r="N2367" s="3"/>
      <c r="AW2367" s="7"/>
      <c r="AX2367" s="7"/>
    </row>
    <row r="2368" spans="14:50" x14ac:dyDescent="0.25">
      <c r="N2368" s="3"/>
      <c r="AW2368" s="7"/>
      <c r="AX2368" s="7"/>
    </row>
    <row r="2369" spans="14:50" x14ac:dyDescent="0.25">
      <c r="N2369" s="3"/>
      <c r="AW2369" s="7"/>
      <c r="AX2369" s="7"/>
    </row>
    <row r="2370" spans="14:50" x14ac:dyDescent="0.25">
      <c r="N2370" s="3"/>
      <c r="AW2370" s="7"/>
      <c r="AX2370" s="7"/>
    </row>
    <row r="2371" spans="14:50" x14ac:dyDescent="0.25">
      <c r="N2371" s="3"/>
      <c r="AW2371" s="7"/>
      <c r="AX2371" s="7"/>
    </row>
    <row r="2372" spans="14:50" x14ac:dyDescent="0.25">
      <c r="N2372" s="3"/>
      <c r="AW2372" s="7"/>
      <c r="AX2372" s="7"/>
    </row>
    <row r="2373" spans="14:50" x14ac:dyDescent="0.25">
      <c r="N2373" s="3"/>
      <c r="AW2373" s="7"/>
      <c r="AX2373" s="7"/>
    </row>
    <row r="2374" spans="14:50" x14ac:dyDescent="0.25">
      <c r="N2374" s="3"/>
      <c r="AW2374" s="7"/>
      <c r="AX2374" s="7"/>
    </row>
    <row r="2375" spans="14:50" x14ac:dyDescent="0.25">
      <c r="N2375" s="3"/>
      <c r="AW2375" s="7"/>
      <c r="AX2375" s="7"/>
    </row>
    <row r="2376" spans="14:50" x14ac:dyDescent="0.25">
      <c r="N2376" s="3"/>
      <c r="AW2376" s="7"/>
      <c r="AX2376" s="7"/>
    </row>
    <row r="2377" spans="14:50" x14ac:dyDescent="0.25">
      <c r="N2377" s="3"/>
      <c r="AW2377" s="7"/>
      <c r="AX2377" s="7"/>
    </row>
    <row r="2378" spans="14:50" x14ac:dyDescent="0.25">
      <c r="N2378" s="3"/>
      <c r="AW2378" s="7"/>
      <c r="AX2378" s="7"/>
    </row>
    <row r="2379" spans="14:50" x14ac:dyDescent="0.25">
      <c r="N2379" s="3"/>
      <c r="AW2379" s="7"/>
      <c r="AX2379" s="7"/>
    </row>
    <row r="2380" spans="14:50" x14ac:dyDescent="0.25">
      <c r="N2380" s="3"/>
      <c r="AW2380" s="7"/>
      <c r="AX2380" s="7"/>
    </row>
    <row r="2381" spans="14:50" x14ac:dyDescent="0.25">
      <c r="N2381" s="3"/>
      <c r="AW2381" s="7"/>
      <c r="AX2381" s="7"/>
    </row>
    <row r="2382" spans="14:50" x14ac:dyDescent="0.25">
      <c r="N2382" s="3"/>
      <c r="AW2382" s="7"/>
      <c r="AX2382" s="7"/>
    </row>
    <row r="2383" spans="14:50" x14ac:dyDescent="0.25">
      <c r="N2383" s="3"/>
      <c r="AW2383" s="7"/>
      <c r="AX2383" s="7"/>
    </row>
    <row r="2384" spans="14:50" x14ac:dyDescent="0.25">
      <c r="N2384" s="3"/>
      <c r="AW2384" s="7"/>
      <c r="AX2384" s="7"/>
    </row>
    <row r="2385" spans="14:50" x14ac:dyDescent="0.25">
      <c r="N2385" s="3"/>
      <c r="AW2385" s="7"/>
      <c r="AX2385" s="7"/>
    </row>
    <row r="2386" spans="14:50" x14ac:dyDescent="0.25">
      <c r="N2386" s="3"/>
      <c r="AW2386" s="7"/>
      <c r="AX2386" s="7"/>
    </row>
    <row r="2387" spans="14:50" x14ac:dyDescent="0.25">
      <c r="N2387" s="3"/>
      <c r="AW2387" s="7"/>
      <c r="AX2387" s="7"/>
    </row>
    <row r="2388" spans="14:50" x14ac:dyDescent="0.25">
      <c r="N2388" s="3"/>
      <c r="AW2388" s="7"/>
      <c r="AX2388" s="7"/>
    </row>
    <row r="2389" spans="14:50" x14ac:dyDescent="0.25">
      <c r="N2389" s="3"/>
      <c r="AW2389" s="7"/>
      <c r="AX2389" s="7"/>
    </row>
    <row r="2390" spans="14:50" x14ac:dyDescent="0.25">
      <c r="N2390" s="3"/>
      <c r="AW2390" s="7"/>
      <c r="AX2390" s="7"/>
    </row>
    <row r="2391" spans="14:50" x14ac:dyDescent="0.25">
      <c r="N2391" s="3"/>
      <c r="AW2391" s="7"/>
      <c r="AX2391" s="7"/>
    </row>
    <row r="2392" spans="14:50" x14ac:dyDescent="0.25">
      <c r="N2392" s="3"/>
      <c r="AW2392" s="7"/>
      <c r="AX2392" s="7"/>
    </row>
    <row r="2393" spans="14:50" x14ac:dyDescent="0.25">
      <c r="N2393" s="3"/>
      <c r="AW2393" s="7"/>
      <c r="AX2393" s="7"/>
    </row>
    <row r="2394" spans="14:50" x14ac:dyDescent="0.25">
      <c r="N2394" s="3"/>
      <c r="AW2394" s="7"/>
      <c r="AX2394" s="7"/>
    </row>
    <row r="2395" spans="14:50" x14ac:dyDescent="0.25">
      <c r="N2395" s="3"/>
      <c r="AW2395" s="7"/>
      <c r="AX2395" s="7"/>
    </row>
    <row r="2396" spans="14:50" x14ac:dyDescent="0.25">
      <c r="N2396" s="3"/>
      <c r="AW2396" s="7"/>
      <c r="AX2396" s="7"/>
    </row>
    <row r="2397" spans="14:50" x14ac:dyDescent="0.25">
      <c r="N2397" s="3"/>
      <c r="AW2397" s="7"/>
      <c r="AX2397" s="7"/>
    </row>
    <row r="2398" spans="14:50" x14ac:dyDescent="0.25">
      <c r="N2398" s="3"/>
      <c r="AW2398" s="7"/>
      <c r="AX2398" s="7"/>
    </row>
    <row r="2399" spans="14:50" x14ac:dyDescent="0.25">
      <c r="N2399" s="3"/>
      <c r="AW2399" s="7"/>
      <c r="AX2399" s="7"/>
    </row>
    <row r="2400" spans="14:50" x14ac:dyDescent="0.25">
      <c r="N2400" s="3"/>
      <c r="AW2400" s="7"/>
      <c r="AX2400" s="7"/>
    </row>
    <row r="2401" spans="14:50" x14ac:dyDescent="0.25">
      <c r="N2401" s="3"/>
      <c r="AW2401" s="7"/>
      <c r="AX2401" s="7"/>
    </row>
    <row r="2402" spans="14:50" x14ac:dyDescent="0.25">
      <c r="N2402" s="3"/>
      <c r="AW2402" s="7"/>
      <c r="AX2402" s="7"/>
    </row>
    <row r="2403" spans="14:50" x14ac:dyDescent="0.25">
      <c r="N2403" s="3"/>
      <c r="AW2403" s="7"/>
      <c r="AX2403" s="7"/>
    </row>
    <row r="2404" spans="14:50" x14ac:dyDescent="0.25">
      <c r="N2404" s="3"/>
      <c r="AW2404" s="7"/>
      <c r="AX2404" s="7"/>
    </row>
    <row r="2405" spans="14:50" x14ac:dyDescent="0.25">
      <c r="N2405" s="3"/>
      <c r="AW2405" s="7"/>
      <c r="AX2405" s="7"/>
    </row>
    <row r="2406" spans="14:50" x14ac:dyDescent="0.25">
      <c r="N2406" s="3"/>
      <c r="AW2406" s="7"/>
      <c r="AX2406" s="7"/>
    </row>
    <row r="2407" spans="14:50" x14ac:dyDescent="0.25">
      <c r="N2407" s="3"/>
      <c r="AW2407" s="7"/>
      <c r="AX2407" s="7"/>
    </row>
    <row r="2408" spans="14:50" x14ac:dyDescent="0.25">
      <c r="N2408" s="3"/>
      <c r="AW2408" s="7"/>
      <c r="AX2408" s="7"/>
    </row>
    <row r="2409" spans="14:50" x14ac:dyDescent="0.25">
      <c r="N2409" s="3"/>
      <c r="AW2409" s="7"/>
      <c r="AX2409" s="7"/>
    </row>
    <row r="2410" spans="14:50" x14ac:dyDescent="0.25">
      <c r="N2410" s="3"/>
      <c r="AW2410" s="7"/>
      <c r="AX2410" s="7"/>
    </row>
    <row r="2411" spans="14:50" x14ac:dyDescent="0.25">
      <c r="N2411" s="3"/>
      <c r="AW2411" s="7"/>
      <c r="AX2411" s="7"/>
    </row>
    <row r="2412" spans="14:50" x14ac:dyDescent="0.25">
      <c r="N2412" s="3"/>
      <c r="AW2412" s="7"/>
      <c r="AX2412" s="7"/>
    </row>
    <row r="2413" spans="14:50" x14ac:dyDescent="0.25">
      <c r="N2413" s="3"/>
      <c r="AW2413" s="7"/>
      <c r="AX2413" s="7"/>
    </row>
    <row r="2414" spans="14:50" x14ac:dyDescent="0.25">
      <c r="N2414" s="3"/>
      <c r="AW2414" s="7"/>
      <c r="AX2414" s="7"/>
    </row>
    <row r="2415" spans="14:50" x14ac:dyDescent="0.25">
      <c r="N2415" s="3"/>
      <c r="AW2415" s="7"/>
      <c r="AX2415" s="7"/>
    </row>
    <row r="2416" spans="14:50" x14ac:dyDescent="0.25">
      <c r="N2416" s="3"/>
      <c r="AW2416" s="7"/>
      <c r="AX2416" s="7"/>
    </row>
    <row r="2417" spans="14:50" x14ac:dyDescent="0.25">
      <c r="N2417" s="3"/>
      <c r="AW2417" s="7"/>
      <c r="AX2417" s="7"/>
    </row>
    <row r="2418" spans="14:50" x14ac:dyDescent="0.25">
      <c r="N2418" s="3"/>
      <c r="AW2418" s="7"/>
      <c r="AX2418" s="7"/>
    </row>
    <row r="2419" spans="14:50" x14ac:dyDescent="0.25">
      <c r="N2419" s="3"/>
      <c r="AW2419" s="7"/>
      <c r="AX2419" s="7"/>
    </row>
    <row r="2420" spans="14:50" x14ac:dyDescent="0.25">
      <c r="N2420" s="3"/>
      <c r="AW2420" s="7"/>
      <c r="AX2420" s="7"/>
    </row>
    <row r="2421" spans="14:50" x14ac:dyDescent="0.25">
      <c r="N2421" s="3"/>
      <c r="AW2421" s="7"/>
      <c r="AX2421" s="7"/>
    </row>
    <row r="2422" spans="14:50" x14ac:dyDescent="0.25">
      <c r="N2422" s="3"/>
      <c r="AW2422" s="7"/>
      <c r="AX2422" s="7"/>
    </row>
    <row r="2423" spans="14:50" x14ac:dyDescent="0.25">
      <c r="N2423" s="3"/>
      <c r="AW2423" s="7"/>
      <c r="AX2423" s="7"/>
    </row>
    <row r="2424" spans="14:50" x14ac:dyDescent="0.25">
      <c r="N2424" s="3"/>
      <c r="AW2424" s="7"/>
      <c r="AX2424" s="7"/>
    </row>
    <row r="2425" spans="14:50" x14ac:dyDescent="0.25">
      <c r="N2425" s="3"/>
      <c r="AW2425" s="7"/>
      <c r="AX2425" s="7"/>
    </row>
    <row r="2426" spans="14:50" x14ac:dyDescent="0.25">
      <c r="N2426" s="3"/>
      <c r="AW2426" s="7"/>
      <c r="AX2426" s="7"/>
    </row>
    <row r="2427" spans="14:50" x14ac:dyDescent="0.25">
      <c r="N2427" s="3"/>
      <c r="AW2427" s="7"/>
      <c r="AX2427" s="7"/>
    </row>
    <row r="2428" spans="14:50" x14ac:dyDescent="0.25">
      <c r="N2428" s="3"/>
      <c r="AW2428" s="7"/>
      <c r="AX2428" s="7"/>
    </row>
    <row r="2429" spans="14:50" x14ac:dyDescent="0.25">
      <c r="N2429" s="3"/>
      <c r="AW2429" s="7"/>
      <c r="AX2429" s="7"/>
    </row>
    <row r="2430" spans="14:50" x14ac:dyDescent="0.25">
      <c r="N2430" s="3"/>
      <c r="AW2430" s="7"/>
      <c r="AX2430" s="7"/>
    </row>
    <row r="2431" spans="14:50" x14ac:dyDescent="0.25">
      <c r="N2431" s="3"/>
      <c r="AW2431" s="7"/>
      <c r="AX2431" s="7"/>
    </row>
    <row r="2432" spans="14:50" x14ac:dyDescent="0.25">
      <c r="N2432" s="3"/>
      <c r="AW2432" s="7"/>
      <c r="AX2432" s="7"/>
    </row>
    <row r="2433" spans="14:50" x14ac:dyDescent="0.25">
      <c r="N2433" s="3"/>
      <c r="AW2433" s="7"/>
      <c r="AX2433" s="7"/>
    </row>
    <row r="2434" spans="14:50" x14ac:dyDescent="0.25">
      <c r="N2434" s="3"/>
      <c r="AW2434" s="7"/>
      <c r="AX2434" s="7"/>
    </row>
    <row r="2435" spans="14:50" x14ac:dyDescent="0.25">
      <c r="N2435" s="3"/>
      <c r="AW2435" s="7"/>
      <c r="AX2435" s="7"/>
    </row>
    <row r="2436" spans="14:50" x14ac:dyDescent="0.25">
      <c r="N2436" s="3"/>
      <c r="AW2436" s="7"/>
      <c r="AX2436" s="7"/>
    </row>
    <row r="2437" spans="14:50" x14ac:dyDescent="0.25">
      <c r="N2437" s="3"/>
      <c r="AW2437" s="7"/>
      <c r="AX2437" s="7"/>
    </row>
    <row r="2438" spans="14:50" x14ac:dyDescent="0.25">
      <c r="N2438" s="3"/>
      <c r="AW2438" s="7"/>
      <c r="AX2438" s="7"/>
    </row>
    <row r="2439" spans="14:50" x14ac:dyDescent="0.25">
      <c r="N2439" s="3"/>
      <c r="AW2439" s="7"/>
      <c r="AX2439" s="7"/>
    </row>
    <row r="2440" spans="14:50" x14ac:dyDescent="0.25">
      <c r="N2440" s="3"/>
      <c r="AW2440" s="7"/>
      <c r="AX2440" s="7"/>
    </row>
    <row r="2441" spans="14:50" x14ac:dyDescent="0.25">
      <c r="N2441" s="3"/>
      <c r="AW2441" s="7"/>
      <c r="AX2441" s="7"/>
    </row>
    <row r="2442" spans="14:50" x14ac:dyDescent="0.25">
      <c r="N2442" s="3"/>
      <c r="AW2442" s="7"/>
      <c r="AX2442" s="7"/>
    </row>
    <row r="2443" spans="14:50" x14ac:dyDescent="0.25">
      <c r="N2443" s="3"/>
      <c r="AW2443" s="7"/>
      <c r="AX2443" s="7"/>
    </row>
    <row r="2444" spans="14:50" x14ac:dyDescent="0.25">
      <c r="N2444" s="3"/>
      <c r="AW2444" s="7"/>
      <c r="AX2444" s="7"/>
    </row>
    <row r="2445" spans="14:50" x14ac:dyDescent="0.25">
      <c r="N2445" s="3"/>
      <c r="AW2445" s="7"/>
      <c r="AX2445" s="7"/>
    </row>
    <row r="2446" spans="14:50" x14ac:dyDescent="0.25">
      <c r="N2446" s="3"/>
      <c r="AW2446" s="7"/>
      <c r="AX2446" s="7"/>
    </row>
    <row r="2447" spans="14:50" x14ac:dyDescent="0.25">
      <c r="N2447" s="3"/>
      <c r="AW2447" s="7"/>
      <c r="AX2447" s="7"/>
    </row>
    <row r="2448" spans="14:50" x14ac:dyDescent="0.25">
      <c r="N2448" s="3"/>
      <c r="AW2448" s="7"/>
      <c r="AX2448" s="7"/>
    </row>
    <row r="2449" spans="14:50" x14ac:dyDescent="0.25">
      <c r="N2449" s="3"/>
      <c r="AW2449" s="7"/>
      <c r="AX2449" s="7"/>
    </row>
    <row r="2450" spans="14:50" x14ac:dyDescent="0.25">
      <c r="N2450" s="3"/>
      <c r="AW2450" s="7"/>
      <c r="AX2450" s="7"/>
    </row>
    <row r="2451" spans="14:50" x14ac:dyDescent="0.25">
      <c r="N2451" s="3"/>
      <c r="AW2451" s="7"/>
      <c r="AX2451" s="7"/>
    </row>
    <row r="2452" spans="14:50" x14ac:dyDescent="0.25">
      <c r="N2452" s="3"/>
      <c r="AW2452" s="7"/>
      <c r="AX2452" s="7"/>
    </row>
    <row r="2453" spans="14:50" x14ac:dyDescent="0.25">
      <c r="N2453" s="3"/>
      <c r="AW2453" s="7"/>
      <c r="AX2453" s="7"/>
    </row>
    <row r="2454" spans="14:50" x14ac:dyDescent="0.25">
      <c r="N2454" s="3"/>
      <c r="AW2454" s="7"/>
      <c r="AX2454" s="7"/>
    </row>
    <row r="2455" spans="14:50" x14ac:dyDescent="0.25">
      <c r="N2455" s="3"/>
      <c r="AW2455" s="7"/>
      <c r="AX2455" s="7"/>
    </row>
    <row r="2456" spans="14:50" x14ac:dyDescent="0.25">
      <c r="N2456" s="3"/>
      <c r="AW2456" s="7"/>
      <c r="AX2456" s="7"/>
    </row>
    <row r="2457" spans="14:50" x14ac:dyDescent="0.25">
      <c r="N2457" s="3"/>
      <c r="AW2457" s="7"/>
      <c r="AX2457" s="7"/>
    </row>
    <row r="2458" spans="14:50" x14ac:dyDescent="0.25">
      <c r="N2458" s="3"/>
      <c r="AW2458" s="7"/>
      <c r="AX2458" s="7"/>
    </row>
    <row r="2459" spans="14:50" x14ac:dyDescent="0.25">
      <c r="N2459" s="3"/>
      <c r="AW2459" s="7"/>
      <c r="AX2459" s="7"/>
    </row>
    <row r="2460" spans="14:50" x14ac:dyDescent="0.25">
      <c r="N2460" s="3"/>
      <c r="AW2460" s="7"/>
      <c r="AX2460" s="7"/>
    </row>
    <row r="2461" spans="14:50" x14ac:dyDescent="0.25">
      <c r="N2461" s="3"/>
      <c r="AW2461" s="7"/>
      <c r="AX2461" s="7"/>
    </row>
    <row r="2462" spans="14:50" x14ac:dyDescent="0.25">
      <c r="N2462" s="3"/>
      <c r="AW2462" s="7"/>
      <c r="AX2462" s="7"/>
    </row>
    <row r="2463" spans="14:50" x14ac:dyDescent="0.25">
      <c r="N2463" s="3"/>
      <c r="AW2463" s="7"/>
      <c r="AX2463" s="7"/>
    </row>
    <row r="2464" spans="14:50" x14ac:dyDescent="0.25">
      <c r="N2464" s="3"/>
      <c r="AW2464" s="7"/>
      <c r="AX2464" s="7"/>
    </row>
    <row r="2465" spans="14:50" x14ac:dyDescent="0.25">
      <c r="N2465" s="3"/>
      <c r="AW2465" s="7"/>
      <c r="AX2465" s="7"/>
    </row>
    <row r="2466" spans="14:50" x14ac:dyDescent="0.25">
      <c r="N2466" s="3"/>
      <c r="AW2466" s="7"/>
      <c r="AX2466" s="7"/>
    </row>
    <row r="2467" spans="14:50" x14ac:dyDescent="0.25">
      <c r="N2467" s="3"/>
      <c r="AW2467" s="7"/>
      <c r="AX2467" s="7"/>
    </row>
    <row r="2468" spans="14:50" x14ac:dyDescent="0.25">
      <c r="N2468" s="3"/>
      <c r="AW2468" s="7"/>
      <c r="AX2468" s="7"/>
    </row>
    <row r="2469" spans="14:50" x14ac:dyDescent="0.25">
      <c r="N2469" s="3"/>
      <c r="AW2469" s="7"/>
      <c r="AX2469" s="7"/>
    </row>
    <row r="2470" spans="14:50" x14ac:dyDescent="0.25">
      <c r="N2470" s="3"/>
      <c r="AW2470" s="7"/>
      <c r="AX2470" s="7"/>
    </row>
    <row r="2471" spans="14:50" x14ac:dyDescent="0.25">
      <c r="N2471" s="3"/>
      <c r="AW2471" s="7"/>
      <c r="AX2471" s="7"/>
    </row>
    <row r="2472" spans="14:50" x14ac:dyDescent="0.25">
      <c r="N2472" s="3"/>
      <c r="AW2472" s="7"/>
      <c r="AX2472" s="7"/>
    </row>
    <row r="2473" spans="14:50" x14ac:dyDescent="0.25">
      <c r="N2473" s="3"/>
      <c r="AW2473" s="7"/>
      <c r="AX2473" s="7"/>
    </row>
    <row r="2474" spans="14:50" x14ac:dyDescent="0.25">
      <c r="N2474" s="3"/>
      <c r="AW2474" s="7"/>
      <c r="AX2474" s="7"/>
    </row>
    <row r="2475" spans="14:50" x14ac:dyDescent="0.25">
      <c r="N2475" s="3"/>
      <c r="AW2475" s="7"/>
      <c r="AX2475" s="7"/>
    </row>
    <row r="2476" spans="14:50" x14ac:dyDescent="0.25">
      <c r="N2476" s="3"/>
      <c r="AW2476" s="7"/>
      <c r="AX2476" s="7"/>
    </row>
    <row r="2477" spans="14:50" x14ac:dyDescent="0.25">
      <c r="N2477" s="3"/>
      <c r="AW2477" s="7"/>
      <c r="AX2477" s="7"/>
    </row>
    <row r="2478" spans="14:50" x14ac:dyDescent="0.25">
      <c r="N2478" s="3"/>
      <c r="AW2478" s="7"/>
      <c r="AX2478" s="7"/>
    </row>
    <row r="2479" spans="14:50" x14ac:dyDescent="0.25">
      <c r="N2479" s="3"/>
      <c r="AW2479" s="7"/>
      <c r="AX2479" s="7"/>
    </row>
    <row r="2480" spans="14:50" x14ac:dyDescent="0.25">
      <c r="N2480" s="3"/>
      <c r="AW2480" s="7"/>
      <c r="AX2480" s="7"/>
    </row>
    <row r="2481" spans="14:50" x14ac:dyDescent="0.25">
      <c r="N2481" s="3"/>
      <c r="AW2481" s="7"/>
      <c r="AX2481" s="7"/>
    </row>
    <row r="2482" spans="14:50" x14ac:dyDescent="0.25">
      <c r="N2482" s="3"/>
      <c r="AW2482" s="7"/>
      <c r="AX2482" s="7"/>
    </row>
    <row r="2483" spans="14:50" x14ac:dyDescent="0.25">
      <c r="N2483" s="3"/>
      <c r="AW2483" s="7"/>
      <c r="AX2483" s="7"/>
    </row>
    <row r="2484" spans="14:50" x14ac:dyDescent="0.25">
      <c r="N2484" s="3"/>
      <c r="AW2484" s="7"/>
      <c r="AX2484" s="7"/>
    </row>
    <row r="2485" spans="14:50" x14ac:dyDescent="0.25">
      <c r="N2485" s="3"/>
      <c r="AW2485" s="7"/>
      <c r="AX2485" s="7"/>
    </row>
    <row r="2486" spans="14:50" x14ac:dyDescent="0.25">
      <c r="N2486" s="3"/>
      <c r="AW2486" s="7"/>
      <c r="AX2486" s="7"/>
    </row>
    <row r="2487" spans="14:50" x14ac:dyDescent="0.25">
      <c r="N2487" s="3"/>
      <c r="AW2487" s="7"/>
      <c r="AX2487" s="7"/>
    </row>
    <row r="2488" spans="14:50" x14ac:dyDescent="0.25">
      <c r="N2488" s="3"/>
      <c r="AW2488" s="7"/>
      <c r="AX2488" s="7"/>
    </row>
    <row r="2489" spans="14:50" x14ac:dyDescent="0.25">
      <c r="N2489" s="3"/>
      <c r="AW2489" s="7"/>
      <c r="AX2489" s="7"/>
    </row>
    <row r="2490" spans="14:50" x14ac:dyDescent="0.25">
      <c r="N2490" s="3"/>
      <c r="AW2490" s="7"/>
      <c r="AX2490" s="7"/>
    </row>
    <row r="2491" spans="14:50" x14ac:dyDescent="0.25">
      <c r="N2491" s="3"/>
      <c r="AW2491" s="7"/>
      <c r="AX2491" s="7"/>
    </row>
    <row r="2492" spans="14:50" x14ac:dyDescent="0.25">
      <c r="N2492" s="3"/>
      <c r="AW2492" s="7"/>
      <c r="AX2492" s="7"/>
    </row>
    <row r="2493" spans="14:50" x14ac:dyDescent="0.25">
      <c r="N2493" s="3"/>
      <c r="AW2493" s="7"/>
      <c r="AX2493" s="7"/>
    </row>
    <row r="2494" spans="14:50" x14ac:dyDescent="0.25">
      <c r="N2494" s="3"/>
      <c r="AW2494" s="7"/>
      <c r="AX2494" s="7"/>
    </row>
    <row r="2495" spans="14:50" x14ac:dyDescent="0.25">
      <c r="N2495" s="3"/>
      <c r="AW2495" s="7"/>
      <c r="AX2495" s="7"/>
    </row>
    <row r="2496" spans="14:50" x14ac:dyDescent="0.25">
      <c r="N2496" s="3"/>
      <c r="AW2496" s="7"/>
      <c r="AX2496" s="7"/>
    </row>
    <row r="2497" spans="14:50" x14ac:dyDescent="0.25">
      <c r="N2497" s="3"/>
      <c r="AW2497" s="7"/>
      <c r="AX2497" s="7"/>
    </row>
    <row r="2498" spans="14:50" x14ac:dyDescent="0.25">
      <c r="N2498" s="3"/>
      <c r="AW2498" s="7"/>
      <c r="AX2498" s="7"/>
    </row>
    <row r="2499" spans="14:50" x14ac:dyDescent="0.25">
      <c r="N2499" s="3"/>
      <c r="AW2499" s="7"/>
      <c r="AX2499" s="7"/>
    </row>
    <row r="2500" spans="14:50" x14ac:dyDescent="0.25">
      <c r="N2500" s="3"/>
      <c r="AW2500" s="7"/>
      <c r="AX2500" s="7"/>
    </row>
    <row r="2501" spans="14:50" x14ac:dyDescent="0.25">
      <c r="N2501" s="3"/>
      <c r="AW2501" s="7"/>
      <c r="AX2501" s="7"/>
    </row>
    <row r="2502" spans="14:50" x14ac:dyDescent="0.25">
      <c r="N2502" s="3"/>
      <c r="AW2502" s="7"/>
      <c r="AX2502" s="7"/>
    </row>
    <row r="2503" spans="14:50" x14ac:dyDescent="0.25">
      <c r="N2503" s="3"/>
      <c r="AW2503" s="7"/>
      <c r="AX2503" s="7"/>
    </row>
    <row r="2504" spans="14:50" x14ac:dyDescent="0.25">
      <c r="N2504" s="3"/>
      <c r="AW2504" s="7"/>
      <c r="AX2504" s="7"/>
    </row>
    <row r="2505" spans="14:50" x14ac:dyDescent="0.25">
      <c r="N2505" s="3"/>
      <c r="AW2505" s="7"/>
      <c r="AX2505" s="7"/>
    </row>
    <row r="2506" spans="14:50" x14ac:dyDescent="0.25">
      <c r="N2506" s="3"/>
      <c r="AW2506" s="7"/>
      <c r="AX2506" s="7"/>
    </row>
    <row r="2507" spans="14:50" x14ac:dyDescent="0.25">
      <c r="N2507" s="3"/>
      <c r="AW2507" s="7"/>
      <c r="AX2507" s="7"/>
    </row>
    <row r="2508" spans="14:50" x14ac:dyDescent="0.25">
      <c r="N2508" s="3"/>
      <c r="AW2508" s="7"/>
      <c r="AX2508" s="7"/>
    </row>
    <row r="2509" spans="14:50" x14ac:dyDescent="0.25">
      <c r="N2509" s="3"/>
      <c r="AW2509" s="7"/>
      <c r="AX2509" s="7"/>
    </row>
    <row r="2510" spans="14:50" x14ac:dyDescent="0.25">
      <c r="N2510" s="3"/>
      <c r="AW2510" s="7"/>
      <c r="AX2510" s="7"/>
    </row>
    <row r="2511" spans="14:50" x14ac:dyDescent="0.25">
      <c r="N2511" s="3"/>
      <c r="AW2511" s="7"/>
      <c r="AX2511" s="7"/>
    </row>
    <row r="2512" spans="14:50" x14ac:dyDescent="0.25">
      <c r="N2512" s="3"/>
      <c r="AW2512" s="7"/>
      <c r="AX2512" s="7"/>
    </row>
    <row r="2513" spans="14:50" x14ac:dyDescent="0.25">
      <c r="N2513" s="3"/>
      <c r="AW2513" s="7"/>
      <c r="AX2513" s="7"/>
    </row>
    <row r="2514" spans="14:50" x14ac:dyDescent="0.25">
      <c r="N2514" s="3"/>
      <c r="AW2514" s="7"/>
      <c r="AX2514" s="7"/>
    </row>
    <row r="2515" spans="14:50" x14ac:dyDescent="0.25">
      <c r="N2515" s="3"/>
      <c r="AW2515" s="7"/>
      <c r="AX2515" s="7"/>
    </row>
    <row r="2516" spans="14:50" x14ac:dyDescent="0.25">
      <c r="N2516" s="3"/>
      <c r="AW2516" s="7"/>
      <c r="AX2516" s="7"/>
    </row>
    <row r="2517" spans="14:50" x14ac:dyDescent="0.25">
      <c r="N2517" s="3"/>
      <c r="AW2517" s="7"/>
      <c r="AX2517" s="7"/>
    </row>
    <row r="2518" spans="14:50" x14ac:dyDescent="0.25">
      <c r="N2518" s="3"/>
      <c r="AW2518" s="7"/>
      <c r="AX2518" s="7"/>
    </row>
    <row r="2519" spans="14:50" x14ac:dyDescent="0.25">
      <c r="N2519" s="3"/>
      <c r="AW2519" s="7"/>
      <c r="AX2519" s="7"/>
    </row>
    <row r="2520" spans="14:50" x14ac:dyDescent="0.25">
      <c r="N2520" s="3"/>
      <c r="AW2520" s="7"/>
      <c r="AX2520" s="7"/>
    </row>
    <row r="2521" spans="14:50" x14ac:dyDescent="0.25">
      <c r="N2521" s="3"/>
      <c r="AW2521" s="7"/>
      <c r="AX2521" s="7"/>
    </row>
    <row r="2522" spans="14:50" x14ac:dyDescent="0.25">
      <c r="N2522" s="3"/>
      <c r="AW2522" s="7"/>
      <c r="AX2522" s="7"/>
    </row>
    <row r="2523" spans="14:50" x14ac:dyDescent="0.25">
      <c r="N2523" s="3"/>
      <c r="AW2523" s="7"/>
      <c r="AX2523" s="7"/>
    </row>
    <row r="2524" spans="14:50" x14ac:dyDescent="0.25">
      <c r="N2524" s="3"/>
      <c r="AW2524" s="7"/>
      <c r="AX2524" s="7"/>
    </row>
    <row r="2525" spans="14:50" x14ac:dyDescent="0.25">
      <c r="N2525" s="3"/>
      <c r="AW2525" s="7"/>
      <c r="AX2525" s="7"/>
    </row>
    <row r="2526" spans="14:50" x14ac:dyDescent="0.25">
      <c r="N2526" s="3"/>
      <c r="AW2526" s="7"/>
      <c r="AX2526" s="7"/>
    </row>
    <row r="2527" spans="14:50" x14ac:dyDescent="0.25">
      <c r="N2527" s="3"/>
      <c r="AW2527" s="7"/>
      <c r="AX2527" s="7"/>
    </row>
    <row r="2528" spans="14:50" x14ac:dyDescent="0.25">
      <c r="N2528" s="3"/>
      <c r="AW2528" s="7"/>
      <c r="AX2528" s="7"/>
    </row>
    <row r="2529" spans="14:50" x14ac:dyDescent="0.25">
      <c r="N2529" s="3"/>
      <c r="AW2529" s="7"/>
      <c r="AX2529" s="7"/>
    </row>
    <row r="2530" spans="14:50" x14ac:dyDescent="0.25">
      <c r="N2530" s="3"/>
      <c r="AW2530" s="7"/>
      <c r="AX2530" s="7"/>
    </row>
    <row r="2531" spans="14:50" x14ac:dyDescent="0.25">
      <c r="N2531" s="3"/>
      <c r="AW2531" s="7"/>
      <c r="AX2531" s="7"/>
    </row>
    <row r="2532" spans="14:50" x14ac:dyDescent="0.25">
      <c r="N2532" s="3"/>
      <c r="AW2532" s="7"/>
      <c r="AX2532" s="7"/>
    </row>
    <row r="2533" spans="14:50" x14ac:dyDescent="0.25">
      <c r="N2533" s="3"/>
      <c r="AW2533" s="7"/>
      <c r="AX2533" s="7"/>
    </row>
    <row r="2534" spans="14:50" x14ac:dyDescent="0.25">
      <c r="N2534" s="3"/>
      <c r="AW2534" s="7"/>
      <c r="AX2534" s="7"/>
    </row>
    <row r="2535" spans="14:50" x14ac:dyDescent="0.25">
      <c r="N2535" s="3"/>
      <c r="AW2535" s="7"/>
      <c r="AX2535" s="7"/>
    </row>
    <row r="2536" spans="14:50" x14ac:dyDescent="0.25">
      <c r="N2536" s="3"/>
      <c r="AW2536" s="7"/>
      <c r="AX2536" s="7"/>
    </row>
    <row r="2537" spans="14:50" x14ac:dyDescent="0.25">
      <c r="N2537" s="3"/>
      <c r="AW2537" s="7"/>
      <c r="AX2537" s="7"/>
    </row>
    <row r="2538" spans="14:50" x14ac:dyDescent="0.25">
      <c r="N2538" s="3"/>
      <c r="AW2538" s="7"/>
      <c r="AX2538" s="7"/>
    </row>
    <row r="2539" spans="14:50" x14ac:dyDescent="0.25">
      <c r="N2539" s="3"/>
      <c r="AW2539" s="7"/>
      <c r="AX2539" s="7"/>
    </row>
    <row r="2540" spans="14:50" x14ac:dyDescent="0.25">
      <c r="N2540" s="3"/>
      <c r="AW2540" s="7"/>
      <c r="AX2540" s="7"/>
    </row>
    <row r="2541" spans="14:50" x14ac:dyDescent="0.25">
      <c r="N2541" s="3"/>
      <c r="AW2541" s="7"/>
      <c r="AX2541" s="7"/>
    </row>
    <row r="2542" spans="14:50" x14ac:dyDescent="0.25">
      <c r="N2542" s="3"/>
      <c r="AW2542" s="7"/>
      <c r="AX2542" s="7"/>
    </row>
    <row r="2543" spans="14:50" x14ac:dyDescent="0.25">
      <c r="N2543" s="3"/>
      <c r="AW2543" s="7"/>
      <c r="AX2543" s="7"/>
    </row>
    <row r="2544" spans="14:50" x14ac:dyDescent="0.25">
      <c r="N2544" s="3"/>
      <c r="AW2544" s="7"/>
      <c r="AX2544" s="7"/>
    </row>
    <row r="2545" spans="14:50" x14ac:dyDescent="0.25">
      <c r="N2545" s="3"/>
      <c r="AW2545" s="7"/>
      <c r="AX2545" s="7"/>
    </row>
    <row r="2546" spans="14:50" x14ac:dyDescent="0.25">
      <c r="N2546" s="3"/>
      <c r="AW2546" s="7"/>
      <c r="AX2546" s="7"/>
    </row>
    <row r="2547" spans="14:50" x14ac:dyDescent="0.25">
      <c r="N2547" s="3"/>
      <c r="AW2547" s="7"/>
      <c r="AX2547" s="7"/>
    </row>
    <row r="2548" spans="14:50" x14ac:dyDescent="0.25">
      <c r="N2548" s="3"/>
      <c r="AW2548" s="7"/>
      <c r="AX2548" s="7"/>
    </row>
    <row r="2549" spans="14:50" x14ac:dyDescent="0.25">
      <c r="N2549" s="3"/>
      <c r="AW2549" s="7"/>
      <c r="AX2549" s="7"/>
    </row>
    <row r="2550" spans="14:50" x14ac:dyDescent="0.25">
      <c r="N2550" s="3"/>
      <c r="AW2550" s="7"/>
      <c r="AX2550" s="7"/>
    </row>
    <row r="2551" spans="14:50" x14ac:dyDescent="0.25">
      <c r="N2551" s="3"/>
      <c r="AW2551" s="7"/>
      <c r="AX2551" s="7"/>
    </row>
    <row r="2552" spans="14:50" x14ac:dyDescent="0.25">
      <c r="N2552" s="3"/>
      <c r="AW2552" s="7"/>
      <c r="AX2552" s="7"/>
    </row>
    <row r="2553" spans="14:50" x14ac:dyDescent="0.25">
      <c r="N2553" s="3"/>
      <c r="AW2553" s="7"/>
      <c r="AX2553" s="7"/>
    </row>
    <row r="2554" spans="14:50" x14ac:dyDescent="0.25">
      <c r="N2554" s="3"/>
      <c r="AW2554" s="7"/>
      <c r="AX2554" s="7"/>
    </row>
    <row r="2555" spans="14:50" x14ac:dyDescent="0.25">
      <c r="N2555" s="3"/>
      <c r="AW2555" s="7"/>
      <c r="AX2555" s="7"/>
    </row>
    <row r="2556" spans="14:50" x14ac:dyDescent="0.25">
      <c r="N2556" s="3"/>
      <c r="AW2556" s="7"/>
      <c r="AX2556" s="7"/>
    </row>
    <row r="2557" spans="14:50" x14ac:dyDescent="0.25">
      <c r="N2557" s="3"/>
      <c r="AW2557" s="7"/>
      <c r="AX2557" s="7"/>
    </row>
    <row r="2558" spans="14:50" x14ac:dyDescent="0.25">
      <c r="N2558" s="3"/>
      <c r="AW2558" s="7"/>
      <c r="AX2558" s="7"/>
    </row>
    <row r="2559" spans="14:50" x14ac:dyDescent="0.25">
      <c r="N2559" s="3"/>
      <c r="AW2559" s="7"/>
      <c r="AX2559" s="7"/>
    </row>
    <row r="2560" spans="14:50" x14ac:dyDescent="0.25">
      <c r="N2560" s="3"/>
      <c r="AW2560" s="7"/>
      <c r="AX2560" s="7"/>
    </row>
    <row r="2561" spans="14:50" x14ac:dyDescent="0.25">
      <c r="N2561" s="3"/>
      <c r="AW2561" s="7"/>
      <c r="AX2561" s="7"/>
    </row>
    <row r="2562" spans="14:50" x14ac:dyDescent="0.25">
      <c r="N2562" s="3"/>
      <c r="AW2562" s="7"/>
      <c r="AX2562" s="7"/>
    </row>
    <row r="2563" spans="14:50" x14ac:dyDescent="0.25">
      <c r="N2563" s="3"/>
      <c r="AW2563" s="7"/>
      <c r="AX2563" s="7"/>
    </row>
    <row r="2564" spans="14:50" x14ac:dyDescent="0.25">
      <c r="N2564" s="3"/>
      <c r="AW2564" s="7"/>
      <c r="AX2564" s="7"/>
    </row>
    <row r="2565" spans="14:50" x14ac:dyDescent="0.25">
      <c r="N2565" s="3"/>
      <c r="AW2565" s="7"/>
      <c r="AX2565" s="7"/>
    </row>
    <row r="2566" spans="14:50" x14ac:dyDescent="0.25">
      <c r="N2566" s="3"/>
      <c r="AW2566" s="7"/>
      <c r="AX2566" s="7"/>
    </row>
    <row r="2567" spans="14:50" x14ac:dyDescent="0.25">
      <c r="N2567" s="3"/>
      <c r="AW2567" s="7"/>
      <c r="AX2567" s="7"/>
    </row>
    <row r="2568" spans="14:50" x14ac:dyDescent="0.25">
      <c r="N2568" s="3"/>
      <c r="AW2568" s="7"/>
      <c r="AX2568" s="7"/>
    </row>
    <row r="2569" spans="14:50" x14ac:dyDescent="0.25">
      <c r="N2569" s="3"/>
      <c r="AW2569" s="7"/>
      <c r="AX2569" s="7"/>
    </row>
    <row r="2570" spans="14:50" x14ac:dyDescent="0.25">
      <c r="N2570" s="3"/>
      <c r="AW2570" s="7"/>
      <c r="AX2570" s="7"/>
    </row>
    <row r="2571" spans="14:50" x14ac:dyDescent="0.25">
      <c r="N2571" s="3"/>
      <c r="AW2571" s="7"/>
      <c r="AX2571" s="7"/>
    </row>
    <row r="2572" spans="14:50" x14ac:dyDescent="0.25">
      <c r="N2572" s="3"/>
      <c r="AW2572" s="7"/>
      <c r="AX2572" s="7"/>
    </row>
    <row r="2573" spans="14:50" x14ac:dyDescent="0.25">
      <c r="N2573" s="3"/>
      <c r="AW2573" s="7"/>
      <c r="AX2573" s="7"/>
    </row>
    <row r="2574" spans="14:50" x14ac:dyDescent="0.25">
      <c r="N2574" s="3"/>
      <c r="AW2574" s="7"/>
      <c r="AX2574" s="7"/>
    </row>
    <row r="2575" spans="14:50" x14ac:dyDescent="0.25">
      <c r="N2575" s="3"/>
      <c r="AW2575" s="7"/>
      <c r="AX2575" s="7"/>
    </row>
    <row r="2576" spans="14:50" x14ac:dyDescent="0.25">
      <c r="N2576" s="3"/>
      <c r="AW2576" s="7"/>
      <c r="AX2576" s="7"/>
    </row>
    <row r="2577" spans="14:50" x14ac:dyDescent="0.25">
      <c r="N2577" s="3"/>
      <c r="AW2577" s="7"/>
      <c r="AX2577" s="7"/>
    </row>
    <row r="2578" spans="14:50" x14ac:dyDescent="0.25">
      <c r="N2578" s="3"/>
      <c r="AW2578" s="7"/>
      <c r="AX2578" s="7"/>
    </row>
    <row r="2579" spans="14:50" x14ac:dyDescent="0.25">
      <c r="N2579" s="3"/>
      <c r="AW2579" s="7"/>
      <c r="AX2579" s="7"/>
    </row>
    <row r="2580" spans="14:50" x14ac:dyDescent="0.25">
      <c r="N2580" s="3"/>
      <c r="AW2580" s="7"/>
      <c r="AX2580" s="7"/>
    </row>
    <row r="2581" spans="14:50" x14ac:dyDescent="0.25">
      <c r="N2581" s="3"/>
      <c r="AW2581" s="7"/>
      <c r="AX2581" s="7"/>
    </row>
    <row r="2582" spans="14:50" x14ac:dyDescent="0.25">
      <c r="N2582" s="3"/>
      <c r="AW2582" s="7"/>
      <c r="AX2582" s="7"/>
    </row>
    <row r="2583" spans="14:50" x14ac:dyDescent="0.25">
      <c r="N2583" s="3"/>
      <c r="AW2583" s="7"/>
      <c r="AX2583" s="7"/>
    </row>
    <row r="2584" spans="14:50" x14ac:dyDescent="0.25">
      <c r="N2584" s="3"/>
      <c r="AW2584" s="7"/>
      <c r="AX2584" s="7"/>
    </row>
    <row r="2585" spans="14:50" x14ac:dyDescent="0.25">
      <c r="N2585" s="3"/>
      <c r="AW2585" s="7"/>
      <c r="AX2585" s="7"/>
    </row>
    <row r="2586" spans="14:50" x14ac:dyDescent="0.25">
      <c r="N2586" s="3"/>
      <c r="AW2586" s="7"/>
      <c r="AX2586" s="7"/>
    </row>
    <row r="2587" spans="14:50" x14ac:dyDescent="0.25">
      <c r="N2587" s="3"/>
      <c r="AW2587" s="7"/>
      <c r="AX2587" s="7"/>
    </row>
    <row r="2588" spans="14:50" x14ac:dyDescent="0.25">
      <c r="N2588" s="3"/>
      <c r="AW2588" s="7"/>
      <c r="AX2588" s="7"/>
    </row>
    <row r="2589" spans="14:50" x14ac:dyDescent="0.25">
      <c r="N2589" s="3"/>
      <c r="AW2589" s="7"/>
      <c r="AX2589" s="7"/>
    </row>
    <row r="2590" spans="14:50" x14ac:dyDescent="0.25">
      <c r="N2590" s="3"/>
      <c r="AW2590" s="7"/>
      <c r="AX2590" s="7"/>
    </row>
    <row r="2591" spans="14:50" x14ac:dyDescent="0.25">
      <c r="N2591" s="3"/>
      <c r="AW2591" s="7"/>
      <c r="AX2591" s="7"/>
    </row>
    <row r="2592" spans="14:50" x14ac:dyDescent="0.25">
      <c r="N2592" s="3"/>
      <c r="AW2592" s="7"/>
      <c r="AX2592" s="7"/>
    </row>
    <row r="2593" spans="14:50" x14ac:dyDescent="0.25">
      <c r="N2593" s="3"/>
      <c r="AW2593" s="7"/>
      <c r="AX2593" s="7"/>
    </row>
    <row r="2594" spans="14:50" x14ac:dyDescent="0.25">
      <c r="N2594" s="3"/>
      <c r="AW2594" s="7"/>
      <c r="AX2594" s="7"/>
    </row>
    <row r="2595" spans="14:50" x14ac:dyDescent="0.25">
      <c r="N2595" s="3"/>
      <c r="AW2595" s="7"/>
      <c r="AX2595" s="7"/>
    </row>
    <row r="2596" spans="14:50" x14ac:dyDescent="0.25">
      <c r="N2596" s="3"/>
      <c r="AW2596" s="7"/>
      <c r="AX2596" s="7"/>
    </row>
    <row r="2597" spans="14:50" x14ac:dyDescent="0.25">
      <c r="N2597" s="3"/>
      <c r="AW2597" s="7"/>
      <c r="AX2597" s="7"/>
    </row>
    <row r="2598" spans="14:50" x14ac:dyDescent="0.25">
      <c r="N2598" s="3"/>
      <c r="AW2598" s="7"/>
      <c r="AX2598" s="7"/>
    </row>
    <row r="2599" spans="14:50" x14ac:dyDescent="0.25">
      <c r="N2599" s="3"/>
      <c r="AW2599" s="7"/>
      <c r="AX2599" s="7"/>
    </row>
    <row r="2600" spans="14:50" x14ac:dyDescent="0.25">
      <c r="N2600" s="3"/>
      <c r="AW2600" s="7"/>
      <c r="AX2600" s="7"/>
    </row>
    <row r="2601" spans="14:50" x14ac:dyDescent="0.25">
      <c r="N2601" s="3"/>
      <c r="AW2601" s="7"/>
      <c r="AX2601" s="7"/>
    </row>
    <row r="2602" spans="14:50" x14ac:dyDescent="0.25">
      <c r="N2602" s="3"/>
      <c r="AW2602" s="7"/>
      <c r="AX2602" s="7"/>
    </row>
    <row r="2603" spans="14:50" x14ac:dyDescent="0.25">
      <c r="N2603" s="3"/>
      <c r="AW2603" s="7"/>
      <c r="AX2603" s="7"/>
    </row>
    <row r="2604" spans="14:50" x14ac:dyDescent="0.25">
      <c r="N2604" s="3"/>
      <c r="AW2604" s="7"/>
      <c r="AX2604" s="7"/>
    </row>
    <row r="2605" spans="14:50" x14ac:dyDescent="0.25">
      <c r="N2605" s="3"/>
      <c r="AW2605" s="7"/>
      <c r="AX2605" s="7"/>
    </row>
    <row r="2606" spans="14:50" x14ac:dyDescent="0.25">
      <c r="N2606" s="3"/>
      <c r="AW2606" s="7"/>
      <c r="AX2606" s="7"/>
    </row>
    <row r="2607" spans="14:50" x14ac:dyDescent="0.25">
      <c r="N2607" s="3"/>
      <c r="AW2607" s="7"/>
      <c r="AX2607" s="7"/>
    </row>
    <row r="2608" spans="14:50" x14ac:dyDescent="0.25">
      <c r="N2608" s="3"/>
      <c r="AW2608" s="7"/>
      <c r="AX2608" s="7"/>
    </row>
    <row r="2609" spans="14:50" x14ac:dyDescent="0.25">
      <c r="N2609" s="3"/>
      <c r="AW2609" s="7"/>
      <c r="AX2609" s="7"/>
    </row>
    <row r="2610" spans="14:50" x14ac:dyDescent="0.25">
      <c r="N2610" s="3"/>
      <c r="AW2610" s="7"/>
      <c r="AX2610" s="7"/>
    </row>
    <row r="2611" spans="14:50" x14ac:dyDescent="0.25">
      <c r="N2611" s="3"/>
      <c r="AW2611" s="7"/>
      <c r="AX2611" s="7"/>
    </row>
    <row r="2612" spans="14:50" x14ac:dyDescent="0.25">
      <c r="N2612" s="3"/>
      <c r="AW2612" s="7"/>
      <c r="AX2612" s="7"/>
    </row>
    <row r="2613" spans="14:50" x14ac:dyDescent="0.25">
      <c r="N2613" s="3"/>
      <c r="AW2613" s="7"/>
      <c r="AX2613" s="7"/>
    </row>
    <row r="2614" spans="14:50" x14ac:dyDescent="0.25">
      <c r="N2614" s="3"/>
      <c r="AW2614" s="7"/>
      <c r="AX2614" s="7"/>
    </row>
    <row r="2615" spans="14:50" x14ac:dyDescent="0.25">
      <c r="N2615" s="3"/>
      <c r="AW2615" s="7"/>
      <c r="AX2615" s="7"/>
    </row>
    <row r="2616" spans="14:50" x14ac:dyDescent="0.25">
      <c r="N2616" s="3"/>
      <c r="AW2616" s="7"/>
      <c r="AX2616" s="7"/>
    </row>
    <row r="2617" spans="14:50" x14ac:dyDescent="0.25">
      <c r="N2617" s="3"/>
      <c r="AW2617" s="7"/>
      <c r="AX2617" s="7"/>
    </row>
    <row r="2618" spans="14:50" x14ac:dyDescent="0.25">
      <c r="N2618" s="3"/>
      <c r="AW2618" s="7"/>
      <c r="AX2618" s="7"/>
    </row>
    <row r="2619" spans="14:50" x14ac:dyDescent="0.25">
      <c r="N2619" s="3"/>
      <c r="AW2619" s="7"/>
      <c r="AX2619" s="7"/>
    </row>
    <row r="2620" spans="14:50" x14ac:dyDescent="0.25">
      <c r="N2620" s="3"/>
      <c r="AW2620" s="7"/>
      <c r="AX2620" s="7"/>
    </row>
    <row r="2621" spans="14:50" x14ac:dyDescent="0.25">
      <c r="N2621" s="3"/>
      <c r="AW2621" s="7"/>
      <c r="AX2621" s="7"/>
    </row>
    <row r="2622" spans="14:50" x14ac:dyDescent="0.25">
      <c r="N2622" s="3"/>
      <c r="AW2622" s="7"/>
      <c r="AX2622" s="7"/>
    </row>
    <row r="2623" spans="14:50" x14ac:dyDescent="0.25">
      <c r="N2623" s="3"/>
      <c r="AW2623" s="7"/>
      <c r="AX2623" s="7"/>
    </row>
    <row r="2624" spans="14:50" x14ac:dyDescent="0.25">
      <c r="N2624" s="3"/>
      <c r="AW2624" s="7"/>
      <c r="AX2624" s="7"/>
    </row>
    <row r="2625" spans="14:50" x14ac:dyDescent="0.25">
      <c r="N2625" s="3"/>
      <c r="AW2625" s="7"/>
      <c r="AX2625" s="7"/>
    </row>
    <row r="2626" spans="14:50" x14ac:dyDescent="0.25">
      <c r="N2626" s="3"/>
      <c r="AW2626" s="7"/>
      <c r="AX2626" s="7"/>
    </row>
    <row r="2627" spans="14:50" x14ac:dyDescent="0.25">
      <c r="N2627" s="3"/>
      <c r="AW2627" s="7"/>
      <c r="AX2627" s="7"/>
    </row>
    <row r="2628" spans="14:50" x14ac:dyDescent="0.25">
      <c r="N2628" s="3"/>
      <c r="AW2628" s="7"/>
      <c r="AX2628" s="7"/>
    </row>
    <row r="2629" spans="14:50" x14ac:dyDescent="0.25">
      <c r="N2629" s="3"/>
      <c r="AW2629" s="7"/>
      <c r="AX2629" s="7"/>
    </row>
    <row r="2630" spans="14:50" x14ac:dyDescent="0.25">
      <c r="N2630" s="3"/>
      <c r="AW2630" s="7"/>
      <c r="AX2630" s="7"/>
    </row>
    <row r="2631" spans="14:50" x14ac:dyDescent="0.25">
      <c r="N2631" s="3"/>
      <c r="AW2631" s="7"/>
      <c r="AX2631" s="7"/>
    </row>
    <row r="2632" spans="14:50" x14ac:dyDescent="0.25">
      <c r="N2632" s="3"/>
      <c r="AW2632" s="7"/>
      <c r="AX2632" s="7"/>
    </row>
    <row r="2633" spans="14:50" x14ac:dyDescent="0.25">
      <c r="N2633" s="3"/>
      <c r="AW2633" s="7"/>
      <c r="AX2633" s="7"/>
    </row>
    <row r="2634" spans="14:50" x14ac:dyDescent="0.25">
      <c r="N2634" s="3"/>
      <c r="AW2634" s="7"/>
      <c r="AX2634" s="7"/>
    </row>
    <row r="2635" spans="14:50" x14ac:dyDescent="0.25">
      <c r="N2635" s="3"/>
      <c r="AW2635" s="7"/>
      <c r="AX2635" s="7"/>
    </row>
    <row r="2636" spans="14:50" x14ac:dyDescent="0.25">
      <c r="N2636" s="3"/>
      <c r="AW2636" s="7"/>
      <c r="AX2636" s="7"/>
    </row>
    <row r="2637" spans="14:50" x14ac:dyDescent="0.25">
      <c r="N2637" s="3"/>
      <c r="AW2637" s="7"/>
      <c r="AX2637" s="7"/>
    </row>
    <row r="2638" spans="14:50" x14ac:dyDescent="0.25">
      <c r="N2638" s="3"/>
      <c r="AW2638" s="7"/>
      <c r="AX2638" s="7"/>
    </row>
    <row r="2639" spans="14:50" x14ac:dyDescent="0.25">
      <c r="N2639" s="3"/>
      <c r="AW2639" s="7"/>
      <c r="AX2639" s="7"/>
    </row>
    <row r="2640" spans="14:50" x14ac:dyDescent="0.25">
      <c r="N2640" s="3"/>
      <c r="AW2640" s="7"/>
      <c r="AX2640" s="7"/>
    </row>
    <row r="2641" spans="14:50" x14ac:dyDescent="0.25">
      <c r="N2641" s="3"/>
      <c r="AW2641" s="7"/>
      <c r="AX2641" s="7"/>
    </row>
    <row r="2642" spans="14:50" x14ac:dyDescent="0.25">
      <c r="N2642" s="3"/>
      <c r="AW2642" s="7"/>
      <c r="AX2642" s="7"/>
    </row>
    <row r="2643" spans="14:50" x14ac:dyDescent="0.25">
      <c r="N2643" s="3"/>
      <c r="AW2643" s="7"/>
      <c r="AX2643" s="7"/>
    </row>
    <row r="2644" spans="14:50" x14ac:dyDescent="0.25">
      <c r="N2644" s="3"/>
      <c r="AW2644" s="7"/>
      <c r="AX2644" s="7"/>
    </row>
    <row r="2645" spans="14:50" x14ac:dyDescent="0.25">
      <c r="N2645" s="3"/>
      <c r="AW2645" s="7"/>
      <c r="AX2645" s="7"/>
    </row>
    <row r="2646" spans="14:50" x14ac:dyDescent="0.25">
      <c r="N2646" s="3"/>
      <c r="AW2646" s="7"/>
      <c r="AX2646" s="7"/>
    </row>
    <row r="2647" spans="14:50" x14ac:dyDescent="0.25">
      <c r="N2647" s="3"/>
      <c r="AW2647" s="7"/>
      <c r="AX2647" s="7"/>
    </row>
    <row r="2648" spans="14:50" x14ac:dyDescent="0.25">
      <c r="N2648" s="3"/>
      <c r="AW2648" s="7"/>
      <c r="AX2648" s="7"/>
    </row>
    <row r="2649" spans="14:50" x14ac:dyDescent="0.25">
      <c r="N2649" s="3"/>
      <c r="AW2649" s="7"/>
      <c r="AX2649" s="7"/>
    </row>
    <row r="2650" spans="14:50" x14ac:dyDescent="0.25">
      <c r="N2650" s="3"/>
      <c r="AW2650" s="7"/>
      <c r="AX2650" s="7"/>
    </row>
    <row r="2651" spans="14:50" x14ac:dyDescent="0.25">
      <c r="N2651" s="3"/>
      <c r="AW2651" s="7"/>
      <c r="AX2651" s="7"/>
    </row>
    <row r="2652" spans="14:50" x14ac:dyDescent="0.25">
      <c r="N2652" s="3"/>
      <c r="AW2652" s="7"/>
      <c r="AX2652" s="7"/>
    </row>
    <row r="2653" spans="14:50" x14ac:dyDescent="0.25">
      <c r="N2653" s="3"/>
      <c r="AW2653" s="7"/>
      <c r="AX2653" s="7"/>
    </row>
    <row r="2654" spans="14:50" x14ac:dyDescent="0.25">
      <c r="N2654" s="3"/>
      <c r="AW2654" s="7"/>
      <c r="AX2654" s="7"/>
    </row>
    <row r="2655" spans="14:50" x14ac:dyDescent="0.25">
      <c r="N2655" s="3"/>
      <c r="AW2655" s="7"/>
      <c r="AX2655" s="7"/>
    </row>
    <row r="2656" spans="14:50" x14ac:dyDescent="0.25">
      <c r="N2656" s="3"/>
      <c r="AW2656" s="7"/>
      <c r="AX2656" s="7"/>
    </row>
    <row r="2657" spans="14:50" x14ac:dyDescent="0.25">
      <c r="N2657" s="3"/>
      <c r="AW2657" s="7"/>
      <c r="AX2657" s="7"/>
    </row>
    <row r="2658" spans="14:50" x14ac:dyDescent="0.25">
      <c r="N2658" s="3"/>
      <c r="AW2658" s="7"/>
      <c r="AX2658" s="7"/>
    </row>
    <row r="2659" spans="14:50" x14ac:dyDescent="0.25">
      <c r="N2659" s="3"/>
      <c r="AW2659" s="7"/>
      <c r="AX2659" s="7"/>
    </row>
    <row r="2660" spans="14:50" x14ac:dyDescent="0.25">
      <c r="N2660" s="3"/>
      <c r="AW2660" s="7"/>
      <c r="AX2660" s="7"/>
    </row>
    <row r="2661" spans="14:50" x14ac:dyDescent="0.25">
      <c r="N2661" s="3"/>
      <c r="AW2661" s="7"/>
      <c r="AX2661" s="7"/>
    </row>
    <row r="2662" spans="14:50" x14ac:dyDescent="0.25">
      <c r="N2662" s="3"/>
      <c r="AW2662" s="7"/>
      <c r="AX2662" s="7"/>
    </row>
    <row r="2663" spans="14:50" x14ac:dyDescent="0.25">
      <c r="N2663" s="3"/>
      <c r="AW2663" s="7"/>
      <c r="AX2663" s="7"/>
    </row>
    <row r="2664" spans="14:50" x14ac:dyDescent="0.25">
      <c r="N2664" s="3"/>
      <c r="AW2664" s="7"/>
      <c r="AX2664" s="7"/>
    </row>
    <row r="2665" spans="14:50" x14ac:dyDescent="0.25">
      <c r="N2665" s="3"/>
      <c r="AW2665" s="7"/>
      <c r="AX2665" s="7"/>
    </row>
    <row r="2666" spans="14:50" x14ac:dyDescent="0.25">
      <c r="N2666" s="3"/>
      <c r="AW2666" s="7"/>
      <c r="AX2666" s="7"/>
    </row>
    <row r="2667" spans="14:50" x14ac:dyDescent="0.25">
      <c r="N2667" s="3"/>
      <c r="AW2667" s="7"/>
      <c r="AX2667" s="7"/>
    </row>
    <row r="2668" spans="14:50" x14ac:dyDescent="0.25">
      <c r="N2668" s="3"/>
      <c r="AW2668" s="7"/>
      <c r="AX2668" s="7"/>
    </row>
    <row r="2669" spans="14:50" x14ac:dyDescent="0.25">
      <c r="N2669" s="3"/>
      <c r="AW2669" s="7"/>
      <c r="AX2669" s="7"/>
    </row>
    <row r="2670" spans="14:50" x14ac:dyDescent="0.25">
      <c r="N2670" s="3"/>
      <c r="AW2670" s="7"/>
      <c r="AX2670" s="7"/>
    </row>
    <row r="2671" spans="14:50" x14ac:dyDescent="0.25">
      <c r="N2671" s="3"/>
      <c r="AW2671" s="7"/>
      <c r="AX2671" s="7"/>
    </row>
    <row r="2672" spans="14:50" x14ac:dyDescent="0.25">
      <c r="N2672" s="3"/>
      <c r="AW2672" s="7"/>
      <c r="AX2672" s="7"/>
    </row>
    <row r="2673" spans="14:50" x14ac:dyDescent="0.25">
      <c r="N2673" s="3"/>
      <c r="AW2673" s="7"/>
      <c r="AX2673" s="7"/>
    </row>
    <row r="2674" spans="14:50" x14ac:dyDescent="0.25">
      <c r="N2674" s="3"/>
      <c r="AW2674" s="7"/>
      <c r="AX2674" s="7"/>
    </row>
    <row r="2675" spans="14:50" x14ac:dyDescent="0.25">
      <c r="N2675" s="3"/>
      <c r="AW2675" s="7"/>
      <c r="AX2675" s="7"/>
    </row>
    <row r="2676" spans="14:50" x14ac:dyDescent="0.25">
      <c r="N2676" s="3"/>
      <c r="AW2676" s="7"/>
      <c r="AX2676" s="7"/>
    </row>
    <row r="2677" spans="14:50" x14ac:dyDescent="0.25">
      <c r="N2677" s="3"/>
      <c r="AW2677" s="7"/>
      <c r="AX2677" s="7"/>
    </row>
    <row r="2678" spans="14:50" x14ac:dyDescent="0.25">
      <c r="N2678" s="3"/>
      <c r="AW2678" s="7"/>
      <c r="AX2678" s="7"/>
    </row>
    <row r="2679" spans="14:50" x14ac:dyDescent="0.25">
      <c r="N2679" s="3"/>
      <c r="AW2679" s="7"/>
      <c r="AX2679" s="7"/>
    </row>
    <row r="2680" spans="14:50" x14ac:dyDescent="0.25">
      <c r="N2680" s="3"/>
      <c r="AW2680" s="7"/>
      <c r="AX2680" s="7"/>
    </row>
    <row r="2681" spans="14:50" x14ac:dyDescent="0.25">
      <c r="N2681" s="3"/>
      <c r="AW2681" s="7"/>
      <c r="AX2681" s="7"/>
    </row>
    <row r="2682" spans="14:50" x14ac:dyDescent="0.25">
      <c r="N2682" s="3"/>
      <c r="AW2682" s="7"/>
      <c r="AX2682" s="7"/>
    </row>
    <row r="2683" spans="14:50" x14ac:dyDescent="0.25">
      <c r="N2683" s="3"/>
      <c r="AW2683" s="7"/>
      <c r="AX2683" s="7"/>
    </row>
    <row r="2684" spans="14:50" x14ac:dyDescent="0.25">
      <c r="N2684" s="3"/>
      <c r="AW2684" s="7"/>
      <c r="AX2684" s="7"/>
    </row>
    <row r="2685" spans="14:50" x14ac:dyDescent="0.25">
      <c r="N2685" s="3"/>
      <c r="AW2685" s="7"/>
      <c r="AX2685" s="7"/>
    </row>
    <row r="2686" spans="14:50" x14ac:dyDescent="0.25">
      <c r="N2686" s="3"/>
      <c r="AW2686" s="7"/>
      <c r="AX2686" s="7"/>
    </row>
    <row r="2687" spans="14:50" x14ac:dyDescent="0.25">
      <c r="N2687" s="3"/>
      <c r="AW2687" s="7"/>
      <c r="AX2687" s="7"/>
    </row>
    <row r="2688" spans="14:50" x14ac:dyDescent="0.25">
      <c r="N2688" s="3"/>
      <c r="AW2688" s="7"/>
      <c r="AX2688" s="7"/>
    </row>
    <row r="2689" spans="14:50" x14ac:dyDescent="0.25">
      <c r="N2689" s="3"/>
      <c r="AW2689" s="7"/>
      <c r="AX2689" s="7"/>
    </row>
    <row r="2690" spans="14:50" x14ac:dyDescent="0.25">
      <c r="N2690" s="3"/>
      <c r="AW2690" s="7"/>
      <c r="AX2690" s="7"/>
    </row>
    <row r="2691" spans="14:50" x14ac:dyDescent="0.25">
      <c r="N2691" s="3"/>
      <c r="AW2691" s="7"/>
      <c r="AX2691" s="7"/>
    </row>
    <row r="2692" spans="14:50" x14ac:dyDescent="0.25">
      <c r="N2692" s="3"/>
      <c r="AW2692" s="7"/>
      <c r="AX2692" s="7"/>
    </row>
    <row r="2693" spans="14:50" x14ac:dyDescent="0.25">
      <c r="N2693" s="3"/>
      <c r="AW2693" s="7"/>
      <c r="AX2693" s="7"/>
    </row>
    <row r="2694" spans="14:50" x14ac:dyDescent="0.25">
      <c r="N2694" s="3"/>
      <c r="AW2694" s="7"/>
      <c r="AX2694" s="7"/>
    </row>
    <row r="2695" spans="14:50" x14ac:dyDescent="0.25">
      <c r="N2695" s="3"/>
      <c r="AW2695" s="7"/>
      <c r="AX2695" s="7"/>
    </row>
    <row r="2696" spans="14:50" x14ac:dyDescent="0.25">
      <c r="N2696" s="3"/>
      <c r="AW2696" s="7"/>
      <c r="AX2696" s="7"/>
    </row>
    <row r="2697" spans="14:50" x14ac:dyDescent="0.25">
      <c r="N2697" s="3"/>
      <c r="AW2697" s="7"/>
      <c r="AX2697" s="7"/>
    </row>
    <row r="2698" spans="14:50" x14ac:dyDescent="0.25">
      <c r="N2698" s="3"/>
      <c r="AW2698" s="7"/>
      <c r="AX2698" s="7"/>
    </row>
    <row r="2699" spans="14:50" x14ac:dyDescent="0.25">
      <c r="N2699" s="3"/>
      <c r="AW2699" s="7"/>
      <c r="AX2699" s="7"/>
    </row>
    <row r="2700" spans="14:50" x14ac:dyDescent="0.25">
      <c r="N2700" s="3"/>
      <c r="AW2700" s="7"/>
      <c r="AX2700" s="7"/>
    </row>
    <row r="2701" spans="14:50" x14ac:dyDescent="0.25">
      <c r="N2701" s="3"/>
      <c r="AW2701" s="7"/>
      <c r="AX2701" s="7"/>
    </row>
    <row r="2702" spans="14:50" x14ac:dyDescent="0.25">
      <c r="N2702" s="3"/>
      <c r="AW2702" s="7"/>
      <c r="AX2702" s="7"/>
    </row>
    <row r="2703" spans="14:50" x14ac:dyDescent="0.25">
      <c r="N2703" s="3"/>
      <c r="AW2703" s="7"/>
      <c r="AX2703" s="7"/>
    </row>
    <row r="2704" spans="14:50" x14ac:dyDescent="0.25">
      <c r="N2704" s="3"/>
      <c r="AW2704" s="7"/>
      <c r="AX2704" s="7"/>
    </row>
    <row r="2705" spans="14:50" x14ac:dyDescent="0.25">
      <c r="N2705" s="3"/>
      <c r="AW2705" s="7"/>
      <c r="AX2705" s="7"/>
    </row>
    <row r="2706" spans="14:50" x14ac:dyDescent="0.25">
      <c r="N2706" s="3"/>
      <c r="AW2706" s="7"/>
      <c r="AX2706" s="7"/>
    </row>
    <row r="2707" spans="14:50" x14ac:dyDescent="0.25">
      <c r="N2707" s="3"/>
      <c r="AW2707" s="7"/>
      <c r="AX2707" s="7"/>
    </row>
    <row r="2708" spans="14:50" x14ac:dyDescent="0.25">
      <c r="N2708" s="3"/>
      <c r="AW2708" s="7"/>
      <c r="AX2708" s="7"/>
    </row>
    <row r="2709" spans="14:50" x14ac:dyDescent="0.25">
      <c r="N2709" s="3"/>
      <c r="AW2709" s="7"/>
      <c r="AX2709" s="7"/>
    </row>
    <row r="2710" spans="14:50" x14ac:dyDescent="0.25">
      <c r="N2710" s="3"/>
      <c r="AW2710" s="7"/>
      <c r="AX2710" s="7"/>
    </row>
    <row r="2711" spans="14:50" x14ac:dyDescent="0.25">
      <c r="N2711" s="3"/>
      <c r="AW2711" s="7"/>
      <c r="AX2711" s="7"/>
    </row>
    <row r="2712" spans="14:50" x14ac:dyDescent="0.25">
      <c r="N2712" s="3"/>
      <c r="AW2712" s="7"/>
      <c r="AX2712" s="7"/>
    </row>
    <row r="2713" spans="14:50" x14ac:dyDescent="0.25">
      <c r="N2713" s="3"/>
      <c r="AW2713" s="7"/>
      <c r="AX2713" s="7"/>
    </row>
    <row r="2714" spans="14:50" x14ac:dyDescent="0.25">
      <c r="N2714" s="3"/>
      <c r="AW2714" s="7"/>
      <c r="AX2714" s="7"/>
    </row>
    <row r="2715" spans="14:50" x14ac:dyDescent="0.25">
      <c r="N2715" s="3"/>
      <c r="AW2715" s="7"/>
      <c r="AX2715" s="7"/>
    </row>
    <row r="2716" spans="14:50" x14ac:dyDescent="0.25">
      <c r="N2716" s="3"/>
      <c r="AW2716" s="7"/>
      <c r="AX2716" s="7"/>
    </row>
    <row r="2717" spans="14:50" x14ac:dyDescent="0.25">
      <c r="N2717" s="3"/>
      <c r="AW2717" s="7"/>
      <c r="AX2717" s="7"/>
    </row>
    <row r="2718" spans="14:50" x14ac:dyDescent="0.25">
      <c r="N2718" s="3"/>
      <c r="AW2718" s="7"/>
      <c r="AX2718" s="7"/>
    </row>
    <row r="2719" spans="14:50" x14ac:dyDescent="0.25">
      <c r="N2719" s="3"/>
      <c r="AW2719" s="7"/>
      <c r="AX2719" s="7"/>
    </row>
    <row r="2720" spans="14:50" x14ac:dyDescent="0.25">
      <c r="N2720" s="3"/>
      <c r="AW2720" s="7"/>
      <c r="AX2720" s="7"/>
    </row>
    <row r="2721" spans="14:50" x14ac:dyDescent="0.25">
      <c r="N2721" s="3"/>
      <c r="AW2721" s="7"/>
      <c r="AX2721" s="7"/>
    </row>
    <row r="2722" spans="14:50" x14ac:dyDescent="0.25">
      <c r="N2722" s="3"/>
      <c r="AW2722" s="7"/>
      <c r="AX2722" s="7"/>
    </row>
    <row r="2723" spans="14:50" x14ac:dyDescent="0.25">
      <c r="N2723" s="3"/>
      <c r="AW2723" s="7"/>
      <c r="AX2723" s="7"/>
    </row>
    <row r="2724" spans="14:50" x14ac:dyDescent="0.25">
      <c r="N2724" s="3"/>
      <c r="AW2724" s="7"/>
      <c r="AX2724" s="7"/>
    </row>
    <row r="2725" spans="14:50" x14ac:dyDescent="0.25">
      <c r="N2725" s="3"/>
      <c r="AW2725" s="7"/>
      <c r="AX2725" s="7"/>
    </row>
    <row r="2726" spans="14:50" x14ac:dyDescent="0.25">
      <c r="N2726" s="3"/>
      <c r="AW2726" s="7"/>
      <c r="AX2726" s="7"/>
    </row>
    <row r="2727" spans="14:50" x14ac:dyDescent="0.25">
      <c r="N2727" s="3"/>
      <c r="AW2727" s="7"/>
      <c r="AX2727" s="7"/>
    </row>
    <row r="2728" spans="14:50" x14ac:dyDescent="0.25">
      <c r="N2728" s="3"/>
      <c r="AW2728" s="7"/>
      <c r="AX2728" s="7"/>
    </row>
    <row r="2729" spans="14:50" x14ac:dyDescent="0.25">
      <c r="N2729" s="3"/>
      <c r="AW2729" s="7"/>
      <c r="AX2729" s="7"/>
    </row>
    <row r="2730" spans="14:50" x14ac:dyDescent="0.25">
      <c r="N2730" s="3"/>
      <c r="AW2730" s="7"/>
      <c r="AX2730" s="7"/>
    </row>
    <row r="2731" spans="14:50" x14ac:dyDescent="0.25">
      <c r="N2731" s="3"/>
      <c r="AW2731" s="7"/>
      <c r="AX2731" s="7"/>
    </row>
    <row r="2732" spans="14:50" x14ac:dyDescent="0.25">
      <c r="N2732" s="3"/>
      <c r="AW2732" s="7"/>
      <c r="AX2732" s="7"/>
    </row>
    <row r="2733" spans="14:50" x14ac:dyDescent="0.25">
      <c r="N2733" s="3"/>
      <c r="AW2733" s="7"/>
      <c r="AX2733" s="7"/>
    </row>
    <row r="2734" spans="14:50" x14ac:dyDescent="0.25">
      <c r="N2734" s="3"/>
      <c r="AW2734" s="7"/>
      <c r="AX2734" s="7"/>
    </row>
    <row r="2735" spans="14:50" x14ac:dyDescent="0.25">
      <c r="N2735" s="3"/>
      <c r="AW2735" s="7"/>
      <c r="AX2735" s="7"/>
    </row>
    <row r="2736" spans="14:50" x14ac:dyDescent="0.25">
      <c r="N2736" s="3"/>
      <c r="AW2736" s="7"/>
      <c r="AX2736" s="7"/>
    </row>
    <row r="2737" spans="14:50" x14ac:dyDescent="0.25">
      <c r="N2737" s="3"/>
      <c r="AW2737" s="7"/>
      <c r="AX2737" s="7"/>
    </row>
    <row r="2738" spans="14:50" x14ac:dyDescent="0.25">
      <c r="N2738" s="3"/>
      <c r="AW2738" s="7"/>
      <c r="AX2738" s="7"/>
    </row>
    <row r="2739" spans="14:50" x14ac:dyDescent="0.25">
      <c r="N2739" s="3"/>
      <c r="AW2739" s="7"/>
      <c r="AX2739" s="7"/>
    </row>
    <row r="2740" spans="14:50" x14ac:dyDescent="0.25">
      <c r="N2740" s="3"/>
      <c r="AW2740" s="7"/>
      <c r="AX2740" s="7"/>
    </row>
    <row r="2741" spans="14:50" x14ac:dyDescent="0.25">
      <c r="N2741" s="3"/>
      <c r="AW2741" s="7"/>
      <c r="AX2741" s="7"/>
    </row>
    <row r="2742" spans="14:50" x14ac:dyDescent="0.25">
      <c r="N2742" s="3"/>
      <c r="AW2742" s="7"/>
      <c r="AX2742" s="7"/>
    </row>
    <row r="2743" spans="14:50" x14ac:dyDescent="0.25">
      <c r="N2743" s="3"/>
      <c r="AW2743" s="7"/>
      <c r="AX2743" s="7"/>
    </row>
    <row r="2744" spans="14:50" x14ac:dyDescent="0.25">
      <c r="N2744" s="3"/>
      <c r="AW2744" s="7"/>
      <c r="AX2744" s="7"/>
    </row>
    <row r="2745" spans="14:50" x14ac:dyDescent="0.25">
      <c r="N2745" s="3"/>
      <c r="AW2745" s="7"/>
      <c r="AX2745" s="7"/>
    </row>
    <row r="2746" spans="14:50" x14ac:dyDescent="0.25">
      <c r="N2746" s="3"/>
      <c r="AW2746" s="7"/>
      <c r="AX2746" s="7"/>
    </row>
    <row r="2747" spans="14:50" x14ac:dyDescent="0.25">
      <c r="N2747" s="3"/>
      <c r="AW2747" s="7"/>
      <c r="AX2747" s="7"/>
    </row>
    <row r="2748" spans="14:50" x14ac:dyDescent="0.25">
      <c r="N2748" s="3"/>
      <c r="AW2748" s="7"/>
      <c r="AX2748" s="7"/>
    </row>
    <row r="2749" spans="14:50" x14ac:dyDescent="0.25">
      <c r="N2749" s="3"/>
      <c r="AW2749" s="7"/>
      <c r="AX2749" s="7"/>
    </row>
    <row r="2750" spans="14:50" x14ac:dyDescent="0.25">
      <c r="N2750" s="3"/>
      <c r="AW2750" s="7"/>
      <c r="AX2750" s="7"/>
    </row>
    <row r="2751" spans="14:50" x14ac:dyDescent="0.25">
      <c r="N2751" s="3"/>
      <c r="AW2751" s="7"/>
      <c r="AX2751" s="7"/>
    </row>
    <row r="2752" spans="14:50" x14ac:dyDescent="0.25">
      <c r="N2752" s="3"/>
      <c r="AW2752" s="7"/>
      <c r="AX2752" s="7"/>
    </row>
    <row r="2753" spans="14:50" x14ac:dyDescent="0.25">
      <c r="N2753" s="3"/>
      <c r="AW2753" s="7"/>
      <c r="AX2753" s="7"/>
    </row>
    <row r="2754" spans="14:50" x14ac:dyDescent="0.25">
      <c r="N2754" s="3"/>
      <c r="AW2754" s="7"/>
      <c r="AX2754" s="7"/>
    </row>
    <row r="2755" spans="14:50" x14ac:dyDescent="0.25">
      <c r="N2755" s="3"/>
      <c r="AW2755" s="7"/>
      <c r="AX2755" s="7"/>
    </row>
    <row r="2756" spans="14:50" x14ac:dyDescent="0.25">
      <c r="N2756" s="3"/>
      <c r="AW2756" s="7"/>
      <c r="AX2756" s="7"/>
    </row>
    <row r="2757" spans="14:50" x14ac:dyDescent="0.25">
      <c r="N2757" s="3"/>
      <c r="AW2757" s="7"/>
      <c r="AX2757" s="7"/>
    </row>
    <row r="2758" spans="14:50" x14ac:dyDescent="0.25">
      <c r="N2758" s="3"/>
      <c r="AW2758" s="7"/>
      <c r="AX2758" s="7"/>
    </row>
    <row r="2759" spans="14:50" x14ac:dyDescent="0.25">
      <c r="N2759" s="3"/>
      <c r="AW2759" s="7"/>
      <c r="AX2759" s="7"/>
    </row>
    <row r="2760" spans="14:50" x14ac:dyDescent="0.25">
      <c r="N2760" s="3"/>
      <c r="AW2760" s="7"/>
      <c r="AX2760" s="7"/>
    </row>
    <row r="2761" spans="14:50" x14ac:dyDescent="0.25">
      <c r="N2761" s="3"/>
      <c r="AW2761" s="7"/>
      <c r="AX2761" s="7"/>
    </row>
    <row r="2762" spans="14:50" x14ac:dyDescent="0.25">
      <c r="N2762" s="3"/>
      <c r="AW2762" s="7"/>
      <c r="AX2762" s="7"/>
    </row>
    <row r="2763" spans="14:50" x14ac:dyDescent="0.25">
      <c r="N2763" s="3"/>
      <c r="AW2763" s="7"/>
      <c r="AX2763" s="7"/>
    </row>
    <row r="2764" spans="14:50" x14ac:dyDescent="0.25">
      <c r="N2764" s="3"/>
      <c r="AW2764" s="7"/>
      <c r="AX2764" s="7"/>
    </row>
    <row r="2765" spans="14:50" x14ac:dyDescent="0.25">
      <c r="N2765" s="3"/>
      <c r="AW2765" s="7"/>
      <c r="AX2765" s="7"/>
    </row>
    <row r="2766" spans="14:50" x14ac:dyDescent="0.25">
      <c r="N2766" s="3"/>
      <c r="AW2766" s="7"/>
      <c r="AX2766" s="7"/>
    </row>
    <row r="2767" spans="14:50" x14ac:dyDescent="0.25">
      <c r="N2767" s="3"/>
      <c r="AW2767" s="7"/>
      <c r="AX2767" s="7"/>
    </row>
    <row r="2768" spans="14:50" x14ac:dyDescent="0.25">
      <c r="N2768" s="3"/>
      <c r="AW2768" s="7"/>
      <c r="AX2768" s="7"/>
    </row>
    <row r="2769" spans="14:50" x14ac:dyDescent="0.25">
      <c r="N2769" s="3"/>
      <c r="AW2769" s="7"/>
      <c r="AX2769" s="7"/>
    </row>
    <row r="2770" spans="14:50" x14ac:dyDescent="0.25">
      <c r="N2770" s="3"/>
      <c r="AW2770" s="7"/>
      <c r="AX2770" s="7"/>
    </row>
    <row r="2771" spans="14:50" x14ac:dyDescent="0.25">
      <c r="N2771" s="3"/>
      <c r="AW2771" s="7"/>
      <c r="AX2771" s="7"/>
    </row>
    <row r="2772" spans="14:50" x14ac:dyDescent="0.25">
      <c r="N2772" s="3"/>
      <c r="AW2772" s="7"/>
      <c r="AX2772" s="7"/>
    </row>
    <row r="2773" spans="14:50" x14ac:dyDescent="0.25">
      <c r="N2773" s="3"/>
      <c r="AW2773" s="7"/>
      <c r="AX2773" s="7"/>
    </row>
    <row r="2774" spans="14:50" x14ac:dyDescent="0.25">
      <c r="N2774" s="3"/>
      <c r="AW2774" s="7"/>
      <c r="AX2774" s="7"/>
    </row>
    <row r="2775" spans="14:50" x14ac:dyDescent="0.25">
      <c r="N2775" s="3"/>
      <c r="AW2775" s="7"/>
      <c r="AX2775" s="7"/>
    </row>
    <row r="2776" spans="14:50" x14ac:dyDescent="0.25">
      <c r="N2776" s="3"/>
      <c r="AW2776" s="7"/>
      <c r="AX2776" s="7"/>
    </row>
    <row r="2777" spans="14:50" x14ac:dyDescent="0.25">
      <c r="N2777" s="3"/>
      <c r="AW2777" s="7"/>
      <c r="AX2777" s="7"/>
    </row>
    <row r="2778" spans="14:50" x14ac:dyDescent="0.25">
      <c r="N2778" s="3"/>
      <c r="AW2778" s="7"/>
      <c r="AX2778" s="7"/>
    </row>
    <row r="2779" spans="14:50" x14ac:dyDescent="0.25">
      <c r="N2779" s="3"/>
      <c r="AW2779" s="7"/>
      <c r="AX2779" s="7"/>
    </row>
    <row r="2780" spans="14:50" x14ac:dyDescent="0.25">
      <c r="N2780" s="3"/>
      <c r="AW2780" s="7"/>
      <c r="AX2780" s="7"/>
    </row>
    <row r="2781" spans="14:50" x14ac:dyDescent="0.25">
      <c r="N2781" s="3"/>
      <c r="AW2781" s="7"/>
      <c r="AX2781" s="7"/>
    </row>
    <row r="2782" spans="14:50" x14ac:dyDescent="0.25">
      <c r="N2782" s="3"/>
      <c r="AW2782" s="7"/>
      <c r="AX2782" s="7"/>
    </row>
    <row r="2783" spans="14:50" x14ac:dyDescent="0.25">
      <c r="N2783" s="3"/>
      <c r="AW2783" s="7"/>
      <c r="AX2783" s="7"/>
    </row>
    <row r="2784" spans="14:50" x14ac:dyDescent="0.25">
      <c r="N2784" s="3"/>
      <c r="AW2784" s="7"/>
      <c r="AX2784" s="7"/>
    </row>
    <row r="2785" spans="14:50" x14ac:dyDescent="0.25">
      <c r="N2785" s="3"/>
      <c r="AW2785" s="7"/>
      <c r="AX2785" s="7"/>
    </row>
    <row r="2786" spans="14:50" x14ac:dyDescent="0.25">
      <c r="N2786" s="3"/>
      <c r="AW2786" s="7"/>
      <c r="AX2786" s="7"/>
    </row>
    <row r="2787" spans="14:50" x14ac:dyDescent="0.25">
      <c r="N2787" s="3"/>
      <c r="AW2787" s="7"/>
      <c r="AX2787" s="7"/>
    </row>
    <row r="2788" spans="14:50" x14ac:dyDescent="0.25">
      <c r="N2788" s="3"/>
      <c r="AW2788" s="7"/>
      <c r="AX2788" s="7"/>
    </row>
    <row r="2789" spans="14:50" x14ac:dyDescent="0.25">
      <c r="N2789" s="3"/>
      <c r="AW2789" s="7"/>
      <c r="AX2789" s="7"/>
    </row>
    <row r="2790" spans="14:50" x14ac:dyDescent="0.25">
      <c r="N2790" s="3"/>
      <c r="AW2790" s="7"/>
      <c r="AX2790" s="7"/>
    </row>
    <row r="2791" spans="14:50" x14ac:dyDescent="0.25">
      <c r="N2791" s="3"/>
      <c r="AW2791" s="7"/>
      <c r="AX2791" s="7"/>
    </row>
    <row r="2792" spans="14:50" x14ac:dyDescent="0.25">
      <c r="N2792" s="3"/>
      <c r="AW2792" s="7"/>
      <c r="AX2792" s="7"/>
    </row>
    <row r="2793" spans="14:50" x14ac:dyDescent="0.25">
      <c r="N2793" s="3"/>
      <c r="AW2793" s="7"/>
      <c r="AX2793" s="7"/>
    </row>
    <row r="2794" spans="14:50" x14ac:dyDescent="0.25">
      <c r="N2794" s="3"/>
      <c r="AW2794" s="7"/>
      <c r="AX2794" s="7"/>
    </row>
    <row r="2795" spans="14:50" x14ac:dyDescent="0.25">
      <c r="N2795" s="3"/>
      <c r="AW2795" s="7"/>
      <c r="AX2795" s="7"/>
    </row>
    <row r="2796" spans="14:50" x14ac:dyDescent="0.25">
      <c r="N2796" s="3"/>
      <c r="AW2796" s="7"/>
      <c r="AX2796" s="7"/>
    </row>
    <row r="2797" spans="14:50" x14ac:dyDescent="0.25">
      <c r="N2797" s="3"/>
      <c r="AW2797" s="7"/>
      <c r="AX2797" s="7"/>
    </row>
    <row r="2798" spans="14:50" x14ac:dyDescent="0.25">
      <c r="N2798" s="3"/>
      <c r="AW2798" s="7"/>
      <c r="AX2798" s="7"/>
    </row>
    <row r="2799" spans="14:50" x14ac:dyDescent="0.25">
      <c r="N2799" s="3"/>
      <c r="AW2799" s="7"/>
      <c r="AX2799" s="7"/>
    </row>
    <row r="2800" spans="14:50" x14ac:dyDescent="0.25">
      <c r="N2800" s="3"/>
      <c r="AW2800" s="7"/>
      <c r="AX2800" s="7"/>
    </row>
    <row r="2801" spans="14:50" x14ac:dyDescent="0.25">
      <c r="N2801" s="3"/>
      <c r="AW2801" s="7"/>
      <c r="AX2801" s="7"/>
    </row>
    <row r="2802" spans="14:50" x14ac:dyDescent="0.25">
      <c r="N2802" s="3"/>
      <c r="AW2802" s="7"/>
      <c r="AX2802" s="7"/>
    </row>
    <row r="2803" spans="14:50" x14ac:dyDescent="0.25">
      <c r="N2803" s="3"/>
      <c r="AW2803" s="7"/>
      <c r="AX2803" s="7"/>
    </row>
    <row r="2804" spans="14:50" x14ac:dyDescent="0.25">
      <c r="N2804" s="3"/>
      <c r="AW2804" s="7"/>
      <c r="AX2804" s="7"/>
    </row>
    <row r="2805" spans="14:50" x14ac:dyDescent="0.25">
      <c r="N2805" s="3"/>
      <c r="AW2805" s="7"/>
      <c r="AX2805" s="7"/>
    </row>
    <row r="2806" spans="14:50" x14ac:dyDescent="0.25">
      <c r="N2806" s="3"/>
      <c r="AW2806" s="7"/>
      <c r="AX2806" s="7"/>
    </row>
    <row r="2807" spans="14:50" x14ac:dyDescent="0.25">
      <c r="N2807" s="3"/>
      <c r="AW2807" s="7"/>
      <c r="AX2807" s="7"/>
    </row>
    <row r="2808" spans="14:50" x14ac:dyDescent="0.25">
      <c r="N2808" s="3"/>
      <c r="AW2808" s="7"/>
      <c r="AX2808" s="7"/>
    </row>
    <row r="2809" spans="14:50" x14ac:dyDescent="0.25">
      <c r="N2809" s="3"/>
      <c r="AW2809" s="7"/>
      <c r="AX2809" s="7"/>
    </row>
    <row r="2810" spans="14:50" x14ac:dyDescent="0.25">
      <c r="N2810" s="3"/>
      <c r="AW2810" s="7"/>
      <c r="AX2810" s="7"/>
    </row>
    <row r="2811" spans="14:50" x14ac:dyDescent="0.25">
      <c r="N2811" s="3"/>
      <c r="AW2811" s="7"/>
      <c r="AX2811" s="7"/>
    </row>
    <row r="2812" spans="14:50" x14ac:dyDescent="0.25">
      <c r="N2812" s="3"/>
      <c r="AW2812" s="7"/>
      <c r="AX2812" s="7"/>
    </row>
    <row r="2813" spans="14:50" x14ac:dyDescent="0.25">
      <c r="N2813" s="3"/>
      <c r="AW2813" s="7"/>
      <c r="AX2813" s="7"/>
    </row>
    <row r="2814" spans="14:50" x14ac:dyDescent="0.25">
      <c r="N2814" s="3"/>
      <c r="AW2814" s="7"/>
      <c r="AX2814" s="7"/>
    </row>
    <row r="2815" spans="14:50" x14ac:dyDescent="0.25">
      <c r="N2815" s="3"/>
      <c r="AW2815" s="7"/>
      <c r="AX2815" s="7"/>
    </row>
    <row r="2816" spans="14:50" x14ac:dyDescent="0.25">
      <c r="N2816" s="3"/>
      <c r="AW2816" s="7"/>
      <c r="AX2816" s="7"/>
    </row>
    <row r="2817" spans="14:50" x14ac:dyDescent="0.25">
      <c r="N2817" s="3"/>
      <c r="AW2817" s="7"/>
      <c r="AX2817" s="7"/>
    </row>
    <row r="2818" spans="14:50" x14ac:dyDescent="0.25">
      <c r="N2818" s="3"/>
      <c r="AW2818" s="7"/>
      <c r="AX2818" s="7"/>
    </row>
    <row r="2819" spans="14:50" x14ac:dyDescent="0.25">
      <c r="N2819" s="3"/>
      <c r="AW2819" s="7"/>
      <c r="AX2819" s="7"/>
    </row>
    <row r="2820" spans="14:50" x14ac:dyDescent="0.25">
      <c r="N2820" s="3"/>
      <c r="AW2820" s="7"/>
      <c r="AX2820" s="7"/>
    </row>
    <row r="2821" spans="14:50" x14ac:dyDescent="0.25">
      <c r="N2821" s="3"/>
      <c r="AW2821" s="7"/>
      <c r="AX2821" s="7"/>
    </row>
    <row r="2822" spans="14:50" x14ac:dyDescent="0.25">
      <c r="N2822" s="3"/>
      <c r="AW2822" s="7"/>
      <c r="AX2822" s="7"/>
    </row>
    <row r="2823" spans="14:50" x14ac:dyDescent="0.25">
      <c r="N2823" s="3"/>
      <c r="AW2823" s="7"/>
      <c r="AX2823" s="7"/>
    </row>
    <row r="2824" spans="14:50" x14ac:dyDescent="0.25">
      <c r="N2824" s="3"/>
      <c r="AW2824" s="7"/>
      <c r="AX2824" s="7"/>
    </row>
    <row r="2825" spans="14:50" x14ac:dyDescent="0.25">
      <c r="N2825" s="3"/>
      <c r="AW2825" s="7"/>
      <c r="AX2825" s="7"/>
    </row>
    <row r="2826" spans="14:50" x14ac:dyDescent="0.25">
      <c r="N2826" s="3"/>
      <c r="AW2826" s="7"/>
      <c r="AX2826" s="7"/>
    </row>
    <row r="2827" spans="14:50" x14ac:dyDescent="0.25">
      <c r="N2827" s="3"/>
      <c r="AW2827" s="7"/>
      <c r="AX2827" s="7"/>
    </row>
    <row r="2828" spans="14:50" x14ac:dyDescent="0.25">
      <c r="N2828" s="3"/>
      <c r="AW2828" s="7"/>
      <c r="AX2828" s="7"/>
    </row>
    <row r="2829" spans="14:50" x14ac:dyDescent="0.25">
      <c r="N2829" s="3"/>
      <c r="AW2829" s="7"/>
      <c r="AX2829" s="7"/>
    </row>
    <row r="2830" spans="14:50" x14ac:dyDescent="0.25">
      <c r="N2830" s="3"/>
      <c r="AW2830" s="7"/>
      <c r="AX2830" s="7"/>
    </row>
    <row r="2831" spans="14:50" x14ac:dyDescent="0.25">
      <c r="N2831" s="3"/>
      <c r="AW2831" s="7"/>
      <c r="AX2831" s="7"/>
    </row>
    <row r="2832" spans="14:50" x14ac:dyDescent="0.25">
      <c r="N2832" s="3"/>
      <c r="AW2832" s="7"/>
      <c r="AX2832" s="7"/>
    </row>
    <row r="2833" spans="14:50" x14ac:dyDescent="0.25">
      <c r="N2833" s="3"/>
      <c r="AW2833" s="7"/>
      <c r="AX2833" s="7"/>
    </row>
    <row r="2834" spans="14:50" x14ac:dyDescent="0.25">
      <c r="N2834" s="3"/>
      <c r="AW2834" s="7"/>
      <c r="AX2834" s="7"/>
    </row>
    <row r="2835" spans="14:50" x14ac:dyDescent="0.25">
      <c r="N2835" s="3"/>
      <c r="AW2835" s="7"/>
      <c r="AX2835" s="7"/>
    </row>
    <row r="2836" spans="14:50" x14ac:dyDescent="0.25">
      <c r="N2836" s="3"/>
      <c r="AW2836" s="7"/>
      <c r="AX2836" s="7"/>
    </row>
    <row r="2837" spans="14:50" x14ac:dyDescent="0.25">
      <c r="N2837" s="3"/>
      <c r="AW2837" s="7"/>
      <c r="AX2837" s="7"/>
    </row>
    <row r="2838" spans="14:50" x14ac:dyDescent="0.25">
      <c r="N2838" s="3"/>
      <c r="AW2838" s="7"/>
      <c r="AX2838" s="7"/>
    </row>
    <row r="2839" spans="14:50" x14ac:dyDescent="0.25">
      <c r="N2839" s="3"/>
      <c r="AW2839" s="7"/>
      <c r="AX2839" s="7"/>
    </row>
    <row r="2840" spans="14:50" x14ac:dyDescent="0.25">
      <c r="N2840" s="3"/>
      <c r="AW2840" s="7"/>
      <c r="AX2840" s="7"/>
    </row>
    <row r="2841" spans="14:50" x14ac:dyDescent="0.25">
      <c r="N2841" s="3"/>
      <c r="AW2841" s="7"/>
      <c r="AX2841" s="7"/>
    </row>
    <row r="2842" spans="14:50" x14ac:dyDescent="0.25">
      <c r="N2842" s="3"/>
      <c r="AW2842" s="7"/>
      <c r="AX2842" s="7"/>
    </row>
    <row r="2843" spans="14:50" x14ac:dyDescent="0.25">
      <c r="N2843" s="3"/>
      <c r="AW2843" s="7"/>
      <c r="AX2843" s="7"/>
    </row>
    <row r="2844" spans="14:50" x14ac:dyDescent="0.25">
      <c r="N2844" s="3"/>
      <c r="AW2844" s="7"/>
      <c r="AX2844" s="7"/>
    </row>
    <row r="2845" spans="14:50" x14ac:dyDescent="0.25">
      <c r="N2845" s="3"/>
      <c r="AW2845" s="7"/>
      <c r="AX2845" s="7"/>
    </row>
    <row r="2846" spans="14:50" x14ac:dyDescent="0.25">
      <c r="N2846" s="3"/>
      <c r="AW2846" s="7"/>
      <c r="AX2846" s="7"/>
    </row>
    <row r="2847" spans="14:50" x14ac:dyDescent="0.25">
      <c r="N2847" s="3"/>
      <c r="AW2847" s="7"/>
      <c r="AX2847" s="7"/>
    </row>
    <row r="2848" spans="14:50" x14ac:dyDescent="0.25">
      <c r="N2848" s="3"/>
      <c r="AW2848" s="7"/>
      <c r="AX2848" s="7"/>
    </row>
    <row r="2849" spans="14:50" x14ac:dyDescent="0.25">
      <c r="N2849" s="3"/>
      <c r="AW2849" s="7"/>
      <c r="AX2849" s="7"/>
    </row>
    <row r="2850" spans="14:50" x14ac:dyDescent="0.25">
      <c r="N2850" s="3"/>
      <c r="AW2850" s="7"/>
      <c r="AX2850" s="7"/>
    </row>
    <row r="2851" spans="14:50" x14ac:dyDescent="0.25">
      <c r="N2851" s="3"/>
      <c r="AW2851" s="7"/>
      <c r="AX2851" s="7"/>
    </row>
    <row r="2852" spans="14:50" x14ac:dyDescent="0.25">
      <c r="N2852" s="3"/>
      <c r="AW2852" s="7"/>
      <c r="AX2852" s="7"/>
    </row>
    <row r="2853" spans="14:50" x14ac:dyDescent="0.25">
      <c r="N2853" s="3"/>
      <c r="AW2853" s="7"/>
      <c r="AX2853" s="7"/>
    </row>
    <row r="2854" spans="14:50" x14ac:dyDescent="0.25">
      <c r="N2854" s="3"/>
      <c r="AW2854" s="7"/>
      <c r="AX2854" s="7"/>
    </row>
    <row r="2855" spans="14:50" x14ac:dyDescent="0.25">
      <c r="N2855" s="3"/>
      <c r="AW2855" s="7"/>
      <c r="AX2855" s="7"/>
    </row>
    <row r="2856" spans="14:50" x14ac:dyDescent="0.25">
      <c r="N2856" s="3"/>
      <c r="AW2856" s="7"/>
      <c r="AX2856" s="7"/>
    </row>
    <row r="2857" spans="14:50" x14ac:dyDescent="0.25">
      <c r="N2857" s="3"/>
      <c r="AW2857" s="7"/>
      <c r="AX2857" s="7"/>
    </row>
    <row r="2858" spans="14:50" x14ac:dyDescent="0.25">
      <c r="N2858" s="3"/>
      <c r="AW2858" s="7"/>
      <c r="AX2858" s="7"/>
    </row>
    <row r="2859" spans="14:50" x14ac:dyDescent="0.25">
      <c r="N2859" s="3"/>
      <c r="AW2859" s="7"/>
      <c r="AX2859" s="7"/>
    </row>
    <row r="2860" spans="14:50" x14ac:dyDescent="0.25">
      <c r="N2860" s="3"/>
      <c r="AW2860" s="7"/>
      <c r="AX2860" s="7"/>
    </row>
    <row r="2861" spans="14:50" x14ac:dyDescent="0.25">
      <c r="N2861" s="3"/>
      <c r="AW2861" s="7"/>
      <c r="AX2861" s="7"/>
    </row>
    <row r="2862" spans="14:50" x14ac:dyDescent="0.25">
      <c r="N2862" s="3"/>
      <c r="AW2862" s="7"/>
      <c r="AX2862" s="7"/>
    </row>
    <row r="2863" spans="14:50" x14ac:dyDescent="0.25">
      <c r="N2863" s="3"/>
      <c r="AW2863" s="7"/>
      <c r="AX2863" s="7"/>
    </row>
    <row r="2864" spans="14:50" x14ac:dyDescent="0.25">
      <c r="N2864" s="3"/>
      <c r="AW2864" s="7"/>
      <c r="AX2864" s="7"/>
    </row>
    <row r="2865" spans="14:50" x14ac:dyDescent="0.25">
      <c r="N2865" s="3"/>
      <c r="AW2865" s="7"/>
      <c r="AX2865" s="7"/>
    </row>
    <row r="2866" spans="14:50" x14ac:dyDescent="0.25">
      <c r="N2866" s="3"/>
      <c r="AW2866" s="7"/>
      <c r="AX2866" s="7"/>
    </row>
    <row r="2867" spans="14:50" x14ac:dyDescent="0.25">
      <c r="N2867" s="3"/>
      <c r="AW2867" s="7"/>
      <c r="AX2867" s="7"/>
    </row>
    <row r="2868" spans="14:50" x14ac:dyDescent="0.25">
      <c r="N2868" s="3"/>
      <c r="AW2868" s="7"/>
      <c r="AX2868" s="7"/>
    </row>
    <row r="2869" spans="14:50" x14ac:dyDescent="0.25">
      <c r="N2869" s="3"/>
      <c r="AW2869" s="7"/>
      <c r="AX2869" s="7"/>
    </row>
    <row r="2870" spans="14:50" x14ac:dyDescent="0.25">
      <c r="N2870" s="3"/>
      <c r="AW2870" s="7"/>
      <c r="AX2870" s="7"/>
    </row>
    <row r="2871" spans="14:50" x14ac:dyDescent="0.25">
      <c r="N2871" s="3"/>
      <c r="AW2871" s="7"/>
      <c r="AX2871" s="7"/>
    </row>
    <row r="2872" spans="14:50" x14ac:dyDescent="0.25">
      <c r="N2872" s="3"/>
      <c r="AW2872" s="7"/>
      <c r="AX2872" s="7"/>
    </row>
    <row r="2873" spans="14:50" x14ac:dyDescent="0.25">
      <c r="N2873" s="3"/>
      <c r="AW2873" s="7"/>
      <c r="AX2873" s="7"/>
    </row>
    <row r="2874" spans="14:50" x14ac:dyDescent="0.25">
      <c r="N2874" s="3"/>
      <c r="AW2874" s="7"/>
      <c r="AX2874" s="7"/>
    </row>
    <row r="2875" spans="14:50" x14ac:dyDescent="0.25">
      <c r="N2875" s="3"/>
      <c r="AW2875" s="7"/>
      <c r="AX2875" s="7"/>
    </row>
    <row r="2876" spans="14:50" x14ac:dyDescent="0.25">
      <c r="N2876" s="3"/>
      <c r="AW2876" s="7"/>
      <c r="AX2876" s="7"/>
    </row>
    <row r="2877" spans="14:50" x14ac:dyDescent="0.25">
      <c r="N2877" s="3"/>
      <c r="AW2877" s="7"/>
      <c r="AX2877" s="7"/>
    </row>
    <row r="2878" spans="14:50" x14ac:dyDescent="0.25">
      <c r="N2878" s="3"/>
      <c r="AW2878" s="7"/>
      <c r="AX2878" s="7"/>
    </row>
    <row r="2879" spans="14:50" x14ac:dyDescent="0.25">
      <c r="N2879" s="3"/>
      <c r="AW2879" s="7"/>
      <c r="AX2879" s="7"/>
    </row>
    <row r="2880" spans="14:50" x14ac:dyDescent="0.25">
      <c r="N2880" s="3"/>
      <c r="AW2880" s="7"/>
      <c r="AX2880" s="7"/>
    </row>
    <row r="2881" spans="14:50" x14ac:dyDescent="0.25">
      <c r="N2881" s="3"/>
      <c r="AW2881" s="7"/>
      <c r="AX2881" s="7"/>
    </row>
    <row r="2882" spans="14:50" x14ac:dyDescent="0.25">
      <c r="N2882" s="3"/>
      <c r="AW2882" s="7"/>
      <c r="AX2882" s="7"/>
    </row>
    <row r="2883" spans="14:50" x14ac:dyDescent="0.25">
      <c r="N2883" s="3"/>
      <c r="AW2883" s="7"/>
      <c r="AX2883" s="7"/>
    </row>
    <row r="2884" spans="14:50" x14ac:dyDescent="0.25">
      <c r="N2884" s="3"/>
      <c r="AW2884" s="7"/>
      <c r="AX2884" s="7"/>
    </row>
    <row r="2885" spans="14:50" x14ac:dyDescent="0.25">
      <c r="N2885" s="3"/>
      <c r="AW2885" s="7"/>
      <c r="AX2885" s="7"/>
    </row>
    <row r="2886" spans="14:50" x14ac:dyDescent="0.25">
      <c r="N2886" s="3"/>
      <c r="AW2886" s="7"/>
      <c r="AX2886" s="7"/>
    </row>
    <row r="2887" spans="14:50" x14ac:dyDescent="0.25">
      <c r="N2887" s="3"/>
      <c r="AW2887" s="7"/>
      <c r="AX2887" s="7"/>
    </row>
    <row r="2888" spans="14:50" x14ac:dyDescent="0.25">
      <c r="N2888" s="3"/>
      <c r="AW2888" s="7"/>
      <c r="AX2888" s="7"/>
    </row>
    <row r="2889" spans="14:50" x14ac:dyDescent="0.25">
      <c r="N2889" s="3"/>
      <c r="AW2889" s="7"/>
      <c r="AX2889" s="7"/>
    </row>
    <row r="2890" spans="14:50" x14ac:dyDescent="0.25">
      <c r="N2890" s="3"/>
      <c r="AW2890" s="7"/>
      <c r="AX2890" s="7"/>
    </row>
    <row r="2891" spans="14:50" x14ac:dyDescent="0.25">
      <c r="N2891" s="3"/>
      <c r="AW2891" s="7"/>
      <c r="AX2891" s="7"/>
    </row>
    <row r="2892" spans="14:50" x14ac:dyDescent="0.25">
      <c r="N2892" s="3"/>
      <c r="AW2892" s="7"/>
      <c r="AX2892" s="7"/>
    </row>
    <row r="2893" spans="14:50" x14ac:dyDescent="0.25">
      <c r="N2893" s="3"/>
      <c r="AW2893" s="7"/>
      <c r="AX2893" s="7"/>
    </row>
    <row r="2894" spans="14:50" x14ac:dyDescent="0.25">
      <c r="N2894" s="3"/>
      <c r="AW2894" s="7"/>
      <c r="AX2894" s="7"/>
    </row>
    <row r="2895" spans="14:50" x14ac:dyDescent="0.25">
      <c r="N2895" s="3"/>
      <c r="AW2895" s="7"/>
      <c r="AX2895" s="7"/>
    </row>
    <row r="2896" spans="14:50" x14ac:dyDescent="0.25">
      <c r="N2896" s="3"/>
      <c r="AW2896" s="7"/>
      <c r="AX2896" s="7"/>
    </row>
    <row r="2897" spans="14:50" x14ac:dyDescent="0.25">
      <c r="N2897" s="3"/>
      <c r="AW2897" s="7"/>
      <c r="AX2897" s="7"/>
    </row>
    <row r="2898" spans="14:50" x14ac:dyDescent="0.25">
      <c r="N2898" s="3"/>
      <c r="AW2898" s="7"/>
      <c r="AX2898" s="7"/>
    </row>
    <row r="2899" spans="14:50" x14ac:dyDescent="0.25">
      <c r="N2899" s="3"/>
      <c r="AW2899" s="7"/>
      <c r="AX2899" s="7"/>
    </row>
    <row r="2900" spans="14:50" x14ac:dyDescent="0.25">
      <c r="N2900" s="3"/>
      <c r="AW2900" s="7"/>
      <c r="AX2900" s="7"/>
    </row>
    <row r="2901" spans="14:50" x14ac:dyDescent="0.25">
      <c r="N2901" s="3"/>
      <c r="AW2901" s="7"/>
      <c r="AX2901" s="7"/>
    </row>
    <row r="2902" spans="14:50" x14ac:dyDescent="0.25">
      <c r="N2902" s="3"/>
      <c r="AW2902" s="7"/>
      <c r="AX2902" s="7"/>
    </row>
    <row r="2903" spans="14:50" x14ac:dyDescent="0.25">
      <c r="N2903" s="3"/>
      <c r="AW2903" s="7"/>
      <c r="AX2903" s="7"/>
    </row>
    <row r="2904" spans="14:50" x14ac:dyDescent="0.25">
      <c r="N2904" s="3"/>
      <c r="AW2904" s="7"/>
      <c r="AX2904" s="7"/>
    </row>
    <row r="2905" spans="14:50" x14ac:dyDescent="0.25">
      <c r="N2905" s="3"/>
      <c r="AW2905" s="7"/>
      <c r="AX2905" s="7"/>
    </row>
    <row r="2906" spans="14:50" x14ac:dyDescent="0.25">
      <c r="N2906" s="3"/>
      <c r="AW2906" s="7"/>
      <c r="AX2906" s="7"/>
    </row>
    <row r="2907" spans="14:50" x14ac:dyDescent="0.25">
      <c r="N2907" s="3"/>
      <c r="AW2907" s="7"/>
      <c r="AX2907" s="7"/>
    </row>
    <row r="2908" spans="14:50" x14ac:dyDescent="0.25">
      <c r="N2908" s="3"/>
      <c r="AW2908" s="7"/>
      <c r="AX2908" s="7"/>
    </row>
    <row r="2909" spans="14:50" x14ac:dyDescent="0.25">
      <c r="N2909" s="3"/>
      <c r="AW2909" s="7"/>
      <c r="AX2909" s="7"/>
    </row>
    <row r="2910" spans="14:50" x14ac:dyDescent="0.25">
      <c r="N2910" s="3"/>
      <c r="AW2910" s="7"/>
      <c r="AX2910" s="7"/>
    </row>
    <row r="2911" spans="14:50" x14ac:dyDescent="0.25">
      <c r="N2911" s="3"/>
      <c r="AW2911" s="7"/>
      <c r="AX2911" s="7"/>
    </row>
    <row r="2912" spans="14:50" x14ac:dyDescent="0.25">
      <c r="N2912" s="3"/>
      <c r="AW2912" s="7"/>
      <c r="AX2912" s="7"/>
    </row>
    <row r="2913" spans="14:50" x14ac:dyDescent="0.25">
      <c r="N2913" s="3"/>
      <c r="AW2913" s="7"/>
      <c r="AX2913" s="7"/>
    </row>
    <row r="2914" spans="14:50" x14ac:dyDescent="0.25">
      <c r="N2914" s="3"/>
      <c r="AW2914" s="7"/>
      <c r="AX2914" s="7"/>
    </row>
    <row r="2915" spans="14:50" x14ac:dyDescent="0.25">
      <c r="N2915" s="3"/>
      <c r="AW2915" s="7"/>
      <c r="AX2915" s="7"/>
    </row>
    <row r="2916" spans="14:50" x14ac:dyDescent="0.25">
      <c r="N2916" s="3"/>
      <c r="AW2916" s="7"/>
      <c r="AX2916" s="7"/>
    </row>
    <row r="2917" spans="14:50" x14ac:dyDescent="0.25">
      <c r="N2917" s="3"/>
      <c r="AW2917" s="7"/>
      <c r="AX2917" s="7"/>
    </row>
    <row r="2918" spans="14:50" x14ac:dyDescent="0.25">
      <c r="N2918" s="3"/>
      <c r="AW2918" s="7"/>
      <c r="AX2918" s="7"/>
    </row>
    <row r="2919" spans="14:50" x14ac:dyDescent="0.25">
      <c r="N2919" s="3"/>
      <c r="AW2919" s="7"/>
      <c r="AX2919" s="7"/>
    </row>
    <row r="2920" spans="14:50" x14ac:dyDescent="0.25">
      <c r="N2920" s="3"/>
      <c r="AW2920" s="7"/>
      <c r="AX2920" s="7"/>
    </row>
    <row r="2921" spans="14:50" x14ac:dyDescent="0.25">
      <c r="N2921" s="3"/>
      <c r="AW2921" s="7"/>
      <c r="AX2921" s="7"/>
    </row>
    <row r="2922" spans="14:50" x14ac:dyDescent="0.25">
      <c r="N2922" s="3"/>
      <c r="AW2922" s="7"/>
      <c r="AX2922" s="7"/>
    </row>
    <row r="2923" spans="14:50" x14ac:dyDescent="0.25">
      <c r="N2923" s="3"/>
      <c r="AW2923" s="7"/>
      <c r="AX2923" s="7"/>
    </row>
    <row r="2924" spans="14:50" x14ac:dyDescent="0.25">
      <c r="N2924" s="3"/>
      <c r="AW2924" s="7"/>
      <c r="AX2924" s="7"/>
    </row>
    <row r="2925" spans="14:50" x14ac:dyDescent="0.25">
      <c r="N2925" s="3"/>
      <c r="AW2925" s="7"/>
      <c r="AX2925" s="7"/>
    </row>
    <row r="2926" spans="14:50" x14ac:dyDescent="0.25">
      <c r="N2926" s="3"/>
      <c r="AW2926" s="7"/>
      <c r="AX2926" s="7"/>
    </row>
    <row r="2927" spans="14:50" x14ac:dyDescent="0.25">
      <c r="N2927" s="3"/>
      <c r="AW2927" s="7"/>
      <c r="AX2927" s="7"/>
    </row>
    <row r="2928" spans="14:50" x14ac:dyDescent="0.25">
      <c r="N2928" s="3"/>
      <c r="AW2928" s="7"/>
      <c r="AX2928" s="7"/>
    </row>
    <row r="2929" spans="14:50" x14ac:dyDescent="0.25">
      <c r="N2929" s="3"/>
      <c r="AW2929" s="7"/>
      <c r="AX2929" s="7"/>
    </row>
    <row r="2930" spans="14:50" x14ac:dyDescent="0.25">
      <c r="N2930" s="3"/>
      <c r="AW2930" s="7"/>
      <c r="AX2930" s="7"/>
    </row>
    <row r="2931" spans="14:50" x14ac:dyDescent="0.25">
      <c r="N2931" s="3"/>
      <c r="AW2931" s="7"/>
      <c r="AX2931" s="7"/>
    </row>
    <row r="2932" spans="14:50" x14ac:dyDescent="0.25">
      <c r="N2932" s="3"/>
      <c r="AW2932" s="7"/>
      <c r="AX2932" s="7"/>
    </row>
    <row r="2933" spans="14:50" x14ac:dyDescent="0.25">
      <c r="N2933" s="3"/>
      <c r="AW2933" s="7"/>
      <c r="AX2933" s="7"/>
    </row>
    <row r="2934" spans="14:50" x14ac:dyDescent="0.25">
      <c r="N2934" s="3"/>
      <c r="AW2934" s="7"/>
      <c r="AX2934" s="7"/>
    </row>
    <row r="2935" spans="14:50" x14ac:dyDescent="0.25">
      <c r="N2935" s="3"/>
      <c r="AW2935" s="7"/>
      <c r="AX2935" s="7"/>
    </row>
    <row r="2936" spans="14:50" x14ac:dyDescent="0.25">
      <c r="N2936" s="3"/>
      <c r="AW2936" s="7"/>
      <c r="AX2936" s="7"/>
    </row>
    <row r="2937" spans="14:50" x14ac:dyDescent="0.25">
      <c r="N2937" s="3"/>
      <c r="AW2937" s="7"/>
      <c r="AX2937" s="7"/>
    </row>
    <row r="2938" spans="14:50" x14ac:dyDescent="0.25">
      <c r="N2938" s="3"/>
      <c r="AW2938" s="7"/>
      <c r="AX2938" s="7"/>
    </row>
    <row r="2939" spans="14:50" x14ac:dyDescent="0.25">
      <c r="N2939" s="3"/>
      <c r="AW2939" s="7"/>
      <c r="AX2939" s="7"/>
    </row>
    <row r="2940" spans="14:50" x14ac:dyDescent="0.25">
      <c r="N2940" s="3"/>
      <c r="AW2940" s="7"/>
      <c r="AX2940" s="7"/>
    </row>
    <row r="2941" spans="14:50" x14ac:dyDescent="0.25">
      <c r="N2941" s="3"/>
      <c r="AW2941" s="7"/>
      <c r="AX2941" s="7"/>
    </row>
    <row r="2942" spans="14:50" x14ac:dyDescent="0.25">
      <c r="N2942" s="3"/>
      <c r="AW2942" s="7"/>
      <c r="AX2942" s="7"/>
    </row>
    <row r="2943" spans="14:50" x14ac:dyDescent="0.25">
      <c r="N2943" s="3"/>
      <c r="AW2943" s="7"/>
      <c r="AX2943" s="7"/>
    </row>
    <row r="2944" spans="14:50" x14ac:dyDescent="0.25">
      <c r="N2944" s="3"/>
      <c r="AW2944" s="7"/>
      <c r="AX2944" s="7"/>
    </row>
    <row r="2945" spans="14:50" x14ac:dyDescent="0.25">
      <c r="N2945" s="3"/>
      <c r="AW2945" s="7"/>
      <c r="AX2945" s="7"/>
    </row>
    <row r="2946" spans="14:50" x14ac:dyDescent="0.25">
      <c r="N2946" s="3"/>
      <c r="AW2946" s="7"/>
      <c r="AX2946" s="7"/>
    </row>
    <row r="2947" spans="14:50" x14ac:dyDescent="0.25">
      <c r="N2947" s="3"/>
      <c r="AW2947" s="7"/>
      <c r="AX2947" s="7"/>
    </row>
    <row r="2948" spans="14:50" x14ac:dyDescent="0.25">
      <c r="N2948" s="3"/>
      <c r="AW2948" s="7"/>
      <c r="AX2948" s="7"/>
    </row>
    <row r="2949" spans="14:50" x14ac:dyDescent="0.25">
      <c r="N2949" s="3"/>
      <c r="AW2949" s="7"/>
      <c r="AX2949" s="7"/>
    </row>
    <row r="2950" spans="14:50" x14ac:dyDescent="0.25">
      <c r="N2950" s="3"/>
      <c r="AW2950" s="7"/>
      <c r="AX2950" s="7"/>
    </row>
    <row r="2951" spans="14:50" x14ac:dyDescent="0.25">
      <c r="N2951" s="3"/>
      <c r="AW2951" s="7"/>
      <c r="AX2951" s="7"/>
    </row>
    <row r="2952" spans="14:50" x14ac:dyDescent="0.25">
      <c r="N2952" s="3"/>
      <c r="AW2952" s="7"/>
      <c r="AX2952" s="7"/>
    </row>
    <row r="2953" spans="14:50" x14ac:dyDescent="0.25">
      <c r="N2953" s="3"/>
      <c r="AW2953" s="7"/>
      <c r="AX2953" s="7"/>
    </row>
    <row r="2954" spans="14:50" x14ac:dyDescent="0.25">
      <c r="N2954" s="3"/>
      <c r="AW2954" s="7"/>
      <c r="AX2954" s="7"/>
    </row>
    <row r="2955" spans="14:50" x14ac:dyDescent="0.25">
      <c r="N2955" s="3"/>
      <c r="AW2955" s="7"/>
      <c r="AX2955" s="7"/>
    </row>
    <row r="2956" spans="14:50" x14ac:dyDescent="0.25">
      <c r="N2956" s="3"/>
      <c r="AW2956" s="7"/>
      <c r="AX2956" s="7"/>
    </row>
    <row r="2957" spans="14:50" x14ac:dyDescent="0.25">
      <c r="N2957" s="3"/>
      <c r="AW2957" s="7"/>
      <c r="AX2957" s="7"/>
    </row>
    <row r="2958" spans="14:50" x14ac:dyDescent="0.25">
      <c r="N2958" s="3"/>
      <c r="AW2958" s="7"/>
      <c r="AX2958" s="7"/>
    </row>
    <row r="2959" spans="14:50" x14ac:dyDescent="0.25">
      <c r="N2959" s="3"/>
      <c r="AW2959" s="7"/>
      <c r="AX2959" s="7"/>
    </row>
    <row r="2960" spans="14:50" x14ac:dyDescent="0.25">
      <c r="N2960" s="3"/>
      <c r="AW2960" s="7"/>
      <c r="AX2960" s="7"/>
    </row>
    <row r="2961" spans="14:50" x14ac:dyDescent="0.25">
      <c r="N2961" s="3"/>
      <c r="AW2961" s="7"/>
      <c r="AX2961" s="7"/>
    </row>
    <row r="2962" spans="14:50" x14ac:dyDescent="0.25">
      <c r="N2962" s="3"/>
      <c r="AW2962" s="7"/>
      <c r="AX2962" s="7"/>
    </row>
    <row r="2963" spans="14:50" x14ac:dyDescent="0.25">
      <c r="N2963" s="3"/>
      <c r="AW2963" s="7"/>
      <c r="AX2963" s="7"/>
    </row>
    <row r="2964" spans="14:50" x14ac:dyDescent="0.25">
      <c r="N2964" s="3"/>
      <c r="AW2964" s="7"/>
      <c r="AX2964" s="7"/>
    </row>
    <row r="2965" spans="14:50" x14ac:dyDescent="0.25">
      <c r="N2965" s="3"/>
      <c r="AW2965" s="7"/>
      <c r="AX2965" s="7"/>
    </row>
    <row r="2966" spans="14:50" x14ac:dyDescent="0.25">
      <c r="N2966" s="3"/>
      <c r="AW2966" s="7"/>
      <c r="AX2966" s="7"/>
    </row>
    <row r="2967" spans="14:50" x14ac:dyDescent="0.25">
      <c r="N2967" s="3"/>
      <c r="AW2967" s="7"/>
      <c r="AX2967" s="7"/>
    </row>
    <row r="2968" spans="14:50" x14ac:dyDescent="0.25">
      <c r="N2968" s="3"/>
      <c r="AW2968" s="7"/>
      <c r="AX2968" s="7"/>
    </row>
    <row r="2969" spans="14:50" x14ac:dyDescent="0.25">
      <c r="N2969" s="3"/>
      <c r="AW2969" s="7"/>
      <c r="AX2969" s="7"/>
    </row>
    <row r="2970" spans="14:50" x14ac:dyDescent="0.25">
      <c r="N2970" s="3"/>
      <c r="AW2970" s="7"/>
      <c r="AX2970" s="7"/>
    </row>
    <row r="2971" spans="14:50" x14ac:dyDescent="0.25">
      <c r="N2971" s="3"/>
      <c r="AW2971" s="7"/>
      <c r="AX2971" s="7"/>
    </row>
    <row r="2972" spans="14:50" x14ac:dyDescent="0.25">
      <c r="N2972" s="3"/>
      <c r="AW2972" s="7"/>
      <c r="AX2972" s="7"/>
    </row>
    <row r="2973" spans="14:50" x14ac:dyDescent="0.25">
      <c r="N2973" s="3"/>
      <c r="AW2973" s="7"/>
      <c r="AX2973" s="7"/>
    </row>
    <row r="2974" spans="14:50" x14ac:dyDescent="0.25">
      <c r="N2974" s="3"/>
      <c r="AW2974" s="7"/>
      <c r="AX2974" s="7"/>
    </row>
    <row r="2975" spans="14:50" x14ac:dyDescent="0.25">
      <c r="N2975" s="3"/>
      <c r="AW2975" s="7"/>
      <c r="AX2975" s="7"/>
    </row>
    <row r="2976" spans="14:50" x14ac:dyDescent="0.25">
      <c r="N2976" s="3"/>
      <c r="AW2976" s="7"/>
      <c r="AX2976" s="7"/>
    </row>
    <row r="2977" spans="14:50" x14ac:dyDescent="0.25">
      <c r="N2977" s="3"/>
      <c r="AW2977" s="7"/>
      <c r="AX2977" s="7"/>
    </row>
    <row r="2978" spans="14:50" x14ac:dyDescent="0.25">
      <c r="N2978" s="3"/>
      <c r="AW2978" s="7"/>
      <c r="AX2978" s="7"/>
    </row>
    <row r="2979" spans="14:50" x14ac:dyDescent="0.25">
      <c r="N2979" s="3"/>
      <c r="AW2979" s="7"/>
      <c r="AX2979" s="7"/>
    </row>
    <row r="2980" spans="14:50" x14ac:dyDescent="0.25">
      <c r="N2980" s="3"/>
      <c r="AW2980" s="7"/>
      <c r="AX2980" s="7"/>
    </row>
    <row r="2981" spans="14:50" x14ac:dyDescent="0.25">
      <c r="N2981" s="3"/>
      <c r="AW2981" s="7"/>
      <c r="AX2981" s="7"/>
    </row>
    <row r="2982" spans="14:50" x14ac:dyDescent="0.25">
      <c r="N2982" s="3"/>
      <c r="AW2982" s="7"/>
      <c r="AX2982" s="7"/>
    </row>
    <row r="2983" spans="14:50" x14ac:dyDescent="0.25">
      <c r="N2983" s="3"/>
      <c r="AW2983" s="7"/>
      <c r="AX2983" s="7"/>
    </row>
    <row r="2984" spans="14:50" x14ac:dyDescent="0.25">
      <c r="N2984" s="3"/>
      <c r="AW2984" s="7"/>
      <c r="AX2984" s="7"/>
    </row>
    <row r="2985" spans="14:50" x14ac:dyDescent="0.25">
      <c r="N2985" s="3"/>
      <c r="AW2985" s="7"/>
      <c r="AX2985" s="7"/>
    </row>
    <row r="2986" spans="14:50" x14ac:dyDescent="0.25">
      <c r="N2986" s="3"/>
      <c r="AW2986" s="7"/>
      <c r="AX2986" s="7"/>
    </row>
    <row r="2987" spans="14:50" x14ac:dyDescent="0.25">
      <c r="N2987" s="3"/>
      <c r="AW2987" s="7"/>
      <c r="AX2987" s="7"/>
    </row>
    <row r="2988" spans="14:50" x14ac:dyDescent="0.25">
      <c r="N2988" s="3"/>
      <c r="AW2988" s="7"/>
      <c r="AX2988" s="7"/>
    </row>
    <row r="2989" spans="14:50" x14ac:dyDescent="0.25">
      <c r="N2989" s="3"/>
      <c r="AW2989" s="7"/>
      <c r="AX2989" s="7"/>
    </row>
    <row r="2990" spans="14:50" x14ac:dyDescent="0.25">
      <c r="N2990" s="3"/>
      <c r="AW2990" s="7"/>
      <c r="AX2990" s="7"/>
    </row>
    <row r="2991" spans="14:50" x14ac:dyDescent="0.25">
      <c r="N2991" s="3"/>
      <c r="AW2991" s="7"/>
      <c r="AX2991" s="7"/>
    </row>
    <row r="2992" spans="14:50" x14ac:dyDescent="0.25">
      <c r="N2992" s="3"/>
      <c r="AW2992" s="7"/>
      <c r="AX2992" s="7"/>
    </row>
    <row r="2993" spans="14:50" x14ac:dyDescent="0.25">
      <c r="N2993" s="3"/>
      <c r="AW2993" s="7"/>
      <c r="AX2993" s="7"/>
    </row>
    <row r="2994" spans="14:50" x14ac:dyDescent="0.25">
      <c r="N2994" s="3"/>
      <c r="AW2994" s="7"/>
      <c r="AX2994" s="7"/>
    </row>
    <row r="2995" spans="14:50" x14ac:dyDescent="0.25">
      <c r="N2995" s="3"/>
      <c r="AW2995" s="7"/>
      <c r="AX2995" s="7"/>
    </row>
    <row r="2996" spans="14:50" x14ac:dyDescent="0.25">
      <c r="N2996" s="3"/>
      <c r="AW2996" s="7"/>
      <c r="AX2996" s="7"/>
    </row>
    <row r="2997" spans="14:50" x14ac:dyDescent="0.25">
      <c r="N2997" s="3"/>
      <c r="AW2997" s="7"/>
      <c r="AX2997" s="7"/>
    </row>
    <row r="2998" spans="14:50" x14ac:dyDescent="0.25">
      <c r="N2998" s="3"/>
      <c r="AW2998" s="7"/>
      <c r="AX2998" s="7"/>
    </row>
    <row r="2999" spans="14:50" x14ac:dyDescent="0.25">
      <c r="N2999" s="3"/>
      <c r="AW2999" s="7"/>
      <c r="AX2999" s="7"/>
    </row>
    <row r="3000" spans="14:50" x14ac:dyDescent="0.25">
      <c r="N3000" s="3"/>
      <c r="AW3000" s="7"/>
      <c r="AX3000" s="7"/>
    </row>
    <row r="3001" spans="14:50" x14ac:dyDescent="0.25">
      <c r="N3001" s="3"/>
      <c r="AW3001" s="7"/>
      <c r="AX3001" s="7"/>
    </row>
    <row r="3002" spans="14:50" x14ac:dyDescent="0.25">
      <c r="N3002" s="3"/>
      <c r="AW3002" s="7"/>
      <c r="AX3002" s="7"/>
    </row>
    <row r="3003" spans="14:50" x14ac:dyDescent="0.25">
      <c r="N3003" s="3"/>
      <c r="AW3003" s="7"/>
      <c r="AX3003" s="7"/>
    </row>
    <row r="3004" spans="14:50" x14ac:dyDescent="0.25">
      <c r="N3004" s="3"/>
      <c r="AW3004" s="7"/>
      <c r="AX3004" s="7"/>
    </row>
    <row r="3005" spans="14:50" x14ac:dyDescent="0.25">
      <c r="N3005" s="3"/>
      <c r="AW3005" s="7"/>
      <c r="AX3005" s="7"/>
    </row>
    <row r="3006" spans="14:50" x14ac:dyDescent="0.25">
      <c r="N3006" s="3"/>
      <c r="AW3006" s="7"/>
      <c r="AX3006" s="7"/>
    </row>
    <row r="3007" spans="14:50" x14ac:dyDescent="0.25">
      <c r="N3007" s="3"/>
      <c r="AW3007" s="7"/>
      <c r="AX3007" s="7"/>
    </row>
    <row r="3008" spans="14:50" x14ac:dyDescent="0.25">
      <c r="N3008" s="3"/>
      <c r="AW3008" s="7"/>
      <c r="AX3008" s="7"/>
    </row>
    <row r="3009" spans="14:50" x14ac:dyDescent="0.25">
      <c r="N3009" s="3"/>
      <c r="AW3009" s="7"/>
      <c r="AX3009" s="7"/>
    </row>
    <row r="3010" spans="14:50" x14ac:dyDescent="0.25">
      <c r="N3010" s="3"/>
      <c r="AW3010" s="7"/>
      <c r="AX3010" s="7"/>
    </row>
    <row r="3011" spans="14:50" x14ac:dyDescent="0.25">
      <c r="N3011" s="3"/>
      <c r="AW3011" s="7"/>
      <c r="AX3011" s="7"/>
    </row>
    <row r="3012" spans="14:50" x14ac:dyDescent="0.25">
      <c r="N3012" s="3"/>
      <c r="AW3012" s="7"/>
      <c r="AX3012" s="7"/>
    </row>
    <row r="3013" spans="14:50" x14ac:dyDescent="0.25">
      <c r="N3013" s="3"/>
      <c r="AW3013" s="7"/>
      <c r="AX3013" s="7"/>
    </row>
    <row r="3014" spans="14:50" x14ac:dyDescent="0.25">
      <c r="N3014" s="3"/>
      <c r="AW3014" s="7"/>
      <c r="AX3014" s="7"/>
    </row>
    <row r="3015" spans="14:50" x14ac:dyDescent="0.25">
      <c r="N3015" s="3"/>
      <c r="AW3015" s="7"/>
      <c r="AX3015" s="7"/>
    </row>
    <row r="3016" spans="14:50" x14ac:dyDescent="0.25">
      <c r="N3016" s="3"/>
      <c r="AW3016" s="7"/>
      <c r="AX3016" s="7"/>
    </row>
    <row r="3017" spans="14:50" x14ac:dyDescent="0.25">
      <c r="N3017" s="3"/>
      <c r="AW3017" s="7"/>
      <c r="AX3017" s="7"/>
    </row>
    <row r="3018" spans="14:50" x14ac:dyDescent="0.25">
      <c r="N3018" s="3"/>
      <c r="AW3018" s="7"/>
      <c r="AX3018" s="7"/>
    </row>
    <row r="3019" spans="14:50" x14ac:dyDescent="0.25">
      <c r="N3019" s="3"/>
      <c r="AW3019" s="7"/>
      <c r="AX3019" s="7"/>
    </row>
    <row r="3020" spans="14:50" x14ac:dyDescent="0.25">
      <c r="N3020" s="3"/>
      <c r="AW3020" s="7"/>
      <c r="AX3020" s="7"/>
    </row>
    <row r="3021" spans="14:50" x14ac:dyDescent="0.25">
      <c r="N3021" s="3"/>
      <c r="AW3021" s="7"/>
      <c r="AX3021" s="7"/>
    </row>
    <row r="3022" spans="14:50" x14ac:dyDescent="0.25">
      <c r="N3022" s="3"/>
      <c r="AW3022" s="7"/>
      <c r="AX3022" s="7"/>
    </row>
    <row r="3023" spans="14:50" x14ac:dyDescent="0.25">
      <c r="N3023" s="3"/>
      <c r="AW3023" s="7"/>
      <c r="AX3023" s="7"/>
    </row>
    <row r="3024" spans="14:50" x14ac:dyDescent="0.25">
      <c r="N3024" s="3"/>
      <c r="AW3024" s="7"/>
      <c r="AX3024" s="7"/>
    </row>
    <row r="3025" spans="14:50" x14ac:dyDescent="0.25">
      <c r="N3025" s="3"/>
      <c r="AW3025" s="7"/>
      <c r="AX3025" s="7"/>
    </row>
    <row r="3026" spans="14:50" x14ac:dyDescent="0.25">
      <c r="N3026" s="3"/>
      <c r="AW3026" s="7"/>
      <c r="AX3026" s="7"/>
    </row>
    <row r="3027" spans="14:50" x14ac:dyDescent="0.25">
      <c r="N3027" s="3"/>
      <c r="AW3027" s="7"/>
      <c r="AX3027" s="7"/>
    </row>
    <row r="3028" spans="14:50" x14ac:dyDescent="0.25">
      <c r="N3028" s="3"/>
      <c r="AW3028" s="7"/>
      <c r="AX3028" s="7"/>
    </row>
    <row r="3029" spans="14:50" x14ac:dyDescent="0.25">
      <c r="N3029" s="3"/>
      <c r="AW3029" s="7"/>
      <c r="AX3029" s="7"/>
    </row>
    <row r="3030" spans="14:50" x14ac:dyDescent="0.25">
      <c r="N3030" s="3"/>
      <c r="AW3030" s="7"/>
      <c r="AX3030" s="7"/>
    </row>
    <row r="3031" spans="14:50" x14ac:dyDescent="0.25">
      <c r="N3031" s="3"/>
      <c r="AW3031" s="7"/>
      <c r="AX3031" s="7"/>
    </row>
    <row r="3032" spans="14:50" x14ac:dyDescent="0.25">
      <c r="N3032" s="3"/>
      <c r="AW3032" s="7"/>
      <c r="AX3032" s="7"/>
    </row>
    <row r="3033" spans="14:50" x14ac:dyDescent="0.25">
      <c r="N3033" s="3"/>
      <c r="AW3033" s="7"/>
      <c r="AX3033" s="7"/>
    </row>
    <row r="3034" spans="14:50" x14ac:dyDescent="0.25">
      <c r="N3034" s="3"/>
      <c r="AW3034" s="7"/>
      <c r="AX3034" s="7"/>
    </row>
    <row r="3035" spans="14:50" x14ac:dyDescent="0.25">
      <c r="N3035" s="3"/>
      <c r="AW3035" s="7"/>
      <c r="AX3035" s="7"/>
    </row>
    <row r="3036" spans="14:50" x14ac:dyDescent="0.25">
      <c r="N3036" s="3"/>
      <c r="AW3036" s="7"/>
      <c r="AX3036" s="7"/>
    </row>
    <row r="3037" spans="14:50" x14ac:dyDescent="0.25">
      <c r="N3037" s="3"/>
      <c r="AW3037" s="7"/>
      <c r="AX3037" s="7"/>
    </row>
    <row r="3038" spans="14:50" x14ac:dyDescent="0.25">
      <c r="N3038" s="3"/>
      <c r="AW3038" s="7"/>
      <c r="AX3038" s="7"/>
    </row>
    <row r="3039" spans="14:50" x14ac:dyDescent="0.25">
      <c r="N3039" s="3"/>
      <c r="AW3039" s="7"/>
      <c r="AX3039" s="7"/>
    </row>
    <row r="3040" spans="14:50" x14ac:dyDescent="0.25">
      <c r="N3040" s="3"/>
      <c r="AW3040" s="7"/>
      <c r="AX3040" s="7"/>
    </row>
    <row r="3041" spans="14:50" x14ac:dyDescent="0.25">
      <c r="N3041" s="3"/>
      <c r="AW3041" s="7"/>
      <c r="AX3041" s="7"/>
    </row>
    <row r="3042" spans="14:50" x14ac:dyDescent="0.25">
      <c r="N3042" s="3"/>
      <c r="AW3042" s="7"/>
      <c r="AX3042" s="7"/>
    </row>
    <row r="3043" spans="14:50" x14ac:dyDescent="0.25">
      <c r="N3043" s="3"/>
      <c r="AW3043" s="7"/>
      <c r="AX3043" s="7"/>
    </row>
    <row r="3044" spans="14:50" x14ac:dyDescent="0.25">
      <c r="N3044" s="3"/>
      <c r="AW3044" s="7"/>
      <c r="AX3044" s="7"/>
    </row>
    <row r="3045" spans="14:50" x14ac:dyDescent="0.25">
      <c r="N3045" s="3"/>
      <c r="AW3045" s="7"/>
      <c r="AX3045" s="7"/>
    </row>
    <row r="3046" spans="14:50" x14ac:dyDescent="0.25">
      <c r="N3046" s="3"/>
      <c r="AW3046" s="7"/>
      <c r="AX3046" s="7"/>
    </row>
    <row r="3047" spans="14:50" x14ac:dyDescent="0.25">
      <c r="N3047" s="3"/>
      <c r="AW3047" s="7"/>
      <c r="AX3047" s="7"/>
    </row>
    <row r="3048" spans="14:50" x14ac:dyDescent="0.25">
      <c r="N3048" s="3"/>
      <c r="AW3048" s="7"/>
      <c r="AX3048" s="7"/>
    </row>
    <row r="3049" spans="14:50" x14ac:dyDescent="0.25">
      <c r="N3049" s="3"/>
      <c r="AW3049" s="7"/>
      <c r="AX3049" s="7"/>
    </row>
    <row r="3050" spans="14:50" x14ac:dyDescent="0.25">
      <c r="N3050" s="3"/>
      <c r="AW3050" s="7"/>
      <c r="AX3050" s="7"/>
    </row>
    <row r="3051" spans="14:50" x14ac:dyDescent="0.25">
      <c r="N3051" s="3"/>
      <c r="AW3051" s="7"/>
      <c r="AX3051" s="7"/>
    </row>
    <row r="3052" spans="14:50" x14ac:dyDescent="0.25">
      <c r="N3052" s="3"/>
      <c r="AW3052" s="7"/>
      <c r="AX3052" s="7"/>
    </row>
    <row r="3053" spans="14:50" x14ac:dyDescent="0.25">
      <c r="N3053" s="3"/>
      <c r="AW3053" s="7"/>
      <c r="AX3053" s="7"/>
    </row>
    <row r="3054" spans="14:50" x14ac:dyDescent="0.25">
      <c r="N3054" s="3"/>
      <c r="AW3054" s="7"/>
      <c r="AX3054" s="7"/>
    </row>
    <row r="3055" spans="14:50" x14ac:dyDescent="0.25">
      <c r="N3055" s="3"/>
      <c r="AW3055" s="7"/>
      <c r="AX3055" s="7"/>
    </row>
    <row r="3056" spans="14:50" x14ac:dyDescent="0.25">
      <c r="N3056" s="3"/>
      <c r="AW3056" s="7"/>
      <c r="AX3056" s="7"/>
    </row>
    <row r="3057" spans="14:50" x14ac:dyDescent="0.25">
      <c r="N3057" s="3"/>
      <c r="AW3057" s="7"/>
      <c r="AX3057" s="7"/>
    </row>
    <row r="3058" spans="14:50" x14ac:dyDescent="0.25">
      <c r="N3058" s="3"/>
      <c r="AW3058" s="7"/>
      <c r="AX3058" s="7"/>
    </row>
    <row r="3059" spans="14:50" x14ac:dyDescent="0.25">
      <c r="N3059" s="3"/>
      <c r="AW3059" s="7"/>
      <c r="AX3059" s="7"/>
    </row>
    <row r="3060" spans="14:50" x14ac:dyDescent="0.25">
      <c r="N3060" s="3"/>
      <c r="AW3060" s="7"/>
      <c r="AX3060" s="7"/>
    </row>
    <row r="3061" spans="14:50" x14ac:dyDescent="0.25">
      <c r="N3061" s="3"/>
      <c r="AW3061" s="7"/>
      <c r="AX3061" s="7"/>
    </row>
    <row r="3062" spans="14:50" x14ac:dyDescent="0.25">
      <c r="N3062" s="3"/>
      <c r="AW3062" s="7"/>
      <c r="AX3062" s="7"/>
    </row>
    <row r="3063" spans="14:50" x14ac:dyDescent="0.25">
      <c r="N3063" s="3"/>
      <c r="AW3063" s="7"/>
      <c r="AX3063" s="7"/>
    </row>
    <row r="3064" spans="14:50" x14ac:dyDescent="0.25">
      <c r="N3064" s="3"/>
      <c r="AW3064" s="7"/>
      <c r="AX3064" s="7"/>
    </row>
    <row r="3065" spans="14:50" x14ac:dyDescent="0.25">
      <c r="N3065" s="3"/>
      <c r="AW3065" s="7"/>
      <c r="AX3065" s="7"/>
    </row>
    <row r="3066" spans="14:50" x14ac:dyDescent="0.25">
      <c r="N3066" s="3"/>
      <c r="AW3066" s="7"/>
      <c r="AX3066" s="7"/>
    </row>
    <row r="3067" spans="14:50" x14ac:dyDescent="0.25">
      <c r="N3067" s="3"/>
      <c r="AW3067" s="7"/>
      <c r="AX3067" s="7"/>
    </row>
    <row r="3068" spans="14:50" x14ac:dyDescent="0.25">
      <c r="N3068" s="3"/>
      <c r="AW3068" s="7"/>
      <c r="AX3068" s="7"/>
    </row>
    <row r="3069" spans="14:50" x14ac:dyDescent="0.25">
      <c r="N3069" s="3"/>
      <c r="AW3069" s="7"/>
      <c r="AX3069" s="7"/>
    </row>
    <row r="3070" spans="14:50" x14ac:dyDescent="0.25">
      <c r="N3070" s="3"/>
      <c r="AW3070" s="7"/>
      <c r="AX3070" s="7"/>
    </row>
    <row r="3071" spans="14:50" x14ac:dyDescent="0.25">
      <c r="N3071" s="3"/>
      <c r="AW3071" s="7"/>
      <c r="AX3071" s="7"/>
    </row>
    <row r="3072" spans="14:50" x14ac:dyDescent="0.25">
      <c r="N3072" s="3"/>
      <c r="AW3072" s="7"/>
      <c r="AX3072" s="7"/>
    </row>
    <row r="3073" spans="14:50" x14ac:dyDescent="0.25">
      <c r="N3073" s="3"/>
      <c r="AW3073" s="7"/>
      <c r="AX3073" s="7"/>
    </row>
    <row r="3074" spans="14:50" x14ac:dyDescent="0.25">
      <c r="N3074" s="3"/>
      <c r="AW3074" s="7"/>
      <c r="AX3074" s="7"/>
    </row>
    <row r="3075" spans="14:50" x14ac:dyDescent="0.25">
      <c r="N3075" s="3"/>
      <c r="AW3075" s="7"/>
      <c r="AX3075" s="7"/>
    </row>
    <row r="3076" spans="14:50" x14ac:dyDescent="0.25">
      <c r="N3076" s="3"/>
      <c r="AW3076" s="7"/>
      <c r="AX3076" s="7"/>
    </row>
    <row r="3077" spans="14:50" x14ac:dyDescent="0.25">
      <c r="N3077" s="3"/>
      <c r="AW3077" s="7"/>
      <c r="AX3077" s="7"/>
    </row>
    <row r="3078" spans="14:50" x14ac:dyDescent="0.25">
      <c r="N3078" s="3"/>
      <c r="AW3078" s="7"/>
      <c r="AX3078" s="7"/>
    </row>
    <row r="3079" spans="14:50" x14ac:dyDescent="0.25">
      <c r="N3079" s="3"/>
      <c r="AW3079" s="7"/>
      <c r="AX3079" s="7"/>
    </row>
    <row r="3080" spans="14:50" x14ac:dyDescent="0.25">
      <c r="N3080" s="3"/>
      <c r="AW3080" s="7"/>
      <c r="AX3080" s="7"/>
    </row>
    <row r="3081" spans="14:50" x14ac:dyDescent="0.25">
      <c r="N3081" s="3"/>
      <c r="AW3081" s="7"/>
      <c r="AX3081" s="7"/>
    </row>
    <row r="3082" spans="14:50" x14ac:dyDescent="0.25">
      <c r="N3082" s="3"/>
      <c r="AW3082" s="7"/>
      <c r="AX3082" s="7"/>
    </row>
    <row r="3083" spans="14:50" x14ac:dyDescent="0.25">
      <c r="N3083" s="3"/>
      <c r="AW3083" s="7"/>
      <c r="AX3083" s="7"/>
    </row>
    <row r="3084" spans="14:50" x14ac:dyDescent="0.25">
      <c r="N3084" s="3"/>
      <c r="AW3084" s="7"/>
      <c r="AX3084" s="7"/>
    </row>
    <row r="3085" spans="14:50" x14ac:dyDescent="0.25">
      <c r="N3085" s="3"/>
      <c r="AW3085" s="7"/>
      <c r="AX3085" s="7"/>
    </row>
    <row r="3086" spans="14:50" x14ac:dyDescent="0.25">
      <c r="N3086" s="3"/>
      <c r="AW3086" s="7"/>
      <c r="AX3086" s="7"/>
    </row>
    <row r="3087" spans="14:50" x14ac:dyDescent="0.25">
      <c r="N3087" s="3"/>
      <c r="AW3087" s="7"/>
      <c r="AX3087" s="7"/>
    </row>
    <row r="3088" spans="14:50" x14ac:dyDescent="0.25">
      <c r="N3088" s="3"/>
      <c r="AW3088" s="7"/>
      <c r="AX3088" s="7"/>
    </row>
    <row r="3089" spans="14:50" x14ac:dyDescent="0.25">
      <c r="N3089" s="3"/>
      <c r="AW3089" s="7"/>
      <c r="AX3089" s="7"/>
    </row>
    <row r="3090" spans="14:50" x14ac:dyDescent="0.25">
      <c r="N3090" s="3"/>
      <c r="AW3090" s="7"/>
      <c r="AX3090" s="7"/>
    </row>
    <row r="3091" spans="14:50" x14ac:dyDescent="0.25">
      <c r="N3091" s="3"/>
      <c r="AW3091" s="7"/>
      <c r="AX3091" s="7"/>
    </row>
    <row r="3092" spans="14:50" x14ac:dyDescent="0.25">
      <c r="N3092" s="3"/>
      <c r="AW3092" s="7"/>
      <c r="AX3092" s="7"/>
    </row>
    <row r="3093" spans="14:50" x14ac:dyDescent="0.25">
      <c r="N3093" s="3"/>
      <c r="AW3093" s="7"/>
      <c r="AX3093" s="7"/>
    </row>
    <row r="3094" spans="14:50" x14ac:dyDescent="0.25">
      <c r="N3094" s="3"/>
      <c r="AW3094" s="7"/>
      <c r="AX3094" s="7"/>
    </row>
    <row r="3095" spans="14:50" x14ac:dyDescent="0.25">
      <c r="N3095" s="3"/>
      <c r="AW3095" s="7"/>
      <c r="AX3095" s="7"/>
    </row>
    <row r="3096" spans="14:50" x14ac:dyDescent="0.25">
      <c r="N3096" s="3"/>
      <c r="AW3096" s="7"/>
      <c r="AX3096" s="7"/>
    </row>
    <row r="3097" spans="14:50" x14ac:dyDescent="0.25">
      <c r="N3097" s="3"/>
      <c r="AW3097" s="7"/>
      <c r="AX3097" s="7"/>
    </row>
    <row r="3098" spans="14:50" x14ac:dyDescent="0.25">
      <c r="N3098" s="3"/>
      <c r="AW3098" s="7"/>
      <c r="AX3098" s="7"/>
    </row>
    <row r="3099" spans="14:50" x14ac:dyDescent="0.25">
      <c r="N3099" s="3"/>
      <c r="AW3099" s="7"/>
      <c r="AX3099" s="7"/>
    </row>
    <row r="3100" spans="14:50" x14ac:dyDescent="0.25">
      <c r="N3100" s="3"/>
      <c r="AW3100" s="7"/>
      <c r="AX3100" s="7"/>
    </row>
    <row r="3101" spans="14:50" x14ac:dyDescent="0.25">
      <c r="N3101" s="3"/>
      <c r="AW3101" s="7"/>
      <c r="AX3101" s="7"/>
    </row>
    <row r="3102" spans="14:50" x14ac:dyDescent="0.25">
      <c r="N3102" s="3"/>
      <c r="AW3102" s="7"/>
      <c r="AX3102" s="7"/>
    </row>
    <row r="3103" spans="14:50" x14ac:dyDescent="0.25">
      <c r="N3103" s="3"/>
      <c r="AW3103" s="7"/>
      <c r="AX3103" s="7"/>
    </row>
    <row r="3104" spans="14:50" x14ac:dyDescent="0.25">
      <c r="N3104" s="3"/>
      <c r="AW3104" s="7"/>
      <c r="AX3104" s="7"/>
    </row>
    <row r="3105" spans="14:50" x14ac:dyDescent="0.25">
      <c r="N3105" s="3"/>
      <c r="AW3105" s="7"/>
      <c r="AX3105" s="7"/>
    </row>
    <row r="3106" spans="14:50" x14ac:dyDescent="0.25">
      <c r="N3106" s="3"/>
      <c r="AW3106" s="7"/>
      <c r="AX3106" s="7"/>
    </row>
    <row r="3107" spans="14:50" x14ac:dyDescent="0.25">
      <c r="N3107" s="3"/>
      <c r="AW3107" s="7"/>
      <c r="AX3107" s="7"/>
    </row>
    <row r="3108" spans="14:50" x14ac:dyDescent="0.25">
      <c r="N3108" s="3"/>
      <c r="AW3108" s="7"/>
      <c r="AX3108" s="7"/>
    </row>
    <row r="3109" spans="14:50" x14ac:dyDescent="0.25">
      <c r="N3109" s="3"/>
      <c r="AW3109" s="7"/>
      <c r="AX3109" s="7"/>
    </row>
    <row r="3110" spans="14:50" x14ac:dyDescent="0.25">
      <c r="N3110" s="3"/>
      <c r="AW3110" s="7"/>
      <c r="AX3110" s="7"/>
    </row>
    <row r="3111" spans="14:50" x14ac:dyDescent="0.25">
      <c r="N3111" s="3"/>
      <c r="AW3111" s="7"/>
      <c r="AX3111" s="7"/>
    </row>
    <row r="3112" spans="14:50" x14ac:dyDescent="0.25">
      <c r="N3112" s="3"/>
      <c r="AW3112" s="7"/>
      <c r="AX3112" s="7"/>
    </row>
    <row r="3113" spans="14:50" x14ac:dyDescent="0.25">
      <c r="N3113" s="3"/>
      <c r="AW3113" s="7"/>
      <c r="AX3113" s="7"/>
    </row>
    <row r="3114" spans="14:50" x14ac:dyDescent="0.25">
      <c r="N3114" s="3"/>
      <c r="AW3114" s="7"/>
      <c r="AX3114" s="7"/>
    </row>
    <row r="3115" spans="14:50" x14ac:dyDescent="0.25">
      <c r="N3115" s="3"/>
      <c r="AW3115" s="7"/>
      <c r="AX3115" s="7"/>
    </row>
    <row r="3116" spans="14:50" x14ac:dyDescent="0.25">
      <c r="N3116" s="3"/>
      <c r="AW3116" s="7"/>
      <c r="AX3116" s="7"/>
    </row>
    <row r="3117" spans="14:50" x14ac:dyDescent="0.25">
      <c r="N3117" s="3"/>
      <c r="AW3117" s="7"/>
      <c r="AX3117" s="7"/>
    </row>
    <row r="3118" spans="14:50" x14ac:dyDescent="0.25">
      <c r="N3118" s="3"/>
      <c r="AW3118" s="7"/>
      <c r="AX3118" s="7"/>
    </row>
    <row r="3119" spans="14:50" x14ac:dyDescent="0.25">
      <c r="N3119" s="3"/>
      <c r="AW3119" s="7"/>
      <c r="AX3119" s="7"/>
    </row>
    <row r="3120" spans="14:50" x14ac:dyDescent="0.25">
      <c r="N3120" s="3"/>
      <c r="AW3120" s="7"/>
      <c r="AX3120" s="7"/>
    </row>
    <row r="3121" spans="14:50" x14ac:dyDescent="0.25">
      <c r="N3121" s="3"/>
      <c r="AW3121" s="7"/>
      <c r="AX3121" s="7"/>
    </row>
    <row r="3122" spans="14:50" x14ac:dyDescent="0.25">
      <c r="N3122" s="3"/>
      <c r="AW3122" s="7"/>
      <c r="AX3122" s="7"/>
    </row>
    <row r="3123" spans="14:50" x14ac:dyDescent="0.25">
      <c r="N3123" s="3"/>
      <c r="AW3123" s="7"/>
      <c r="AX3123" s="7"/>
    </row>
    <row r="3124" spans="14:50" x14ac:dyDescent="0.25">
      <c r="N3124" s="3"/>
      <c r="AW3124" s="7"/>
      <c r="AX3124" s="7"/>
    </row>
    <row r="3125" spans="14:50" x14ac:dyDescent="0.25">
      <c r="N3125" s="3"/>
      <c r="AW3125" s="7"/>
      <c r="AX3125" s="7"/>
    </row>
    <row r="3126" spans="14:50" x14ac:dyDescent="0.25">
      <c r="N3126" s="3"/>
      <c r="AW3126" s="7"/>
      <c r="AX3126" s="7"/>
    </row>
    <row r="3127" spans="14:50" x14ac:dyDescent="0.25">
      <c r="N3127" s="3"/>
      <c r="AW3127" s="7"/>
      <c r="AX3127" s="7"/>
    </row>
    <row r="3128" spans="14:50" x14ac:dyDescent="0.25">
      <c r="N3128" s="3"/>
      <c r="AW3128" s="7"/>
      <c r="AX3128" s="7"/>
    </row>
    <row r="3129" spans="14:50" x14ac:dyDescent="0.25">
      <c r="N3129" s="3"/>
      <c r="AW3129" s="7"/>
      <c r="AX3129" s="7"/>
    </row>
    <row r="3130" spans="14:50" x14ac:dyDescent="0.25">
      <c r="N3130" s="3"/>
      <c r="AW3130" s="7"/>
      <c r="AX3130" s="7"/>
    </row>
    <row r="3131" spans="14:50" x14ac:dyDescent="0.25">
      <c r="N3131" s="3"/>
      <c r="AW3131" s="7"/>
      <c r="AX3131" s="7"/>
    </row>
    <row r="3132" spans="14:50" x14ac:dyDescent="0.25">
      <c r="N3132" s="3"/>
      <c r="AW3132" s="7"/>
      <c r="AX3132" s="7"/>
    </row>
    <row r="3133" spans="14:50" x14ac:dyDescent="0.25">
      <c r="N3133" s="3"/>
      <c r="AW3133" s="7"/>
      <c r="AX3133" s="7"/>
    </row>
    <row r="3134" spans="14:50" x14ac:dyDescent="0.25">
      <c r="N3134" s="3"/>
      <c r="AW3134" s="7"/>
      <c r="AX3134" s="7"/>
    </row>
    <row r="3135" spans="14:50" x14ac:dyDescent="0.25">
      <c r="N3135" s="3"/>
      <c r="AW3135" s="7"/>
      <c r="AX3135" s="7"/>
    </row>
    <row r="3136" spans="14:50" x14ac:dyDescent="0.25">
      <c r="N3136" s="3"/>
      <c r="AW3136" s="7"/>
      <c r="AX3136" s="7"/>
    </row>
    <row r="3137" spans="14:50" x14ac:dyDescent="0.25">
      <c r="N3137" s="3"/>
      <c r="AW3137" s="7"/>
      <c r="AX3137" s="7"/>
    </row>
    <row r="3138" spans="14:50" x14ac:dyDescent="0.25">
      <c r="N3138" s="3"/>
      <c r="AW3138" s="7"/>
      <c r="AX3138" s="7"/>
    </row>
    <row r="3139" spans="14:50" x14ac:dyDescent="0.25">
      <c r="N3139" s="3"/>
      <c r="AW3139" s="7"/>
      <c r="AX3139" s="7"/>
    </row>
    <row r="3140" spans="14:50" x14ac:dyDescent="0.25">
      <c r="N3140" s="3"/>
      <c r="AW3140" s="7"/>
      <c r="AX3140" s="7"/>
    </row>
    <row r="3141" spans="14:50" x14ac:dyDescent="0.25">
      <c r="N3141" s="3"/>
      <c r="AW3141" s="7"/>
      <c r="AX3141" s="7"/>
    </row>
    <row r="3142" spans="14:50" x14ac:dyDescent="0.25">
      <c r="N3142" s="3"/>
      <c r="AW3142" s="7"/>
      <c r="AX3142" s="7"/>
    </row>
    <row r="3143" spans="14:50" x14ac:dyDescent="0.25">
      <c r="N3143" s="3"/>
      <c r="AW3143" s="7"/>
      <c r="AX3143" s="7"/>
    </row>
    <row r="3144" spans="14:50" x14ac:dyDescent="0.25">
      <c r="N3144" s="3"/>
      <c r="AW3144" s="7"/>
      <c r="AX3144" s="7"/>
    </row>
    <row r="3145" spans="14:50" x14ac:dyDescent="0.25">
      <c r="N3145" s="3"/>
      <c r="AW3145" s="7"/>
      <c r="AX3145" s="7"/>
    </row>
    <row r="3146" spans="14:50" x14ac:dyDescent="0.25">
      <c r="N3146" s="3"/>
      <c r="AW3146" s="7"/>
      <c r="AX3146" s="7"/>
    </row>
    <row r="3147" spans="14:50" x14ac:dyDescent="0.25">
      <c r="N3147" s="3"/>
      <c r="AW3147" s="7"/>
      <c r="AX3147" s="7"/>
    </row>
    <row r="3148" spans="14:50" x14ac:dyDescent="0.25">
      <c r="N3148" s="3"/>
      <c r="AW3148" s="7"/>
      <c r="AX3148" s="7"/>
    </row>
    <row r="3149" spans="14:50" x14ac:dyDescent="0.25">
      <c r="N3149" s="3"/>
      <c r="AW3149" s="7"/>
      <c r="AX3149" s="7"/>
    </row>
    <row r="3150" spans="14:50" x14ac:dyDescent="0.25">
      <c r="N3150" s="3"/>
      <c r="AW3150" s="7"/>
      <c r="AX3150" s="7"/>
    </row>
    <row r="3151" spans="14:50" x14ac:dyDescent="0.25">
      <c r="N3151" s="3"/>
      <c r="AW3151" s="7"/>
      <c r="AX3151" s="7"/>
    </row>
    <row r="3152" spans="14:50" x14ac:dyDescent="0.25">
      <c r="N3152" s="3"/>
      <c r="AW3152" s="7"/>
      <c r="AX3152" s="7"/>
    </row>
    <row r="3153" spans="14:50" x14ac:dyDescent="0.25">
      <c r="N3153" s="3"/>
      <c r="AW3153" s="7"/>
      <c r="AX3153" s="7"/>
    </row>
    <row r="3154" spans="14:50" x14ac:dyDescent="0.25">
      <c r="N3154" s="3"/>
      <c r="AW3154" s="7"/>
      <c r="AX3154" s="7"/>
    </row>
    <row r="3155" spans="14:50" x14ac:dyDescent="0.25">
      <c r="N3155" s="3"/>
      <c r="AW3155" s="7"/>
      <c r="AX3155" s="7"/>
    </row>
    <row r="3156" spans="14:50" x14ac:dyDescent="0.25">
      <c r="N3156" s="3"/>
      <c r="AW3156" s="7"/>
      <c r="AX3156" s="7"/>
    </row>
    <row r="3157" spans="14:50" x14ac:dyDescent="0.25">
      <c r="N3157" s="3"/>
      <c r="AW3157" s="7"/>
      <c r="AX3157" s="7"/>
    </row>
    <row r="3158" spans="14:50" x14ac:dyDescent="0.25">
      <c r="N3158" s="3"/>
      <c r="AW3158" s="7"/>
      <c r="AX3158" s="7"/>
    </row>
    <row r="3159" spans="14:50" x14ac:dyDescent="0.25">
      <c r="N3159" s="3"/>
      <c r="AW3159" s="7"/>
      <c r="AX3159" s="7"/>
    </row>
    <row r="3160" spans="14:50" x14ac:dyDescent="0.25">
      <c r="N3160" s="3"/>
      <c r="AW3160" s="7"/>
      <c r="AX3160" s="7"/>
    </row>
    <row r="3161" spans="14:50" x14ac:dyDescent="0.25">
      <c r="N3161" s="3"/>
      <c r="AW3161" s="7"/>
      <c r="AX3161" s="7"/>
    </row>
    <row r="3162" spans="14:50" x14ac:dyDescent="0.25">
      <c r="N3162" s="3"/>
      <c r="AW3162" s="7"/>
      <c r="AX3162" s="7"/>
    </row>
    <row r="3163" spans="14:50" x14ac:dyDescent="0.25">
      <c r="N3163" s="3"/>
      <c r="AW3163" s="7"/>
      <c r="AX3163" s="7"/>
    </row>
    <row r="3164" spans="14:50" x14ac:dyDescent="0.25">
      <c r="N3164" s="3"/>
      <c r="AW3164" s="7"/>
      <c r="AX3164" s="7"/>
    </row>
    <row r="3165" spans="14:50" x14ac:dyDescent="0.25">
      <c r="N3165" s="3"/>
      <c r="AW3165" s="7"/>
      <c r="AX3165" s="7"/>
    </row>
    <row r="3166" spans="14:50" x14ac:dyDescent="0.25">
      <c r="N3166" s="3"/>
      <c r="AW3166" s="7"/>
      <c r="AX3166" s="7"/>
    </row>
    <row r="3167" spans="14:50" x14ac:dyDescent="0.25">
      <c r="N3167" s="3"/>
      <c r="AW3167" s="7"/>
      <c r="AX3167" s="7"/>
    </row>
    <row r="3168" spans="14:50" x14ac:dyDescent="0.25">
      <c r="N3168" s="3"/>
      <c r="AW3168" s="7"/>
      <c r="AX3168" s="7"/>
    </row>
    <row r="3169" spans="14:50" x14ac:dyDescent="0.25">
      <c r="N3169" s="3"/>
      <c r="AW3169" s="7"/>
      <c r="AX3169" s="7"/>
    </row>
    <row r="3170" spans="14:50" x14ac:dyDescent="0.25">
      <c r="N3170" s="3"/>
      <c r="AW3170" s="7"/>
      <c r="AX3170" s="7"/>
    </row>
    <row r="3171" spans="14:50" x14ac:dyDescent="0.25">
      <c r="N3171" s="3"/>
      <c r="AW3171" s="7"/>
      <c r="AX3171" s="7"/>
    </row>
    <row r="3172" spans="14:50" x14ac:dyDescent="0.25">
      <c r="N3172" s="3"/>
      <c r="AW3172" s="7"/>
      <c r="AX3172" s="7"/>
    </row>
    <row r="3173" spans="14:50" x14ac:dyDescent="0.25">
      <c r="N3173" s="3"/>
      <c r="AW3173" s="7"/>
      <c r="AX3173" s="7"/>
    </row>
    <row r="3174" spans="14:50" x14ac:dyDescent="0.25">
      <c r="N3174" s="3"/>
      <c r="AW3174" s="7"/>
      <c r="AX3174" s="7"/>
    </row>
    <row r="3175" spans="14:50" x14ac:dyDescent="0.25">
      <c r="N3175" s="3"/>
      <c r="AW3175" s="7"/>
      <c r="AX3175" s="7"/>
    </row>
    <row r="3176" spans="14:50" x14ac:dyDescent="0.25">
      <c r="N3176" s="3"/>
      <c r="AW3176" s="7"/>
      <c r="AX3176" s="7"/>
    </row>
    <row r="3177" spans="14:50" x14ac:dyDescent="0.25">
      <c r="N3177" s="3"/>
      <c r="AW3177" s="7"/>
      <c r="AX3177" s="7"/>
    </row>
    <row r="3178" spans="14:50" x14ac:dyDescent="0.25">
      <c r="N3178" s="3"/>
      <c r="AW3178" s="7"/>
      <c r="AX3178" s="7"/>
    </row>
    <row r="3179" spans="14:50" x14ac:dyDescent="0.25">
      <c r="N3179" s="3"/>
      <c r="AW3179" s="7"/>
      <c r="AX3179" s="7"/>
    </row>
    <row r="3180" spans="14:50" x14ac:dyDescent="0.25">
      <c r="N3180" s="3"/>
      <c r="AW3180" s="7"/>
      <c r="AX3180" s="7"/>
    </row>
    <row r="3181" spans="14:50" x14ac:dyDescent="0.25">
      <c r="N3181" s="3"/>
      <c r="AW3181" s="7"/>
      <c r="AX3181" s="7"/>
    </row>
    <row r="3182" spans="14:50" x14ac:dyDescent="0.25">
      <c r="N3182" s="3"/>
      <c r="AW3182" s="7"/>
      <c r="AX3182" s="7"/>
    </row>
    <row r="3183" spans="14:50" x14ac:dyDescent="0.25">
      <c r="N3183" s="3"/>
      <c r="AW3183" s="7"/>
      <c r="AX3183" s="7"/>
    </row>
    <row r="3184" spans="14:50" x14ac:dyDescent="0.25">
      <c r="N3184" s="3"/>
      <c r="AW3184" s="7"/>
      <c r="AX3184" s="7"/>
    </row>
    <row r="3185" spans="14:50" x14ac:dyDescent="0.25">
      <c r="N3185" s="3"/>
      <c r="AW3185" s="7"/>
      <c r="AX3185" s="7"/>
    </row>
    <row r="3186" spans="14:50" x14ac:dyDescent="0.25">
      <c r="N3186" s="3"/>
      <c r="AW3186" s="7"/>
      <c r="AX3186" s="7"/>
    </row>
    <row r="3187" spans="14:50" x14ac:dyDescent="0.25">
      <c r="N3187" s="3"/>
      <c r="AW3187" s="7"/>
      <c r="AX3187" s="7"/>
    </row>
    <row r="3188" spans="14:50" x14ac:dyDescent="0.25">
      <c r="N3188" s="3"/>
      <c r="AW3188" s="7"/>
      <c r="AX3188" s="7"/>
    </row>
    <row r="3189" spans="14:50" x14ac:dyDescent="0.25">
      <c r="N3189" s="3"/>
      <c r="AW3189" s="7"/>
      <c r="AX3189" s="7"/>
    </row>
    <row r="3190" spans="14:50" x14ac:dyDescent="0.25">
      <c r="N3190" s="3"/>
      <c r="AW3190" s="7"/>
      <c r="AX3190" s="7"/>
    </row>
    <row r="3191" spans="14:50" x14ac:dyDescent="0.25">
      <c r="N3191" s="3"/>
      <c r="AW3191" s="7"/>
      <c r="AX3191" s="7"/>
    </row>
    <row r="3192" spans="14:50" x14ac:dyDescent="0.25">
      <c r="N3192" s="3"/>
      <c r="AW3192" s="7"/>
      <c r="AX3192" s="7"/>
    </row>
    <row r="3193" spans="14:50" x14ac:dyDescent="0.25">
      <c r="N3193" s="3"/>
      <c r="AW3193" s="7"/>
      <c r="AX3193" s="7"/>
    </row>
    <row r="3194" spans="14:50" x14ac:dyDescent="0.25">
      <c r="N3194" s="3"/>
      <c r="AW3194" s="7"/>
      <c r="AX3194" s="7"/>
    </row>
    <row r="3195" spans="14:50" x14ac:dyDescent="0.25">
      <c r="N3195" s="3"/>
      <c r="AW3195" s="7"/>
      <c r="AX3195" s="7"/>
    </row>
    <row r="3196" spans="14:50" x14ac:dyDescent="0.25">
      <c r="N3196" s="3"/>
      <c r="AW3196" s="7"/>
      <c r="AX3196" s="7"/>
    </row>
    <row r="3197" spans="14:50" x14ac:dyDescent="0.25">
      <c r="N3197" s="3"/>
      <c r="AW3197" s="7"/>
      <c r="AX3197" s="7"/>
    </row>
    <row r="3198" spans="14:50" x14ac:dyDescent="0.25">
      <c r="N3198" s="3"/>
      <c r="AW3198" s="7"/>
      <c r="AX3198" s="7"/>
    </row>
    <row r="3199" spans="14:50" x14ac:dyDescent="0.25">
      <c r="N3199" s="3"/>
      <c r="AW3199" s="7"/>
      <c r="AX3199" s="7"/>
    </row>
    <row r="3200" spans="14:50" x14ac:dyDescent="0.25">
      <c r="N3200" s="3"/>
      <c r="AW3200" s="7"/>
      <c r="AX3200" s="7"/>
    </row>
    <row r="3201" spans="14:50" x14ac:dyDescent="0.25">
      <c r="N3201" s="3"/>
      <c r="AW3201" s="7"/>
      <c r="AX3201" s="7"/>
    </row>
    <row r="3202" spans="14:50" x14ac:dyDescent="0.25">
      <c r="N3202" s="3"/>
      <c r="AW3202" s="7"/>
      <c r="AX3202" s="7"/>
    </row>
    <row r="3203" spans="14:50" x14ac:dyDescent="0.25">
      <c r="N3203" s="3"/>
      <c r="AW3203" s="7"/>
      <c r="AX3203" s="7"/>
    </row>
    <row r="3204" spans="14:50" x14ac:dyDescent="0.25">
      <c r="N3204" s="3"/>
      <c r="AW3204" s="7"/>
      <c r="AX3204" s="7"/>
    </row>
    <row r="3205" spans="14:50" x14ac:dyDescent="0.25">
      <c r="N3205" s="3"/>
      <c r="AW3205" s="7"/>
      <c r="AX3205" s="7"/>
    </row>
    <row r="3206" spans="14:50" x14ac:dyDescent="0.25">
      <c r="N3206" s="3"/>
      <c r="AW3206" s="7"/>
      <c r="AX3206" s="7"/>
    </row>
    <row r="3207" spans="14:50" x14ac:dyDescent="0.25">
      <c r="N3207" s="3"/>
      <c r="AW3207" s="7"/>
      <c r="AX3207" s="7"/>
    </row>
    <row r="3208" spans="14:50" x14ac:dyDescent="0.25">
      <c r="N3208" s="3"/>
      <c r="AW3208" s="7"/>
      <c r="AX3208" s="7"/>
    </row>
    <row r="3209" spans="14:50" x14ac:dyDescent="0.25">
      <c r="N3209" s="3"/>
      <c r="AW3209" s="7"/>
      <c r="AX3209" s="7"/>
    </row>
    <row r="3210" spans="14:50" x14ac:dyDescent="0.25">
      <c r="N3210" s="3"/>
      <c r="AW3210" s="7"/>
      <c r="AX3210" s="7"/>
    </row>
    <row r="3211" spans="14:50" x14ac:dyDescent="0.25">
      <c r="N3211" s="3"/>
      <c r="AW3211" s="7"/>
      <c r="AX3211" s="7"/>
    </row>
    <row r="3212" spans="14:50" x14ac:dyDescent="0.25">
      <c r="N3212" s="3"/>
      <c r="AW3212" s="7"/>
      <c r="AX3212" s="7"/>
    </row>
    <row r="3213" spans="14:50" x14ac:dyDescent="0.25">
      <c r="N3213" s="3"/>
      <c r="AW3213" s="7"/>
      <c r="AX3213" s="7"/>
    </row>
    <row r="3214" spans="14:50" x14ac:dyDescent="0.25">
      <c r="N3214" s="3"/>
      <c r="AW3214" s="7"/>
      <c r="AX3214" s="7"/>
    </row>
    <row r="3215" spans="14:50" x14ac:dyDescent="0.25">
      <c r="N3215" s="3"/>
      <c r="AW3215" s="7"/>
      <c r="AX3215" s="7"/>
    </row>
    <row r="3216" spans="14:50" x14ac:dyDescent="0.25">
      <c r="N3216" s="3"/>
      <c r="AW3216" s="7"/>
      <c r="AX3216" s="7"/>
    </row>
    <row r="3217" spans="14:50" x14ac:dyDescent="0.25">
      <c r="N3217" s="3"/>
      <c r="AW3217" s="7"/>
      <c r="AX3217" s="7"/>
    </row>
    <row r="3218" spans="14:50" x14ac:dyDescent="0.25">
      <c r="N3218" s="3"/>
      <c r="AW3218" s="7"/>
      <c r="AX3218" s="7"/>
    </row>
    <row r="3219" spans="14:50" x14ac:dyDescent="0.25">
      <c r="N3219" s="3"/>
      <c r="AW3219" s="7"/>
      <c r="AX3219" s="7"/>
    </row>
    <row r="3220" spans="14:50" x14ac:dyDescent="0.25">
      <c r="N3220" s="3"/>
      <c r="AW3220" s="7"/>
      <c r="AX3220" s="7"/>
    </row>
    <row r="3221" spans="14:50" x14ac:dyDescent="0.25">
      <c r="N3221" s="3"/>
      <c r="AW3221" s="7"/>
      <c r="AX3221" s="7"/>
    </row>
    <row r="3222" spans="14:50" x14ac:dyDescent="0.25">
      <c r="N3222" s="3"/>
      <c r="AW3222" s="7"/>
      <c r="AX3222" s="7"/>
    </row>
    <row r="3223" spans="14:50" x14ac:dyDescent="0.25">
      <c r="N3223" s="3"/>
      <c r="AW3223" s="7"/>
      <c r="AX3223" s="7"/>
    </row>
    <row r="3224" spans="14:50" x14ac:dyDescent="0.25">
      <c r="N3224" s="3"/>
      <c r="AW3224" s="7"/>
      <c r="AX3224" s="7"/>
    </row>
    <row r="3225" spans="14:50" x14ac:dyDescent="0.25">
      <c r="N3225" s="3"/>
      <c r="AW3225" s="7"/>
      <c r="AX3225" s="7"/>
    </row>
    <row r="3226" spans="14:50" x14ac:dyDescent="0.25">
      <c r="N3226" s="3"/>
      <c r="AW3226" s="7"/>
      <c r="AX3226" s="7"/>
    </row>
    <row r="3227" spans="14:50" x14ac:dyDescent="0.25">
      <c r="N3227" s="3"/>
      <c r="AW3227" s="7"/>
      <c r="AX3227" s="7"/>
    </row>
    <row r="3228" spans="14:50" x14ac:dyDescent="0.25">
      <c r="N3228" s="3"/>
      <c r="AW3228" s="7"/>
      <c r="AX3228" s="7"/>
    </row>
    <row r="3229" spans="14:50" x14ac:dyDescent="0.25">
      <c r="N3229" s="3"/>
      <c r="AW3229" s="7"/>
      <c r="AX3229" s="7"/>
    </row>
    <row r="3230" spans="14:50" x14ac:dyDescent="0.25">
      <c r="N3230" s="3"/>
      <c r="AW3230" s="7"/>
      <c r="AX3230" s="7"/>
    </row>
    <row r="3231" spans="14:50" x14ac:dyDescent="0.25">
      <c r="N3231" s="3"/>
      <c r="AW3231" s="7"/>
      <c r="AX3231" s="7"/>
    </row>
    <row r="3232" spans="14:50" x14ac:dyDescent="0.25">
      <c r="N3232" s="3"/>
      <c r="AW3232" s="7"/>
      <c r="AX3232" s="7"/>
    </row>
    <row r="3233" spans="14:50" x14ac:dyDescent="0.25">
      <c r="N3233" s="3"/>
      <c r="AW3233" s="7"/>
      <c r="AX3233" s="7"/>
    </row>
    <row r="3234" spans="14:50" x14ac:dyDescent="0.25">
      <c r="N3234" s="3"/>
      <c r="AW3234" s="7"/>
      <c r="AX3234" s="7"/>
    </row>
    <row r="3235" spans="14:50" x14ac:dyDescent="0.25">
      <c r="N3235" s="3"/>
      <c r="AW3235" s="7"/>
      <c r="AX3235" s="7"/>
    </row>
    <row r="3236" spans="14:50" x14ac:dyDescent="0.25">
      <c r="N3236" s="3"/>
      <c r="AW3236" s="7"/>
      <c r="AX3236" s="7"/>
    </row>
    <row r="3237" spans="14:50" x14ac:dyDescent="0.25">
      <c r="N3237" s="3"/>
      <c r="AW3237" s="7"/>
      <c r="AX3237" s="7"/>
    </row>
    <row r="3238" spans="14:50" x14ac:dyDescent="0.25">
      <c r="N3238" s="3"/>
      <c r="AW3238" s="7"/>
      <c r="AX3238" s="7"/>
    </row>
    <row r="3239" spans="14:50" x14ac:dyDescent="0.25">
      <c r="N3239" s="3"/>
      <c r="AW3239" s="7"/>
      <c r="AX3239" s="7"/>
    </row>
    <row r="3240" spans="14:50" x14ac:dyDescent="0.25">
      <c r="N3240" s="3"/>
      <c r="AW3240" s="7"/>
      <c r="AX3240" s="7"/>
    </row>
    <row r="3241" spans="14:50" x14ac:dyDescent="0.25">
      <c r="N3241" s="3"/>
      <c r="AW3241" s="7"/>
      <c r="AX3241" s="7"/>
    </row>
    <row r="3242" spans="14:50" x14ac:dyDescent="0.25">
      <c r="N3242" s="3"/>
      <c r="AW3242" s="7"/>
      <c r="AX3242" s="7"/>
    </row>
    <row r="3243" spans="14:50" x14ac:dyDescent="0.25">
      <c r="N3243" s="3"/>
      <c r="AW3243" s="7"/>
      <c r="AX3243" s="7"/>
    </row>
    <row r="3244" spans="14:50" x14ac:dyDescent="0.25">
      <c r="N3244" s="3"/>
      <c r="AW3244" s="7"/>
      <c r="AX3244" s="7"/>
    </row>
    <row r="3245" spans="14:50" x14ac:dyDescent="0.25">
      <c r="N3245" s="3"/>
      <c r="AW3245" s="7"/>
      <c r="AX3245" s="7"/>
    </row>
    <row r="3246" spans="14:50" x14ac:dyDescent="0.25">
      <c r="N3246" s="3"/>
      <c r="AW3246" s="7"/>
      <c r="AX3246" s="7"/>
    </row>
    <row r="3247" spans="14:50" x14ac:dyDescent="0.25">
      <c r="N3247" s="3"/>
      <c r="AW3247" s="7"/>
      <c r="AX3247" s="7"/>
    </row>
    <row r="3248" spans="14:50" x14ac:dyDescent="0.25">
      <c r="N3248" s="3"/>
      <c r="AW3248" s="7"/>
      <c r="AX3248" s="7"/>
    </row>
    <row r="3249" spans="14:50" x14ac:dyDescent="0.25">
      <c r="N3249" s="3"/>
      <c r="AW3249" s="7"/>
      <c r="AX3249" s="7"/>
    </row>
    <row r="3250" spans="14:50" x14ac:dyDescent="0.25">
      <c r="N3250" s="3"/>
      <c r="AW3250" s="7"/>
      <c r="AX3250" s="7"/>
    </row>
    <row r="3251" spans="14:50" x14ac:dyDescent="0.25">
      <c r="N3251" s="3"/>
      <c r="AW3251" s="7"/>
      <c r="AX3251" s="7"/>
    </row>
    <row r="3252" spans="14:50" x14ac:dyDescent="0.25">
      <c r="N3252" s="3"/>
      <c r="AW3252" s="7"/>
      <c r="AX3252" s="7"/>
    </row>
    <row r="3253" spans="14:50" x14ac:dyDescent="0.25">
      <c r="N3253" s="3"/>
      <c r="AW3253" s="7"/>
      <c r="AX3253" s="7"/>
    </row>
    <row r="3254" spans="14:50" x14ac:dyDescent="0.25">
      <c r="N3254" s="3"/>
      <c r="AW3254" s="7"/>
      <c r="AX3254" s="7"/>
    </row>
    <row r="3255" spans="14:50" x14ac:dyDescent="0.25">
      <c r="N3255" s="3"/>
      <c r="AW3255" s="7"/>
      <c r="AX3255" s="7"/>
    </row>
    <row r="3256" spans="14:50" x14ac:dyDescent="0.25">
      <c r="N3256" s="3"/>
      <c r="AW3256" s="7"/>
      <c r="AX3256" s="7"/>
    </row>
    <row r="3257" spans="14:50" x14ac:dyDescent="0.25">
      <c r="N3257" s="3"/>
      <c r="AW3257" s="7"/>
      <c r="AX3257" s="7"/>
    </row>
    <row r="3258" spans="14:50" x14ac:dyDescent="0.25">
      <c r="N3258" s="3"/>
      <c r="AW3258" s="7"/>
      <c r="AX3258" s="7"/>
    </row>
    <row r="3259" spans="14:50" x14ac:dyDescent="0.25">
      <c r="N3259" s="3"/>
      <c r="AW3259" s="7"/>
      <c r="AX3259" s="7"/>
    </row>
    <row r="3260" spans="14:50" x14ac:dyDescent="0.25">
      <c r="N3260" s="3"/>
      <c r="AW3260" s="7"/>
      <c r="AX3260" s="7"/>
    </row>
    <row r="3261" spans="14:50" x14ac:dyDescent="0.25">
      <c r="N3261" s="3"/>
      <c r="AW3261" s="7"/>
      <c r="AX3261" s="7"/>
    </row>
    <row r="3262" spans="14:50" x14ac:dyDescent="0.25">
      <c r="N3262" s="3"/>
      <c r="AW3262" s="7"/>
      <c r="AX3262" s="7"/>
    </row>
    <row r="3263" spans="14:50" x14ac:dyDescent="0.25">
      <c r="N3263" s="3"/>
      <c r="AW3263" s="7"/>
      <c r="AX3263" s="7"/>
    </row>
    <row r="3264" spans="14:50" x14ac:dyDescent="0.25">
      <c r="N3264" s="3"/>
      <c r="AW3264" s="7"/>
      <c r="AX3264" s="7"/>
    </row>
    <row r="3265" spans="14:50" x14ac:dyDescent="0.25">
      <c r="N3265" s="3"/>
      <c r="AW3265" s="7"/>
      <c r="AX3265" s="7"/>
    </row>
    <row r="3266" spans="14:50" x14ac:dyDescent="0.25">
      <c r="N3266" s="3"/>
      <c r="AW3266" s="7"/>
      <c r="AX3266" s="7"/>
    </row>
    <row r="3267" spans="14:50" x14ac:dyDescent="0.25">
      <c r="N3267" s="3"/>
      <c r="AW3267" s="7"/>
      <c r="AX3267" s="7"/>
    </row>
    <row r="3268" spans="14:50" x14ac:dyDescent="0.25">
      <c r="N3268" s="3"/>
      <c r="AW3268" s="7"/>
      <c r="AX3268" s="7"/>
    </row>
    <row r="3269" spans="14:50" x14ac:dyDescent="0.25">
      <c r="N3269" s="3"/>
      <c r="AW3269" s="7"/>
      <c r="AX3269" s="7"/>
    </row>
    <row r="3270" spans="14:50" x14ac:dyDescent="0.25">
      <c r="N3270" s="3"/>
      <c r="AW3270" s="7"/>
      <c r="AX3270" s="7"/>
    </row>
    <row r="3271" spans="14:50" x14ac:dyDescent="0.25">
      <c r="N3271" s="3"/>
      <c r="AW3271" s="7"/>
      <c r="AX3271" s="7"/>
    </row>
    <row r="3272" spans="14:50" x14ac:dyDescent="0.25">
      <c r="N3272" s="3"/>
      <c r="AW3272" s="7"/>
      <c r="AX3272" s="7"/>
    </row>
    <row r="3273" spans="14:50" x14ac:dyDescent="0.25">
      <c r="N3273" s="3"/>
      <c r="AW3273" s="7"/>
      <c r="AX3273" s="7"/>
    </row>
    <row r="3274" spans="14:50" x14ac:dyDescent="0.25">
      <c r="N3274" s="3"/>
      <c r="AW3274" s="7"/>
      <c r="AX3274" s="7"/>
    </row>
    <row r="3275" spans="14:50" x14ac:dyDescent="0.25">
      <c r="N3275" s="3"/>
      <c r="AW3275" s="7"/>
      <c r="AX3275" s="7"/>
    </row>
    <row r="3276" spans="14:50" x14ac:dyDescent="0.25">
      <c r="N3276" s="3"/>
      <c r="AW3276" s="7"/>
      <c r="AX3276" s="7"/>
    </row>
    <row r="3277" spans="14:50" x14ac:dyDescent="0.25">
      <c r="N3277" s="3"/>
      <c r="AW3277" s="7"/>
      <c r="AX3277" s="7"/>
    </row>
    <row r="3278" spans="14:50" x14ac:dyDescent="0.25">
      <c r="N3278" s="3"/>
      <c r="AW3278" s="7"/>
      <c r="AX3278" s="7"/>
    </row>
    <row r="3279" spans="14:50" x14ac:dyDescent="0.25">
      <c r="N3279" s="3"/>
      <c r="AW3279" s="7"/>
      <c r="AX3279" s="7"/>
    </row>
    <row r="3280" spans="14:50" x14ac:dyDescent="0.25">
      <c r="N3280" s="3"/>
      <c r="AW3280" s="7"/>
      <c r="AX3280" s="7"/>
    </row>
    <row r="3281" spans="14:50" x14ac:dyDescent="0.25">
      <c r="N3281" s="3"/>
      <c r="AW3281" s="7"/>
      <c r="AX3281" s="7"/>
    </row>
    <row r="3282" spans="14:50" x14ac:dyDescent="0.25">
      <c r="N3282" s="3"/>
      <c r="AW3282" s="7"/>
      <c r="AX3282" s="7"/>
    </row>
    <row r="3283" spans="14:50" x14ac:dyDescent="0.25">
      <c r="N3283" s="3"/>
      <c r="AW3283" s="7"/>
      <c r="AX3283" s="7"/>
    </row>
    <row r="3284" spans="14:50" x14ac:dyDescent="0.25">
      <c r="N3284" s="3"/>
      <c r="AW3284" s="7"/>
      <c r="AX3284" s="7"/>
    </row>
    <row r="3285" spans="14:50" x14ac:dyDescent="0.25">
      <c r="N3285" s="3"/>
      <c r="AW3285" s="7"/>
      <c r="AX3285" s="7"/>
    </row>
    <row r="3286" spans="14:50" x14ac:dyDescent="0.25">
      <c r="N3286" s="3"/>
      <c r="AW3286" s="7"/>
      <c r="AX3286" s="7"/>
    </row>
    <row r="3287" spans="14:50" x14ac:dyDescent="0.25">
      <c r="N3287" s="3"/>
      <c r="AW3287" s="7"/>
      <c r="AX3287" s="7"/>
    </row>
    <row r="3288" spans="14:50" x14ac:dyDescent="0.25">
      <c r="N3288" s="3"/>
      <c r="AW3288" s="7"/>
      <c r="AX3288" s="7"/>
    </row>
    <row r="3289" spans="14:50" x14ac:dyDescent="0.25">
      <c r="N3289" s="3"/>
      <c r="AW3289" s="7"/>
      <c r="AX3289" s="7"/>
    </row>
    <row r="3290" spans="14:50" x14ac:dyDescent="0.25">
      <c r="N3290" s="3"/>
      <c r="AW3290" s="7"/>
      <c r="AX3290" s="7"/>
    </row>
    <row r="3291" spans="14:50" x14ac:dyDescent="0.25">
      <c r="N3291" s="3"/>
      <c r="AW3291" s="7"/>
      <c r="AX3291" s="7"/>
    </row>
    <row r="3292" spans="14:50" x14ac:dyDescent="0.25">
      <c r="N3292" s="3"/>
      <c r="AW3292" s="7"/>
      <c r="AX3292" s="7"/>
    </row>
    <row r="3293" spans="14:50" x14ac:dyDescent="0.25">
      <c r="N3293" s="3"/>
      <c r="AW3293" s="7"/>
      <c r="AX3293" s="7"/>
    </row>
    <row r="3294" spans="14:50" x14ac:dyDescent="0.25">
      <c r="N3294" s="3"/>
      <c r="AW3294" s="7"/>
      <c r="AX3294" s="7"/>
    </row>
    <row r="3295" spans="14:50" x14ac:dyDescent="0.25">
      <c r="N3295" s="3"/>
      <c r="AW3295" s="7"/>
      <c r="AX3295" s="7"/>
    </row>
    <row r="3296" spans="14:50" x14ac:dyDescent="0.25">
      <c r="N3296" s="3"/>
      <c r="AW3296" s="7"/>
      <c r="AX3296" s="7"/>
    </row>
    <row r="3297" spans="14:50" x14ac:dyDescent="0.25">
      <c r="N3297" s="3"/>
      <c r="AW3297" s="7"/>
      <c r="AX3297" s="7"/>
    </row>
    <row r="3298" spans="14:50" x14ac:dyDescent="0.25">
      <c r="N3298" s="3"/>
      <c r="AW3298" s="7"/>
      <c r="AX3298" s="7"/>
    </row>
    <row r="3299" spans="14:50" x14ac:dyDescent="0.25">
      <c r="N3299" s="3"/>
      <c r="AW3299" s="7"/>
      <c r="AX3299" s="7"/>
    </row>
    <row r="3300" spans="14:50" x14ac:dyDescent="0.25">
      <c r="N3300" s="3"/>
      <c r="AW3300" s="7"/>
      <c r="AX3300" s="7"/>
    </row>
    <row r="3301" spans="14:50" x14ac:dyDescent="0.25">
      <c r="N3301" s="3"/>
      <c r="AW3301" s="7"/>
      <c r="AX3301" s="7"/>
    </row>
    <row r="3302" spans="14:50" x14ac:dyDescent="0.25">
      <c r="N3302" s="3"/>
      <c r="AW3302" s="7"/>
      <c r="AX3302" s="7"/>
    </row>
    <row r="3303" spans="14:50" x14ac:dyDescent="0.25">
      <c r="N3303" s="3"/>
      <c r="AW3303" s="7"/>
      <c r="AX3303" s="7"/>
    </row>
    <row r="3304" spans="14:50" x14ac:dyDescent="0.25">
      <c r="N3304" s="3"/>
      <c r="AW3304" s="7"/>
      <c r="AX3304" s="7"/>
    </row>
    <row r="3305" spans="14:50" x14ac:dyDescent="0.25">
      <c r="N3305" s="3"/>
      <c r="AW3305" s="7"/>
      <c r="AX3305" s="7"/>
    </row>
    <row r="3306" spans="14:50" x14ac:dyDescent="0.25">
      <c r="N3306" s="3"/>
      <c r="AW3306" s="7"/>
      <c r="AX3306" s="7"/>
    </row>
    <row r="3307" spans="14:50" x14ac:dyDescent="0.25">
      <c r="N3307" s="3"/>
      <c r="AW3307" s="7"/>
      <c r="AX3307" s="7"/>
    </row>
    <row r="3308" spans="14:50" x14ac:dyDescent="0.25">
      <c r="N3308" s="3"/>
      <c r="AW3308" s="7"/>
      <c r="AX3308" s="7"/>
    </row>
    <row r="3309" spans="14:50" x14ac:dyDescent="0.25">
      <c r="N3309" s="3"/>
      <c r="AW3309" s="7"/>
      <c r="AX3309" s="7"/>
    </row>
    <row r="3310" spans="14:50" x14ac:dyDescent="0.25">
      <c r="N3310" s="3"/>
      <c r="AW3310" s="7"/>
      <c r="AX3310" s="7"/>
    </row>
    <row r="3311" spans="14:50" x14ac:dyDescent="0.25">
      <c r="N3311" s="3"/>
      <c r="AW3311" s="7"/>
      <c r="AX3311" s="7"/>
    </row>
    <row r="3312" spans="14:50" x14ac:dyDescent="0.25">
      <c r="N3312" s="3"/>
      <c r="AW3312" s="7"/>
      <c r="AX3312" s="7"/>
    </row>
    <row r="3313" spans="14:50" x14ac:dyDescent="0.25">
      <c r="N3313" s="3"/>
      <c r="AW3313" s="7"/>
      <c r="AX3313" s="7"/>
    </row>
    <row r="3314" spans="14:50" x14ac:dyDescent="0.25">
      <c r="N3314" s="3"/>
      <c r="AW3314" s="7"/>
      <c r="AX3314" s="7"/>
    </row>
    <row r="3315" spans="14:50" x14ac:dyDescent="0.25">
      <c r="N3315" s="3"/>
      <c r="AW3315" s="7"/>
      <c r="AX3315" s="7"/>
    </row>
    <row r="3316" spans="14:50" x14ac:dyDescent="0.25">
      <c r="N3316" s="3"/>
      <c r="AW3316" s="7"/>
      <c r="AX3316" s="7"/>
    </row>
    <row r="3317" spans="14:50" x14ac:dyDescent="0.25">
      <c r="N3317" s="3"/>
      <c r="AW3317" s="7"/>
      <c r="AX3317" s="7"/>
    </row>
    <row r="3318" spans="14:50" x14ac:dyDescent="0.25">
      <c r="N3318" s="3"/>
      <c r="AW3318" s="7"/>
      <c r="AX3318" s="7"/>
    </row>
    <row r="3319" spans="14:50" x14ac:dyDescent="0.25">
      <c r="N3319" s="3"/>
      <c r="AW3319" s="7"/>
      <c r="AX3319" s="7"/>
    </row>
    <row r="3320" spans="14:50" x14ac:dyDescent="0.25">
      <c r="N3320" s="3"/>
      <c r="AW3320" s="7"/>
      <c r="AX3320" s="7"/>
    </row>
    <row r="3321" spans="14:50" x14ac:dyDescent="0.25">
      <c r="N3321" s="3"/>
      <c r="AW3321" s="7"/>
      <c r="AX3321" s="7"/>
    </row>
    <row r="3322" spans="14:50" x14ac:dyDescent="0.25">
      <c r="N3322" s="3"/>
      <c r="AW3322" s="7"/>
      <c r="AX3322" s="7"/>
    </row>
    <row r="3323" spans="14:50" x14ac:dyDescent="0.25">
      <c r="N3323" s="3"/>
      <c r="AW3323" s="7"/>
      <c r="AX3323" s="7"/>
    </row>
    <row r="3324" spans="14:50" x14ac:dyDescent="0.25">
      <c r="N3324" s="3"/>
      <c r="AW3324" s="7"/>
      <c r="AX3324" s="7"/>
    </row>
    <row r="3325" spans="14:50" x14ac:dyDescent="0.25">
      <c r="N3325" s="3"/>
      <c r="AW3325" s="7"/>
      <c r="AX3325" s="7"/>
    </row>
    <row r="3326" spans="14:50" x14ac:dyDescent="0.25">
      <c r="N3326" s="3"/>
      <c r="AW3326" s="7"/>
      <c r="AX3326" s="7"/>
    </row>
    <row r="3327" spans="14:50" x14ac:dyDescent="0.25">
      <c r="N3327" s="3"/>
      <c r="AW3327" s="7"/>
      <c r="AX3327" s="7"/>
    </row>
    <row r="3328" spans="14:50" x14ac:dyDescent="0.25">
      <c r="N3328" s="3"/>
      <c r="AW3328" s="7"/>
      <c r="AX3328" s="7"/>
    </row>
    <row r="3329" spans="14:50" x14ac:dyDescent="0.25">
      <c r="N3329" s="3"/>
      <c r="AW3329" s="7"/>
      <c r="AX3329" s="7"/>
    </row>
    <row r="3330" spans="14:50" x14ac:dyDescent="0.25">
      <c r="N3330" s="3"/>
      <c r="AW3330" s="7"/>
      <c r="AX3330" s="7"/>
    </row>
    <row r="3331" spans="14:50" x14ac:dyDescent="0.25">
      <c r="N3331" s="3"/>
      <c r="AW3331" s="7"/>
      <c r="AX3331" s="7"/>
    </row>
    <row r="3332" spans="14:50" x14ac:dyDescent="0.25">
      <c r="N3332" s="3"/>
      <c r="AW3332" s="7"/>
      <c r="AX3332" s="7"/>
    </row>
    <row r="3333" spans="14:50" x14ac:dyDescent="0.25">
      <c r="N3333" s="3"/>
      <c r="AW3333" s="7"/>
      <c r="AX3333" s="7"/>
    </row>
    <row r="3334" spans="14:50" x14ac:dyDescent="0.25">
      <c r="N3334" s="3"/>
      <c r="AW3334" s="7"/>
      <c r="AX3334" s="7"/>
    </row>
    <row r="3335" spans="14:50" x14ac:dyDescent="0.25">
      <c r="N3335" s="3"/>
      <c r="AW3335" s="7"/>
      <c r="AX3335" s="7"/>
    </row>
    <row r="3336" spans="14:50" x14ac:dyDescent="0.25">
      <c r="N3336" s="3"/>
      <c r="AW3336" s="7"/>
      <c r="AX3336" s="7"/>
    </row>
    <row r="3337" spans="14:50" x14ac:dyDescent="0.25">
      <c r="N3337" s="3"/>
      <c r="AW3337" s="7"/>
      <c r="AX3337" s="7"/>
    </row>
    <row r="3338" spans="14:50" x14ac:dyDescent="0.25">
      <c r="N3338" s="3"/>
      <c r="AW3338" s="7"/>
      <c r="AX3338" s="7"/>
    </row>
    <row r="3339" spans="14:50" x14ac:dyDescent="0.25">
      <c r="N3339" s="3"/>
      <c r="AW3339" s="7"/>
      <c r="AX3339" s="7"/>
    </row>
    <row r="3340" spans="14:50" x14ac:dyDescent="0.25">
      <c r="N3340" s="3"/>
      <c r="AW3340" s="7"/>
      <c r="AX3340" s="7"/>
    </row>
    <row r="3341" spans="14:50" x14ac:dyDescent="0.25">
      <c r="N3341" s="3"/>
      <c r="AW3341" s="7"/>
      <c r="AX3341" s="7"/>
    </row>
    <row r="3342" spans="14:50" x14ac:dyDescent="0.25">
      <c r="N3342" s="3"/>
      <c r="AW3342" s="7"/>
      <c r="AX3342" s="7"/>
    </row>
    <row r="3343" spans="14:50" x14ac:dyDescent="0.25">
      <c r="N3343" s="3"/>
      <c r="AW3343" s="7"/>
      <c r="AX3343" s="7"/>
    </row>
    <row r="3344" spans="14:50" x14ac:dyDescent="0.25">
      <c r="N3344" s="3"/>
      <c r="AW3344" s="7"/>
      <c r="AX3344" s="7"/>
    </row>
    <row r="3345" spans="14:50" x14ac:dyDescent="0.25">
      <c r="N3345" s="3"/>
      <c r="AW3345" s="7"/>
      <c r="AX3345" s="7"/>
    </row>
    <row r="3346" spans="14:50" x14ac:dyDescent="0.25">
      <c r="N3346" s="3"/>
      <c r="AW3346" s="7"/>
      <c r="AX3346" s="7"/>
    </row>
    <row r="3347" spans="14:50" x14ac:dyDescent="0.25">
      <c r="N3347" s="3"/>
      <c r="AW3347" s="7"/>
      <c r="AX3347" s="7"/>
    </row>
    <row r="3348" spans="14:50" x14ac:dyDescent="0.25">
      <c r="N3348" s="3"/>
      <c r="AW3348" s="7"/>
      <c r="AX3348" s="7"/>
    </row>
    <row r="3349" spans="14:50" x14ac:dyDescent="0.25">
      <c r="N3349" s="3"/>
      <c r="AW3349" s="7"/>
      <c r="AX3349" s="7"/>
    </row>
    <row r="3350" spans="14:50" x14ac:dyDescent="0.25">
      <c r="N3350" s="3"/>
      <c r="AW3350" s="7"/>
      <c r="AX3350" s="7"/>
    </row>
    <row r="3351" spans="14:50" x14ac:dyDescent="0.25">
      <c r="N3351" s="3"/>
      <c r="AW3351" s="7"/>
      <c r="AX3351" s="7"/>
    </row>
    <row r="3352" spans="14:50" x14ac:dyDescent="0.25">
      <c r="N3352" s="3"/>
      <c r="AW3352" s="7"/>
      <c r="AX3352" s="7"/>
    </row>
    <row r="3353" spans="14:50" x14ac:dyDescent="0.25">
      <c r="N3353" s="3"/>
      <c r="AW3353" s="7"/>
      <c r="AX3353" s="7"/>
    </row>
    <row r="3354" spans="14:50" x14ac:dyDescent="0.25">
      <c r="N3354" s="3"/>
      <c r="AW3354" s="7"/>
      <c r="AX3354" s="7"/>
    </row>
    <row r="3355" spans="14:50" x14ac:dyDescent="0.25">
      <c r="N3355" s="3"/>
      <c r="AW3355" s="7"/>
      <c r="AX3355" s="7"/>
    </row>
    <row r="3356" spans="14:50" x14ac:dyDescent="0.25">
      <c r="N3356" s="3"/>
      <c r="AW3356" s="7"/>
      <c r="AX3356" s="7"/>
    </row>
    <row r="3357" spans="14:50" x14ac:dyDescent="0.25">
      <c r="N3357" s="3"/>
      <c r="AW3357" s="7"/>
      <c r="AX3357" s="7"/>
    </row>
    <row r="3358" spans="14:50" x14ac:dyDescent="0.25">
      <c r="N3358" s="3"/>
      <c r="AW3358" s="7"/>
      <c r="AX3358" s="7"/>
    </row>
    <row r="3359" spans="14:50" x14ac:dyDescent="0.25">
      <c r="N3359" s="3"/>
      <c r="AW3359" s="7"/>
      <c r="AX3359" s="7"/>
    </row>
    <row r="3360" spans="14:50" x14ac:dyDescent="0.25">
      <c r="N3360" s="3"/>
      <c r="AW3360" s="7"/>
      <c r="AX3360" s="7"/>
    </row>
    <row r="3361" spans="14:50" x14ac:dyDescent="0.25">
      <c r="N3361" s="3"/>
      <c r="AW3361" s="7"/>
      <c r="AX3361" s="7"/>
    </row>
    <row r="3362" spans="14:50" x14ac:dyDescent="0.25">
      <c r="N3362" s="3"/>
      <c r="AW3362" s="7"/>
      <c r="AX3362" s="7"/>
    </row>
    <row r="3363" spans="14:50" x14ac:dyDescent="0.25">
      <c r="N3363" s="3"/>
      <c r="AW3363" s="7"/>
      <c r="AX3363" s="7"/>
    </row>
    <row r="3364" spans="14:50" x14ac:dyDescent="0.25">
      <c r="N3364" s="3"/>
      <c r="AW3364" s="7"/>
      <c r="AX3364" s="7"/>
    </row>
    <row r="3365" spans="14:50" x14ac:dyDescent="0.25">
      <c r="N3365" s="3"/>
      <c r="AW3365" s="7"/>
      <c r="AX3365" s="7"/>
    </row>
    <row r="3366" spans="14:50" x14ac:dyDescent="0.25">
      <c r="N3366" s="3"/>
      <c r="AW3366" s="7"/>
      <c r="AX3366" s="7"/>
    </row>
    <row r="3367" spans="14:50" x14ac:dyDescent="0.25">
      <c r="N3367" s="3"/>
      <c r="AW3367" s="7"/>
      <c r="AX3367" s="7"/>
    </row>
    <row r="3368" spans="14:50" x14ac:dyDescent="0.25">
      <c r="N3368" s="3"/>
      <c r="AW3368" s="7"/>
      <c r="AX3368" s="7"/>
    </row>
    <row r="3369" spans="14:50" x14ac:dyDescent="0.25">
      <c r="N3369" s="3"/>
      <c r="AW3369" s="7"/>
      <c r="AX3369" s="7"/>
    </row>
    <row r="3370" spans="14:50" x14ac:dyDescent="0.25">
      <c r="N3370" s="3"/>
      <c r="AW3370" s="7"/>
      <c r="AX3370" s="7"/>
    </row>
    <row r="3371" spans="14:50" x14ac:dyDescent="0.25">
      <c r="N3371" s="3"/>
      <c r="AW3371" s="7"/>
      <c r="AX3371" s="7"/>
    </row>
    <row r="3372" spans="14:50" x14ac:dyDescent="0.25">
      <c r="N3372" s="3"/>
      <c r="AW3372" s="7"/>
      <c r="AX3372" s="7"/>
    </row>
    <row r="3373" spans="14:50" x14ac:dyDescent="0.25">
      <c r="N3373" s="3"/>
      <c r="AW3373" s="7"/>
      <c r="AX3373" s="7"/>
    </row>
    <row r="3374" spans="14:50" x14ac:dyDescent="0.25">
      <c r="N3374" s="3"/>
      <c r="AW3374" s="7"/>
      <c r="AX3374" s="7"/>
    </row>
    <row r="3375" spans="14:50" x14ac:dyDescent="0.25">
      <c r="N3375" s="3"/>
      <c r="AW3375" s="7"/>
      <c r="AX3375" s="7"/>
    </row>
    <row r="3376" spans="14:50" x14ac:dyDescent="0.25">
      <c r="N3376" s="3"/>
      <c r="AW3376" s="7"/>
      <c r="AX3376" s="7"/>
    </row>
    <row r="3377" spans="14:50" x14ac:dyDescent="0.25">
      <c r="N3377" s="3"/>
      <c r="AW3377" s="7"/>
      <c r="AX3377" s="7"/>
    </row>
    <row r="3378" spans="14:50" x14ac:dyDescent="0.25">
      <c r="N3378" s="3"/>
      <c r="AW3378" s="7"/>
      <c r="AX3378" s="7"/>
    </row>
    <row r="3379" spans="14:50" x14ac:dyDescent="0.25">
      <c r="N3379" s="3"/>
      <c r="AW3379" s="7"/>
      <c r="AX3379" s="7"/>
    </row>
    <row r="3380" spans="14:50" x14ac:dyDescent="0.25">
      <c r="N3380" s="3"/>
      <c r="AW3380" s="7"/>
      <c r="AX3380" s="7"/>
    </row>
    <row r="3381" spans="14:50" x14ac:dyDescent="0.25">
      <c r="N3381" s="3"/>
      <c r="AW3381" s="7"/>
      <c r="AX3381" s="7"/>
    </row>
    <row r="3382" spans="14:50" x14ac:dyDescent="0.25">
      <c r="N3382" s="3"/>
      <c r="AW3382" s="7"/>
      <c r="AX3382" s="7"/>
    </row>
    <row r="3383" spans="14:50" x14ac:dyDescent="0.25">
      <c r="N3383" s="3"/>
      <c r="AW3383" s="7"/>
      <c r="AX3383" s="7"/>
    </row>
    <row r="3384" spans="14:50" x14ac:dyDescent="0.25">
      <c r="N3384" s="3"/>
      <c r="AW3384" s="7"/>
      <c r="AX3384" s="7"/>
    </row>
    <row r="3385" spans="14:50" x14ac:dyDescent="0.25">
      <c r="N3385" s="3"/>
      <c r="AW3385" s="7"/>
      <c r="AX3385" s="7"/>
    </row>
    <row r="3386" spans="14:50" x14ac:dyDescent="0.25">
      <c r="N3386" s="3"/>
      <c r="AW3386" s="7"/>
      <c r="AX3386" s="7"/>
    </row>
    <row r="3387" spans="14:50" x14ac:dyDescent="0.25">
      <c r="N3387" s="3"/>
      <c r="AW3387" s="7"/>
      <c r="AX3387" s="7"/>
    </row>
    <row r="3388" spans="14:50" x14ac:dyDescent="0.25">
      <c r="N3388" s="3"/>
      <c r="AW3388" s="7"/>
      <c r="AX3388" s="7"/>
    </row>
    <row r="3389" spans="14:50" x14ac:dyDescent="0.25">
      <c r="N3389" s="3"/>
      <c r="AW3389" s="7"/>
      <c r="AX3389" s="7"/>
    </row>
    <row r="3390" spans="14:50" x14ac:dyDescent="0.25">
      <c r="N3390" s="3"/>
      <c r="AW3390" s="7"/>
      <c r="AX3390" s="7"/>
    </row>
    <row r="3391" spans="14:50" x14ac:dyDescent="0.25">
      <c r="N3391" s="3"/>
      <c r="AW3391" s="7"/>
      <c r="AX3391" s="7"/>
    </row>
    <row r="3392" spans="14:50" x14ac:dyDescent="0.25">
      <c r="N3392" s="3"/>
      <c r="AW3392" s="7"/>
      <c r="AX3392" s="7"/>
    </row>
    <row r="3393" spans="14:50" x14ac:dyDescent="0.25">
      <c r="N3393" s="3"/>
      <c r="AW3393" s="7"/>
      <c r="AX3393" s="7"/>
    </row>
    <row r="3394" spans="14:50" x14ac:dyDescent="0.25">
      <c r="N3394" s="3"/>
      <c r="AW3394" s="7"/>
      <c r="AX3394" s="7"/>
    </row>
    <row r="3395" spans="14:50" x14ac:dyDescent="0.25">
      <c r="N3395" s="3"/>
      <c r="AW3395" s="7"/>
      <c r="AX3395" s="7"/>
    </row>
    <row r="3396" spans="14:50" x14ac:dyDescent="0.25">
      <c r="N3396" s="3"/>
      <c r="AW3396" s="7"/>
      <c r="AX3396" s="7"/>
    </row>
    <row r="3397" spans="14:50" x14ac:dyDescent="0.25">
      <c r="N3397" s="3"/>
      <c r="AW3397" s="7"/>
      <c r="AX3397" s="7"/>
    </row>
    <row r="3398" spans="14:50" x14ac:dyDescent="0.25">
      <c r="N3398" s="3"/>
      <c r="AW3398" s="7"/>
      <c r="AX3398" s="7"/>
    </row>
    <row r="3399" spans="14:50" x14ac:dyDescent="0.25">
      <c r="N3399" s="3"/>
      <c r="AW3399" s="7"/>
      <c r="AX3399" s="7"/>
    </row>
    <row r="3400" spans="14:50" x14ac:dyDescent="0.25">
      <c r="N3400" s="3"/>
      <c r="AW3400" s="7"/>
      <c r="AX3400" s="7"/>
    </row>
    <row r="3401" spans="14:50" x14ac:dyDescent="0.25">
      <c r="N3401" s="3"/>
      <c r="AW3401" s="7"/>
      <c r="AX3401" s="7"/>
    </row>
    <row r="3402" spans="14:50" x14ac:dyDescent="0.25">
      <c r="N3402" s="3"/>
      <c r="AW3402" s="7"/>
      <c r="AX3402" s="7"/>
    </row>
    <row r="3403" spans="14:50" x14ac:dyDescent="0.25">
      <c r="N3403" s="3"/>
      <c r="AW3403" s="7"/>
      <c r="AX3403" s="7"/>
    </row>
    <row r="3404" spans="14:50" x14ac:dyDescent="0.25">
      <c r="N3404" s="3"/>
      <c r="AW3404" s="7"/>
      <c r="AX3404" s="7"/>
    </row>
    <row r="3405" spans="14:50" x14ac:dyDescent="0.25">
      <c r="N3405" s="3"/>
      <c r="AW3405" s="7"/>
      <c r="AX3405" s="7"/>
    </row>
    <row r="3406" spans="14:50" x14ac:dyDescent="0.25">
      <c r="N3406" s="3"/>
      <c r="AW3406" s="7"/>
      <c r="AX3406" s="7"/>
    </row>
    <row r="3407" spans="14:50" x14ac:dyDescent="0.25">
      <c r="N3407" s="3"/>
      <c r="AW3407" s="7"/>
      <c r="AX3407" s="7"/>
    </row>
    <row r="3408" spans="14:50" x14ac:dyDescent="0.25">
      <c r="N3408" s="3"/>
      <c r="AW3408" s="7"/>
      <c r="AX3408" s="7"/>
    </row>
    <row r="3409" spans="14:50" x14ac:dyDescent="0.25">
      <c r="N3409" s="3"/>
      <c r="AW3409" s="7"/>
      <c r="AX3409" s="7"/>
    </row>
    <row r="3410" spans="14:50" x14ac:dyDescent="0.25">
      <c r="N3410" s="3"/>
      <c r="AW3410" s="7"/>
      <c r="AX3410" s="7"/>
    </row>
    <row r="3411" spans="14:50" x14ac:dyDescent="0.25">
      <c r="N3411" s="3"/>
      <c r="AW3411" s="7"/>
      <c r="AX3411" s="7"/>
    </row>
    <row r="3412" spans="14:50" x14ac:dyDescent="0.25">
      <c r="N3412" s="3"/>
      <c r="AW3412" s="7"/>
      <c r="AX3412" s="7"/>
    </row>
    <row r="3413" spans="14:50" x14ac:dyDescent="0.25">
      <c r="N3413" s="3"/>
      <c r="AW3413" s="7"/>
      <c r="AX3413" s="7"/>
    </row>
    <row r="3414" spans="14:50" x14ac:dyDescent="0.25">
      <c r="N3414" s="3"/>
      <c r="AW3414" s="7"/>
      <c r="AX3414" s="7"/>
    </row>
    <row r="3415" spans="14:50" x14ac:dyDescent="0.25">
      <c r="N3415" s="3"/>
      <c r="AW3415" s="7"/>
      <c r="AX3415" s="7"/>
    </row>
    <row r="3416" spans="14:50" x14ac:dyDescent="0.25">
      <c r="N3416" s="3"/>
      <c r="AW3416" s="7"/>
      <c r="AX3416" s="7"/>
    </row>
    <row r="3417" spans="14:50" x14ac:dyDescent="0.25">
      <c r="N3417" s="3"/>
      <c r="AW3417" s="7"/>
      <c r="AX3417" s="7"/>
    </row>
    <row r="3418" spans="14:50" x14ac:dyDescent="0.25">
      <c r="N3418" s="3"/>
      <c r="AW3418" s="7"/>
      <c r="AX3418" s="7"/>
    </row>
    <row r="3419" spans="14:50" x14ac:dyDescent="0.25">
      <c r="N3419" s="3"/>
      <c r="AW3419" s="7"/>
      <c r="AX3419" s="7"/>
    </row>
    <row r="3420" spans="14:50" x14ac:dyDescent="0.25">
      <c r="N3420" s="3"/>
      <c r="AW3420" s="7"/>
      <c r="AX3420" s="7"/>
    </row>
    <row r="3421" spans="14:50" x14ac:dyDescent="0.25">
      <c r="N3421" s="3"/>
      <c r="AW3421" s="7"/>
      <c r="AX3421" s="7"/>
    </row>
    <row r="3422" spans="14:50" x14ac:dyDescent="0.25">
      <c r="N3422" s="3"/>
      <c r="AW3422" s="7"/>
      <c r="AX3422" s="7"/>
    </row>
    <row r="3423" spans="14:50" x14ac:dyDescent="0.25">
      <c r="N3423" s="3"/>
      <c r="AW3423" s="7"/>
      <c r="AX3423" s="7"/>
    </row>
    <row r="3424" spans="14:50" x14ac:dyDescent="0.25">
      <c r="N3424" s="3"/>
      <c r="AW3424" s="7"/>
      <c r="AX3424" s="7"/>
    </row>
    <row r="3425" spans="14:50" x14ac:dyDescent="0.25">
      <c r="N3425" s="3"/>
      <c r="AW3425" s="7"/>
      <c r="AX3425" s="7"/>
    </row>
    <row r="3426" spans="14:50" x14ac:dyDescent="0.25">
      <c r="N3426" s="3"/>
      <c r="AW3426" s="7"/>
      <c r="AX3426" s="7"/>
    </row>
    <row r="3427" spans="14:50" x14ac:dyDescent="0.25">
      <c r="N3427" s="3"/>
      <c r="AW3427" s="7"/>
      <c r="AX3427" s="7"/>
    </row>
    <row r="3428" spans="14:50" x14ac:dyDescent="0.25">
      <c r="N3428" s="3"/>
      <c r="AW3428" s="7"/>
      <c r="AX3428" s="7"/>
    </row>
    <row r="3429" spans="14:50" x14ac:dyDescent="0.25">
      <c r="N3429" s="3"/>
      <c r="AW3429" s="7"/>
      <c r="AX3429" s="7"/>
    </row>
    <row r="3430" spans="14:50" x14ac:dyDescent="0.25">
      <c r="N3430" s="3"/>
      <c r="AW3430" s="7"/>
      <c r="AX3430" s="7"/>
    </row>
    <row r="3431" spans="14:50" x14ac:dyDescent="0.25">
      <c r="N3431" s="3"/>
      <c r="AW3431" s="7"/>
      <c r="AX3431" s="7"/>
    </row>
    <row r="3432" spans="14:50" x14ac:dyDescent="0.25">
      <c r="N3432" s="3"/>
      <c r="AW3432" s="7"/>
      <c r="AX3432" s="7"/>
    </row>
    <row r="3433" spans="14:50" x14ac:dyDescent="0.25">
      <c r="N3433" s="3"/>
      <c r="AW3433" s="7"/>
      <c r="AX3433" s="7"/>
    </row>
    <row r="3434" spans="14:50" x14ac:dyDescent="0.25">
      <c r="N3434" s="3"/>
      <c r="AW3434" s="7"/>
      <c r="AX3434" s="7"/>
    </row>
    <row r="3435" spans="14:50" x14ac:dyDescent="0.25">
      <c r="N3435" s="3"/>
      <c r="AW3435" s="7"/>
      <c r="AX3435" s="7"/>
    </row>
    <row r="3436" spans="14:50" x14ac:dyDescent="0.25">
      <c r="N3436" s="3"/>
      <c r="AW3436" s="7"/>
      <c r="AX3436" s="7"/>
    </row>
    <row r="3437" spans="14:50" x14ac:dyDescent="0.25">
      <c r="N3437" s="3"/>
      <c r="AW3437" s="7"/>
      <c r="AX3437" s="7"/>
    </row>
    <row r="3438" spans="14:50" x14ac:dyDescent="0.25">
      <c r="N3438" s="3"/>
      <c r="AW3438" s="7"/>
      <c r="AX3438" s="7"/>
    </row>
    <row r="3439" spans="14:50" x14ac:dyDescent="0.25">
      <c r="N3439" s="3"/>
      <c r="AW3439" s="7"/>
      <c r="AX3439" s="7"/>
    </row>
    <row r="3440" spans="14:50" x14ac:dyDescent="0.25">
      <c r="N3440" s="3"/>
      <c r="AW3440" s="7"/>
      <c r="AX3440" s="7"/>
    </row>
    <row r="3441" spans="14:50" x14ac:dyDescent="0.25">
      <c r="N3441" s="3"/>
      <c r="AW3441" s="7"/>
      <c r="AX3441" s="7"/>
    </row>
    <row r="3442" spans="14:50" x14ac:dyDescent="0.25">
      <c r="N3442" s="3"/>
      <c r="AW3442" s="7"/>
      <c r="AX3442" s="7"/>
    </row>
    <row r="3443" spans="14:50" x14ac:dyDescent="0.25">
      <c r="N3443" s="3"/>
      <c r="AW3443" s="7"/>
      <c r="AX3443" s="7"/>
    </row>
    <row r="3444" spans="14:50" x14ac:dyDescent="0.25">
      <c r="N3444" s="3"/>
      <c r="AW3444" s="7"/>
      <c r="AX3444" s="7"/>
    </row>
    <row r="3445" spans="14:50" x14ac:dyDescent="0.25">
      <c r="N3445" s="3"/>
      <c r="AW3445" s="7"/>
      <c r="AX3445" s="7"/>
    </row>
    <row r="3446" spans="14:50" x14ac:dyDescent="0.25">
      <c r="N3446" s="3"/>
      <c r="AW3446" s="7"/>
      <c r="AX3446" s="7"/>
    </row>
    <row r="3447" spans="14:50" x14ac:dyDescent="0.25">
      <c r="N3447" s="3"/>
      <c r="AW3447" s="7"/>
      <c r="AX3447" s="7"/>
    </row>
    <row r="3448" spans="14:50" x14ac:dyDescent="0.25">
      <c r="N3448" s="3"/>
      <c r="AW3448" s="7"/>
      <c r="AX3448" s="7"/>
    </row>
    <row r="3449" spans="14:50" x14ac:dyDescent="0.25">
      <c r="N3449" s="3"/>
      <c r="AW3449" s="7"/>
      <c r="AX3449" s="7"/>
    </row>
    <row r="3450" spans="14:50" x14ac:dyDescent="0.25">
      <c r="N3450" s="3"/>
      <c r="AW3450" s="7"/>
      <c r="AX3450" s="7"/>
    </row>
    <row r="3451" spans="14:50" x14ac:dyDescent="0.25">
      <c r="N3451" s="3"/>
      <c r="AW3451" s="7"/>
      <c r="AX3451" s="7"/>
    </row>
    <row r="3452" spans="14:50" x14ac:dyDescent="0.25">
      <c r="N3452" s="3"/>
      <c r="AW3452" s="7"/>
      <c r="AX3452" s="7"/>
    </row>
    <row r="3453" spans="14:50" x14ac:dyDescent="0.25">
      <c r="N3453" s="3"/>
      <c r="AW3453" s="7"/>
      <c r="AX3453" s="7"/>
    </row>
    <row r="3454" spans="14:50" x14ac:dyDescent="0.25">
      <c r="N3454" s="3"/>
      <c r="AW3454" s="7"/>
      <c r="AX3454" s="7"/>
    </row>
    <row r="3455" spans="14:50" x14ac:dyDescent="0.25">
      <c r="N3455" s="3"/>
      <c r="AW3455" s="7"/>
      <c r="AX3455" s="7"/>
    </row>
    <row r="3456" spans="14:50" x14ac:dyDescent="0.25">
      <c r="N3456" s="3"/>
      <c r="AW3456" s="7"/>
      <c r="AX3456" s="7"/>
    </row>
    <row r="3457" spans="14:50" x14ac:dyDescent="0.25">
      <c r="N3457" s="3"/>
      <c r="AW3457" s="7"/>
      <c r="AX3457" s="7"/>
    </row>
    <row r="3458" spans="14:50" x14ac:dyDescent="0.25">
      <c r="N3458" s="3"/>
      <c r="AW3458" s="7"/>
      <c r="AX3458" s="7"/>
    </row>
    <row r="3459" spans="14:50" x14ac:dyDescent="0.25">
      <c r="N3459" s="3"/>
      <c r="AW3459" s="7"/>
      <c r="AX3459" s="7"/>
    </row>
    <row r="3460" spans="14:50" x14ac:dyDescent="0.25">
      <c r="N3460" s="3"/>
      <c r="AW3460" s="7"/>
      <c r="AX3460" s="7"/>
    </row>
    <row r="3461" spans="14:50" x14ac:dyDescent="0.25">
      <c r="N3461" s="3"/>
      <c r="AW3461" s="7"/>
      <c r="AX3461" s="7"/>
    </row>
    <row r="3462" spans="14:50" x14ac:dyDescent="0.25">
      <c r="N3462" s="3"/>
      <c r="AW3462" s="7"/>
      <c r="AX3462" s="7"/>
    </row>
    <row r="3463" spans="14:50" x14ac:dyDescent="0.25">
      <c r="N3463" s="3"/>
      <c r="AW3463" s="7"/>
      <c r="AX3463" s="7"/>
    </row>
    <row r="3464" spans="14:50" x14ac:dyDescent="0.25">
      <c r="N3464" s="3"/>
      <c r="AW3464" s="7"/>
      <c r="AX3464" s="7"/>
    </row>
    <row r="3465" spans="14:50" x14ac:dyDescent="0.25">
      <c r="N3465" s="3"/>
      <c r="AW3465" s="7"/>
      <c r="AX3465" s="7"/>
    </row>
    <row r="3466" spans="14:50" x14ac:dyDescent="0.25">
      <c r="N3466" s="3"/>
      <c r="AW3466" s="7"/>
      <c r="AX3466" s="7"/>
    </row>
    <row r="3467" spans="14:50" x14ac:dyDescent="0.25">
      <c r="N3467" s="3"/>
      <c r="AW3467" s="7"/>
      <c r="AX3467" s="7"/>
    </row>
    <row r="3468" spans="14:50" x14ac:dyDescent="0.25">
      <c r="N3468" s="3"/>
      <c r="AW3468" s="7"/>
      <c r="AX3468" s="7"/>
    </row>
    <row r="3469" spans="14:50" x14ac:dyDescent="0.25">
      <c r="N3469" s="3"/>
      <c r="AW3469" s="7"/>
      <c r="AX3469" s="7"/>
    </row>
    <row r="3470" spans="14:50" x14ac:dyDescent="0.25">
      <c r="N3470" s="3"/>
      <c r="AW3470" s="7"/>
      <c r="AX3470" s="7"/>
    </row>
    <row r="3471" spans="14:50" x14ac:dyDescent="0.25">
      <c r="N3471" s="3"/>
      <c r="AW3471" s="7"/>
      <c r="AX3471" s="7"/>
    </row>
    <row r="3472" spans="14:50" x14ac:dyDescent="0.25">
      <c r="N3472" s="3"/>
      <c r="AW3472" s="7"/>
      <c r="AX3472" s="7"/>
    </row>
    <row r="3473" spans="14:50" x14ac:dyDescent="0.25">
      <c r="N3473" s="3"/>
      <c r="AW3473" s="7"/>
      <c r="AX3473" s="7"/>
    </row>
    <row r="3474" spans="14:50" x14ac:dyDescent="0.25">
      <c r="N3474" s="3"/>
      <c r="AW3474" s="7"/>
      <c r="AX3474" s="7"/>
    </row>
    <row r="3475" spans="14:50" x14ac:dyDescent="0.25">
      <c r="N3475" s="3"/>
      <c r="AW3475" s="7"/>
      <c r="AX3475" s="7"/>
    </row>
    <row r="3476" spans="14:50" x14ac:dyDescent="0.25">
      <c r="N3476" s="3"/>
      <c r="AW3476" s="7"/>
      <c r="AX3476" s="7"/>
    </row>
    <row r="3477" spans="14:50" x14ac:dyDescent="0.25">
      <c r="N3477" s="3"/>
      <c r="AW3477" s="7"/>
      <c r="AX3477" s="7"/>
    </row>
    <row r="3478" spans="14:50" x14ac:dyDescent="0.25">
      <c r="N3478" s="3"/>
      <c r="AW3478" s="7"/>
      <c r="AX3478" s="7"/>
    </row>
    <row r="3479" spans="14:50" x14ac:dyDescent="0.25">
      <c r="N3479" s="3"/>
      <c r="AW3479" s="7"/>
      <c r="AX3479" s="7"/>
    </row>
    <row r="3480" spans="14:50" x14ac:dyDescent="0.25">
      <c r="N3480" s="3"/>
      <c r="AW3480" s="7"/>
      <c r="AX3480" s="7"/>
    </row>
    <row r="3481" spans="14:50" x14ac:dyDescent="0.25">
      <c r="N3481" s="3"/>
      <c r="AW3481" s="7"/>
      <c r="AX3481" s="7"/>
    </row>
    <row r="3482" spans="14:50" x14ac:dyDescent="0.25">
      <c r="N3482" s="3"/>
      <c r="AW3482" s="7"/>
      <c r="AX3482" s="7"/>
    </row>
    <row r="3483" spans="14:50" x14ac:dyDescent="0.25">
      <c r="N3483" s="3"/>
      <c r="AW3483" s="7"/>
      <c r="AX3483" s="7"/>
    </row>
    <row r="3484" spans="14:50" x14ac:dyDescent="0.25">
      <c r="N3484" s="3"/>
      <c r="AW3484" s="7"/>
      <c r="AX3484" s="7"/>
    </row>
    <row r="3485" spans="14:50" x14ac:dyDescent="0.25">
      <c r="N3485" s="3"/>
      <c r="AW3485" s="7"/>
      <c r="AX3485" s="7"/>
    </row>
    <row r="3486" spans="14:50" x14ac:dyDescent="0.25">
      <c r="N3486" s="3"/>
      <c r="AW3486" s="7"/>
      <c r="AX3486" s="7"/>
    </row>
    <row r="3487" spans="14:50" x14ac:dyDescent="0.25">
      <c r="N3487" s="3"/>
      <c r="AW3487" s="7"/>
      <c r="AX3487" s="7"/>
    </row>
    <row r="3488" spans="14:50" x14ac:dyDescent="0.25">
      <c r="N3488" s="3"/>
      <c r="AW3488" s="7"/>
      <c r="AX3488" s="7"/>
    </row>
    <row r="3489" spans="14:50" x14ac:dyDescent="0.25">
      <c r="N3489" s="3"/>
      <c r="AW3489" s="7"/>
      <c r="AX3489" s="7"/>
    </row>
    <row r="3490" spans="14:50" x14ac:dyDescent="0.25">
      <c r="N3490" s="3"/>
      <c r="AW3490" s="7"/>
      <c r="AX3490" s="7"/>
    </row>
    <row r="3491" spans="14:50" x14ac:dyDescent="0.25">
      <c r="N3491" s="3"/>
      <c r="AW3491" s="7"/>
      <c r="AX3491" s="7"/>
    </row>
    <row r="3492" spans="14:50" x14ac:dyDescent="0.25">
      <c r="N3492" s="3"/>
      <c r="AW3492" s="7"/>
      <c r="AX3492" s="7"/>
    </row>
    <row r="3493" spans="14:50" x14ac:dyDescent="0.25">
      <c r="N3493" s="3"/>
      <c r="AW3493" s="7"/>
      <c r="AX3493" s="7"/>
    </row>
    <row r="3494" spans="14:50" x14ac:dyDescent="0.25">
      <c r="N3494" s="3"/>
      <c r="AW3494" s="7"/>
      <c r="AX3494" s="7"/>
    </row>
    <row r="3495" spans="14:50" x14ac:dyDescent="0.25">
      <c r="N3495" s="3"/>
      <c r="AW3495" s="7"/>
      <c r="AX3495" s="7"/>
    </row>
    <row r="3496" spans="14:50" x14ac:dyDescent="0.25">
      <c r="N3496" s="3"/>
      <c r="AW3496" s="7"/>
      <c r="AX3496" s="7"/>
    </row>
    <row r="3497" spans="14:50" x14ac:dyDescent="0.25">
      <c r="N3497" s="3"/>
      <c r="AW3497" s="7"/>
      <c r="AX3497" s="7"/>
    </row>
    <row r="3498" spans="14:50" x14ac:dyDescent="0.25">
      <c r="N3498" s="3"/>
      <c r="AW3498" s="7"/>
      <c r="AX3498" s="7"/>
    </row>
    <row r="3499" spans="14:50" x14ac:dyDescent="0.25">
      <c r="N3499" s="3"/>
      <c r="AW3499" s="7"/>
      <c r="AX3499" s="7"/>
    </row>
    <row r="3500" spans="14:50" x14ac:dyDescent="0.25">
      <c r="N3500" s="3"/>
      <c r="AW3500" s="7"/>
      <c r="AX3500" s="7"/>
    </row>
    <row r="3501" spans="14:50" x14ac:dyDescent="0.25">
      <c r="N3501" s="3"/>
      <c r="AW3501" s="7"/>
      <c r="AX3501" s="7"/>
    </row>
    <row r="3502" spans="14:50" x14ac:dyDescent="0.25">
      <c r="N3502" s="3"/>
      <c r="AW3502" s="7"/>
      <c r="AX3502" s="7"/>
    </row>
    <row r="3503" spans="14:50" x14ac:dyDescent="0.25">
      <c r="N3503" s="3"/>
      <c r="AW3503" s="7"/>
      <c r="AX3503" s="7"/>
    </row>
    <row r="3504" spans="14:50" x14ac:dyDescent="0.25">
      <c r="N3504" s="3"/>
      <c r="AW3504" s="7"/>
      <c r="AX3504" s="7"/>
    </row>
    <row r="3505" spans="14:50" x14ac:dyDescent="0.25">
      <c r="N3505" s="3"/>
      <c r="AW3505" s="7"/>
      <c r="AX3505" s="7"/>
    </row>
    <row r="3506" spans="14:50" x14ac:dyDescent="0.25">
      <c r="N3506" s="3"/>
      <c r="AW3506" s="7"/>
      <c r="AX3506" s="7"/>
    </row>
    <row r="3507" spans="14:50" x14ac:dyDescent="0.25">
      <c r="N3507" s="3"/>
      <c r="AW3507" s="7"/>
      <c r="AX3507" s="7"/>
    </row>
    <row r="3508" spans="14:50" x14ac:dyDescent="0.25">
      <c r="N3508" s="3"/>
      <c r="AW3508" s="7"/>
      <c r="AX3508" s="7"/>
    </row>
    <row r="3509" spans="14:50" x14ac:dyDescent="0.25">
      <c r="N3509" s="3"/>
      <c r="AW3509" s="7"/>
      <c r="AX3509" s="7"/>
    </row>
    <row r="3510" spans="14:50" x14ac:dyDescent="0.25">
      <c r="N3510" s="3"/>
      <c r="AW3510" s="7"/>
      <c r="AX3510" s="7"/>
    </row>
    <row r="3511" spans="14:50" x14ac:dyDescent="0.25">
      <c r="N3511" s="3"/>
      <c r="AW3511" s="7"/>
      <c r="AX3511" s="7"/>
    </row>
    <row r="3512" spans="14:50" x14ac:dyDescent="0.25">
      <c r="N3512" s="3"/>
      <c r="AW3512" s="7"/>
      <c r="AX3512" s="7"/>
    </row>
    <row r="3513" spans="14:50" x14ac:dyDescent="0.25">
      <c r="N3513" s="3"/>
      <c r="AW3513" s="7"/>
      <c r="AX3513" s="7"/>
    </row>
    <row r="3514" spans="14:50" x14ac:dyDescent="0.25">
      <c r="N3514" s="3"/>
      <c r="AW3514" s="7"/>
      <c r="AX3514" s="7"/>
    </row>
    <row r="3515" spans="14:50" x14ac:dyDescent="0.25">
      <c r="N3515" s="3"/>
      <c r="AW3515" s="7"/>
      <c r="AX3515" s="7"/>
    </row>
    <row r="3516" spans="14:50" x14ac:dyDescent="0.25">
      <c r="N3516" s="3"/>
      <c r="AW3516" s="7"/>
      <c r="AX3516" s="7"/>
    </row>
    <row r="3517" spans="14:50" x14ac:dyDescent="0.25">
      <c r="N3517" s="3"/>
      <c r="AW3517" s="7"/>
      <c r="AX3517" s="7"/>
    </row>
    <row r="3518" spans="14:50" x14ac:dyDescent="0.25">
      <c r="N3518" s="3"/>
      <c r="AW3518" s="7"/>
      <c r="AX3518" s="7"/>
    </row>
    <row r="3519" spans="14:50" x14ac:dyDescent="0.25">
      <c r="N3519" s="3"/>
      <c r="AW3519" s="7"/>
      <c r="AX3519" s="7"/>
    </row>
    <row r="3520" spans="14:50" x14ac:dyDescent="0.25">
      <c r="N3520" s="3"/>
      <c r="AW3520" s="7"/>
      <c r="AX3520" s="7"/>
    </row>
    <row r="3521" spans="14:50" x14ac:dyDescent="0.25">
      <c r="N3521" s="3"/>
      <c r="AW3521" s="7"/>
      <c r="AX3521" s="7"/>
    </row>
    <row r="3522" spans="14:50" x14ac:dyDescent="0.25">
      <c r="N3522" s="3"/>
      <c r="AW3522" s="7"/>
      <c r="AX3522" s="7"/>
    </row>
    <row r="3523" spans="14:50" x14ac:dyDescent="0.25">
      <c r="N3523" s="3"/>
      <c r="AW3523" s="7"/>
      <c r="AX3523" s="7"/>
    </row>
    <row r="3524" spans="14:50" x14ac:dyDescent="0.25">
      <c r="N3524" s="3"/>
      <c r="AW3524" s="7"/>
      <c r="AX3524" s="7"/>
    </row>
    <row r="3525" spans="14:50" x14ac:dyDescent="0.25">
      <c r="N3525" s="3"/>
      <c r="AW3525" s="7"/>
      <c r="AX3525" s="7"/>
    </row>
    <row r="3526" spans="14:50" x14ac:dyDescent="0.25">
      <c r="N3526" s="3"/>
      <c r="AW3526" s="7"/>
      <c r="AX3526" s="7"/>
    </row>
    <row r="3527" spans="14:50" x14ac:dyDescent="0.25">
      <c r="N3527" s="3"/>
      <c r="AW3527" s="7"/>
      <c r="AX3527" s="7"/>
    </row>
    <row r="3528" spans="14:50" x14ac:dyDescent="0.25">
      <c r="N3528" s="3"/>
      <c r="AW3528" s="7"/>
      <c r="AX3528" s="7"/>
    </row>
    <row r="3529" spans="14:50" x14ac:dyDescent="0.25">
      <c r="N3529" s="3"/>
      <c r="AW3529" s="7"/>
      <c r="AX3529" s="7"/>
    </row>
    <row r="3530" spans="14:50" x14ac:dyDescent="0.25">
      <c r="N3530" s="3"/>
      <c r="AW3530" s="7"/>
      <c r="AX3530" s="7"/>
    </row>
    <row r="3531" spans="14:50" x14ac:dyDescent="0.25">
      <c r="N3531" s="3"/>
      <c r="AW3531" s="7"/>
      <c r="AX3531" s="7"/>
    </row>
    <row r="3532" spans="14:50" x14ac:dyDescent="0.25">
      <c r="N3532" s="3"/>
      <c r="AW3532" s="7"/>
      <c r="AX3532" s="7"/>
    </row>
    <row r="3533" spans="14:50" x14ac:dyDescent="0.25">
      <c r="N3533" s="3"/>
      <c r="AW3533" s="7"/>
      <c r="AX3533" s="7"/>
    </row>
    <row r="3534" spans="14:50" x14ac:dyDescent="0.25">
      <c r="N3534" s="3"/>
      <c r="AW3534" s="7"/>
      <c r="AX3534" s="7"/>
    </row>
    <row r="3535" spans="14:50" x14ac:dyDescent="0.25">
      <c r="N3535" s="3"/>
      <c r="AW3535" s="7"/>
      <c r="AX3535" s="7"/>
    </row>
    <row r="3536" spans="14:50" x14ac:dyDescent="0.25">
      <c r="N3536" s="3"/>
      <c r="AW3536" s="7"/>
      <c r="AX3536" s="7"/>
    </row>
    <row r="3537" spans="14:50" x14ac:dyDescent="0.25">
      <c r="N3537" s="3"/>
      <c r="AW3537" s="7"/>
      <c r="AX3537" s="7"/>
    </row>
    <row r="3538" spans="14:50" x14ac:dyDescent="0.25">
      <c r="N3538" s="3"/>
      <c r="AW3538" s="7"/>
      <c r="AX3538" s="7"/>
    </row>
    <row r="3539" spans="14:50" x14ac:dyDescent="0.25">
      <c r="N3539" s="3"/>
      <c r="AW3539" s="7"/>
      <c r="AX3539" s="7"/>
    </row>
    <row r="3540" spans="14:50" x14ac:dyDescent="0.25">
      <c r="N3540" s="3"/>
      <c r="AW3540" s="7"/>
      <c r="AX3540" s="7"/>
    </row>
    <row r="3541" spans="14:50" x14ac:dyDescent="0.25">
      <c r="N3541" s="3"/>
      <c r="AW3541" s="7"/>
      <c r="AX3541" s="7"/>
    </row>
    <row r="3542" spans="14:50" x14ac:dyDescent="0.25">
      <c r="N3542" s="3"/>
      <c r="AW3542" s="7"/>
      <c r="AX3542" s="7"/>
    </row>
    <row r="3543" spans="14:50" x14ac:dyDescent="0.25">
      <c r="N3543" s="3"/>
      <c r="AW3543" s="7"/>
      <c r="AX3543" s="7"/>
    </row>
    <row r="3544" spans="14:50" x14ac:dyDescent="0.25">
      <c r="N3544" s="3"/>
      <c r="AW3544" s="7"/>
      <c r="AX3544" s="7"/>
    </row>
    <row r="3545" spans="14:50" x14ac:dyDescent="0.25">
      <c r="N3545" s="3"/>
      <c r="AW3545" s="7"/>
      <c r="AX3545" s="7"/>
    </row>
    <row r="3546" spans="14:50" x14ac:dyDescent="0.25">
      <c r="N3546" s="3"/>
      <c r="AW3546" s="7"/>
      <c r="AX3546" s="7"/>
    </row>
    <row r="3547" spans="14:50" x14ac:dyDescent="0.25">
      <c r="N3547" s="3"/>
      <c r="AW3547" s="7"/>
      <c r="AX3547" s="7"/>
    </row>
    <row r="3548" spans="14:50" x14ac:dyDescent="0.25">
      <c r="N3548" s="3"/>
      <c r="AW3548" s="7"/>
      <c r="AX3548" s="7"/>
    </row>
    <row r="3549" spans="14:50" x14ac:dyDescent="0.25">
      <c r="N3549" s="3"/>
      <c r="AW3549" s="7"/>
      <c r="AX3549" s="7"/>
    </row>
    <row r="3550" spans="14:50" x14ac:dyDescent="0.25">
      <c r="N3550" s="3"/>
      <c r="AW3550" s="7"/>
      <c r="AX3550" s="7"/>
    </row>
    <row r="3551" spans="14:50" x14ac:dyDescent="0.25">
      <c r="N3551" s="3"/>
      <c r="AW3551" s="7"/>
      <c r="AX3551" s="7"/>
    </row>
    <row r="3552" spans="14:50" x14ac:dyDescent="0.25">
      <c r="N3552" s="3"/>
      <c r="AW3552" s="7"/>
      <c r="AX3552" s="7"/>
    </row>
    <row r="3553" spans="14:50" x14ac:dyDescent="0.25">
      <c r="N3553" s="3"/>
      <c r="AW3553" s="7"/>
      <c r="AX3553" s="7"/>
    </row>
    <row r="3554" spans="14:50" x14ac:dyDescent="0.25">
      <c r="N3554" s="3"/>
      <c r="AW3554" s="7"/>
      <c r="AX3554" s="7"/>
    </row>
    <row r="3555" spans="14:50" x14ac:dyDescent="0.25">
      <c r="N3555" s="3"/>
      <c r="AW3555" s="7"/>
      <c r="AX3555" s="7"/>
    </row>
    <row r="3556" spans="14:50" x14ac:dyDescent="0.25">
      <c r="N3556" s="3"/>
      <c r="AW3556" s="7"/>
      <c r="AX3556" s="7"/>
    </row>
    <row r="3557" spans="14:50" x14ac:dyDescent="0.25">
      <c r="N3557" s="3"/>
      <c r="AW3557" s="7"/>
      <c r="AX3557" s="7"/>
    </row>
    <row r="3558" spans="14:50" x14ac:dyDescent="0.25">
      <c r="N3558" s="3"/>
      <c r="AW3558" s="7"/>
      <c r="AX3558" s="7"/>
    </row>
    <row r="3559" spans="14:50" x14ac:dyDescent="0.25">
      <c r="N3559" s="3"/>
      <c r="AW3559" s="7"/>
      <c r="AX3559" s="7"/>
    </row>
    <row r="3560" spans="14:50" x14ac:dyDescent="0.25">
      <c r="N3560" s="3"/>
      <c r="AW3560" s="7"/>
      <c r="AX3560" s="7"/>
    </row>
    <row r="3561" spans="14:50" x14ac:dyDescent="0.25">
      <c r="N3561" s="3"/>
      <c r="AW3561" s="7"/>
      <c r="AX3561" s="7"/>
    </row>
    <row r="3562" spans="14:50" x14ac:dyDescent="0.25">
      <c r="N3562" s="3"/>
      <c r="AW3562" s="7"/>
      <c r="AX3562" s="7"/>
    </row>
    <row r="3563" spans="14:50" x14ac:dyDescent="0.25">
      <c r="N3563" s="3"/>
      <c r="AW3563" s="7"/>
      <c r="AX3563" s="7"/>
    </row>
    <row r="3564" spans="14:50" x14ac:dyDescent="0.25">
      <c r="N3564" s="3"/>
      <c r="AW3564" s="7"/>
      <c r="AX3564" s="7"/>
    </row>
    <row r="3565" spans="14:50" x14ac:dyDescent="0.25">
      <c r="N3565" s="3"/>
      <c r="AW3565" s="7"/>
      <c r="AX3565" s="7"/>
    </row>
    <row r="3566" spans="14:50" x14ac:dyDescent="0.25">
      <c r="N3566" s="3"/>
      <c r="AW3566" s="7"/>
      <c r="AX3566" s="7"/>
    </row>
    <row r="3567" spans="14:50" x14ac:dyDescent="0.25">
      <c r="N3567" s="3"/>
      <c r="AW3567" s="7"/>
      <c r="AX3567" s="7"/>
    </row>
    <row r="3568" spans="14:50" x14ac:dyDescent="0.25">
      <c r="N3568" s="3"/>
      <c r="AW3568" s="7"/>
      <c r="AX3568" s="7"/>
    </row>
    <row r="3569" spans="14:50" x14ac:dyDescent="0.25">
      <c r="N3569" s="3"/>
      <c r="AW3569" s="7"/>
      <c r="AX3569" s="7"/>
    </row>
    <row r="3570" spans="14:50" x14ac:dyDescent="0.25">
      <c r="N3570" s="3"/>
      <c r="AW3570" s="7"/>
      <c r="AX3570" s="7"/>
    </row>
    <row r="3571" spans="14:50" x14ac:dyDescent="0.25">
      <c r="N3571" s="3"/>
      <c r="AW3571" s="7"/>
      <c r="AX3571" s="7"/>
    </row>
    <row r="3572" spans="14:50" x14ac:dyDescent="0.25">
      <c r="N3572" s="3"/>
      <c r="AW3572" s="7"/>
      <c r="AX3572" s="7"/>
    </row>
    <row r="3573" spans="14:50" x14ac:dyDescent="0.25">
      <c r="N3573" s="3"/>
      <c r="AW3573" s="7"/>
      <c r="AX3573" s="7"/>
    </row>
    <row r="3574" spans="14:50" x14ac:dyDescent="0.25">
      <c r="N3574" s="3"/>
      <c r="AW3574" s="7"/>
      <c r="AX3574" s="7"/>
    </row>
    <row r="3575" spans="14:50" x14ac:dyDescent="0.25">
      <c r="N3575" s="3"/>
      <c r="AW3575" s="7"/>
      <c r="AX3575" s="7"/>
    </row>
    <row r="3576" spans="14:50" x14ac:dyDescent="0.25">
      <c r="N3576" s="3"/>
      <c r="AW3576" s="7"/>
      <c r="AX3576" s="7"/>
    </row>
    <row r="3577" spans="14:50" x14ac:dyDescent="0.25">
      <c r="N3577" s="3"/>
      <c r="AW3577" s="7"/>
      <c r="AX3577" s="7"/>
    </row>
    <row r="3578" spans="14:50" x14ac:dyDescent="0.25">
      <c r="N3578" s="3"/>
      <c r="AW3578" s="7"/>
      <c r="AX3578" s="7"/>
    </row>
    <row r="3579" spans="14:50" x14ac:dyDescent="0.25">
      <c r="N3579" s="3"/>
      <c r="AW3579" s="7"/>
      <c r="AX3579" s="7"/>
    </row>
    <row r="3580" spans="14:50" x14ac:dyDescent="0.25">
      <c r="N3580" s="3"/>
      <c r="AW3580" s="7"/>
      <c r="AX3580" s="7"/>
    </row>
    <row r="3581" spans="14:50" x14ac:dyDescent="0.25">
      <c r="N3581" s="3"/>
      <c r="AW3581" s="7"/>
      <c r="AX3581" s="7"/>
    </row>
    <row r="3582" spans="14:50" x14ac:dyDescent="0.25">
      <c r="N3582" s="3"/>
      <c r="AW3582" s="7"/>
      <c r="AX3582" s="7"/>
    </row>
    <row r="3583" spans="14:50" x14ac:dyDescent="0.25">
      <c r="N3583" s="3"/>
      <c r="AW3583" s="7"/>
      <c r="AX3583" s="7"/>
    </row>
    <row r="3584" spans="14:50" x14ac:dyDescent="0.25">
      <c r="N3584" s="3"/>
      <c r="AW3584" s="7"/>
      <c r="AX3584" s="7"/>
    </row>
    <row r="3585" spans="14:50" x14ac:dyDescent="0.25">
      <c r="N3585" s="3"/>
      <c r="AW3585" s="7"/>
      <c r="AX3585" s="7"/>
    </row>
    <row r="3586" spans="14:50" x14ac:dyDescent="0.25">
      <c r="N3586" s="3"/>
      <c r="AW3586" s="7"/>
      <c r="AX3586" s="7"/>
    </row>
    <row r="3587" spans="14:50" x14ac:dyDescent="0.25">
      <c r="N3587" s="3"/>
      <c r="AW3587" s="7"/>
      <c r="AX3587" s="7"/>
    </row>
    <row r="3588" spans="14:50" x14ac:dyDescent="0.25">
      <c r="N3588" s="3"/>
      <c r="AW3588" s="7"/>
      <c r="AX3588" s="7"/>
    </row>
    <row r="3589" spans="14:50" x14ac:dyDescent="0.25">
      <c r="N3589" s="3"/>
      <c r="AW3589" s="7"/>
      <c r="AX3589" s="7"/>
    </row>
    <row r="3590" spans="14:50" x14ac:dyDescent="0.25">
      <c r="N3590" s="3"/>
      <c r="AW3590" s="7"/>
      <c r="AX3590" s="7"/>
    </row>
    <row r="3591" spans="14:50" x14ac:dyDescent="0.25">
      <c r="N3591" s="3"/>
      <c r="AW3591" s="7"/>
      <c r="AX3591" s="7"/>
    </row>
    <row r="3592" spans="14:50" x14ac:dyDescent="0.25">
      <c r="N3592" s="3"/>
      <c r="AW3592" s="7"/>
      <c r="AX3592" s="7"/>
    </row>
    <row r="3593" spans="14:50" x14ac:dyDescent="0.25">
      <c r="N3593" s="3"/>
      <c r="AW3593" s="7"/>
      <c r="AX3593" s="7"/>
    </row>
    <row r="3594" spans="14:50" x14ac:dyDescent="0.25">
      <c r="N3594" s="3"/>
      <c r="AW3594" s="7"/>
      <c r="AX3594" s="7"/>
    </row>
    <row r="3595" spans="14:50" x14ac:dyDescent="0.25">
      <c r="N3595" s="3"/>
      <c r="AW3595" s="7"/>
      <c r="AX3595" s="7"/>
    </row>
    <row r="3596" spans="14:50" x14ac:dyDescent="0.25">
      <c r="N3596" s="3"/>
      <c r="AW3596" s="7"/>
      <c r="AX3596" s="7"/>
    </row>
    <row r="3597" spans="14:50" x14ac:dyDescent="0.25">
      <c r="N3597" s="3"/>
      <c r="AW3597" s="7"/>
      <c r="AX3597" s="7"/>
    </row>
    <row r="3598" spans="14:50" x14ac:dyDescent="0.25">
      <c r="N3598" s="3"/>
      <c r="AW3598" s="7"/>
      <c r="AX3598" s="7"/>
    </row>
    <row r="3599" spans="14:50" x14ac:dyDescent="0.25">
      <c r="N3599" s="3"/>
      <c r="AW3599" s="7"/>
      <c r="AX3599" s="7"/>
    </row>
    <row r="3600" spans="14:50" x14ac:dyDescent="0.25">
      <c r="N3600" s="3"/>
      <c r="AW3600" s="7"/>
      <c r="AX3600" s="7"/>
    </row>
    <row r="3601" spans="14:50" x14ac:dyDescent="0.25">
      <c r="N3601" s="3"/>
      <c r="AW3601" s="7"/>
      <c r="AX3601" s="7"/>
    </row>
    <row r="3602" spans="14:50" x14ac:dyDescent="0.25">
      <c r="N3602" s="3"/>
      <c r="AW3602" s="7"/>
      <c r="AX3602" s="7"/>
    </row>
    <row r="3603" spans="14:50" x14ac:dyDescent="0.25">
      <c r="N3603" s="3"/>
      <c r="AW3603" s="7"/>
      <c r="AX3603" s="7"/>
    </row>
    <row r="3604" spans="14:50" x14ac:dyDescent="0.25">
      <c r="N3604" s="3"/>
      <c r="AW3604" s="7"/>
      <c r="AX3604" s="7"/>
    </row>
    <row r="3605" spans="14:50" x14ac:dyDescent="0.25">
      <c r="N3605" s="3"/>
      <c r="AW3605" s="7"/>
      <c r="AX3605" s="7"/>
    </row>
    <row r="3606" spans="14:50" x14ac:dyDescent="0.25">
      <c r="N3606" s="3"/>
      <c r="AW3606" s="7"/>
      <c r="AX3606" s="7"/>
    </row>
    <row r="3607" spans="14:50" x14ac:dyDescent="0.25">
      <c r="N3607" s="3"/>
      <c r="AW3607" s="7"/>
      <c r="AX3607" s="7"/>
    </row>
    <row r="3608" spans="14:50" x14ac:dyDescent="0.25">
      <c r="N3608" s="3"/>
      <c r="AW3608" s="7"/>
      <c r="AX3608" s="7"/>
    </row>
    <row r="3609" spans="14:50" x14ac:dyDescent="0.25">
      <c r="N3609" s="3"/>
      <c r="AW3609" s="7"/>
      <c r="AX3609" s="7"/>
    </row>
    <row r="3610" spans="14:50" x14ac:dyDescent="0.25">
      <c r="N3610" s="3"/>
      <c r="AW3610" s="7"/>
      <c r="AX3610" s="7"/>
    </row>
    <row r="3611" spans="14:50" x14ac:dyDescent="0.25">
      <c r="N3611" s="3"/>
      <c r="AW3611" s="7"/>
      <c r="AX3611" s="7"/>
    </row>
    <row r="3612" spans="14:50" x14ac:dyDescent="0.25">
      <c r="N3612" s="3"/>
      <c r="AW3612" s="7"/>
      <c r="AX3612" s="7"/>
    </row>
    <row r="3613" spans="14:50" x14ac:dyDescent="0.25">
      <c r="N3613" s="3"/>
      <c r="AW3613" s="7"/>
      <c r="AX3613" s="7"/>
    </row>
    <row r="3614" spans="14:50" x14ac:dyDescent="0.25">
      <c r="N3614" s="3"/>
      <c r="AW3614" s="7"/>
      <c r="AX3614" s="7"/>
    </row>
    <row r="3615" spans="14:50" x14ac:dyDescent="0.25">
      <c r="N3615" s="3"/>
      <c r="AW3615" s="7"/>
      <c r="AX3615" s="7"/>
    </row>
    <row r="3616" spans="14:50" x14ac:dyDescent="0.25">
      <c r="N3616" s="3"/>
      <c r="AW3616" s="7"/>
      <c r="AX3616" s="7"/>
    </row>
    <row r="3617" spans="14:50" x14ac:dyDescent="0.25">
      <c r="N3617" s="3"/>
      <c r="AW3617" s="7"/>
      <c r="AX3617" s="7"/>
    </row>
    <row r="3618" spans="14:50" x14ac:dyDescent="0.25">
      <c r="N3618" s="3"/>
      <c r="AW3618" s="7"/>
      <c r="AX3618" s="7"/>
    </row>
    <row r="3619" spans="14:50" x14ac:dyDescent="0.25">
      <c r="N3619" s="3"/>
      <c r="AW3619" s="7"/>
      <c r="AX3619" s="7"/>
    </row>
    <row r="3620" spans="14:50" x14ac:dyDescent="0.25">
      <c r="N3620" s="3"/>
      <c r="AW3620" s="7"/>
      <c r="AX3620" s="7"/>
    </row>
    <row r="3621" spans="14:50" x14ac:dyDescent="0.25">
      <c r="N3621" s="3"/>
      <c r="AW3621" s="7"/>
      <c r="AX3621" s="7"/>
    </row>
    <row r="3622" spans="14:50" x14ac:dyDescent="0.25">
      <c r="N3622" s="3"/>
      <c r="AW3622" s="7"/>
      <c r="AX3622" s="7"/>
    </row>
    <row r="3623" spans="14:50" x14ac:dyDescent="0.25">
      <c r="N3623" s="3"/>
      <c r="AW3623" s="7"/>
      <c r="AX3623" s="7"/>
    </row>
    <row r="3624" spans="14:50" x14ac:dyDescent="0.25">
      <c r="N3624" s="3"/>
      <c r="AW3624" s="7"/>
      <c r="AX3624" s="7"/>
    </row>
    <row r="3625" spans="14:50" x14ac:dyDescent="0.25">
      <c r="N3625" s="3"/>
      <c r="AW3625" s="7"/>
      <c r="AX3625" s="7"/>
    </row>
    <row r="3626" spans="14:50" x14ac:dyDescent="0.25">
      <c r="N3626" s="3"/>
      <c r="AW3626" s="7"/>
      <c r="AX3626" s="7"/>
    </row>
    <row r="3627" spans="14:50" x14ac:dyDescent="0.25">
      <c r="N3627" s="3"/>
      <c r="AW3627" s="7"/>
      <c r="AX3627" s="7"/>
    </row>
    <row r="3628" spans="14:50" x14ac:dyDescent="0.25">
      <c r="N3628" s="3"/>
      <c r="AW3628" s="7"/>
      <c r="AX3628" s="7"/>
    </row>
    <row r="3629" spans="14:50" x14ac:dyDescent="0.25">
      <c r="N3629" s="3"/>
      <c r="AW3629" s="7"/>
      <c r="AX3629" s="7"/>
    </row>
    <row r="3630" spans="14:50" x14ac:dyDescent="0.25">
      <c r="N3630" s="3"/>
      <c r="AW3630" s="7"/>
      <c r="AX3630" s="7"/>
    </row>
    <row r="3631" spans="14:50" x14ac:dyDescent="0.25">
      <c r="N3631" s="3"/>
      <c r="AW3631" s="7"/>
      <c r="AX3631" s="7"/>
    </row>
    <row r="3632" spans="14:50" x14ac:dyDescent="0.25">
      <c r="N3632" s="3"/>
      <c r="AW3632" s="7"/>
      <c r="AX3632" s="7"/>
    </row>
    <row r="3633" spans="14:50" x14ac:dyDescent="0.25">
      <c r="N3633" s="3"/>
      <c r="AW3633" s="7"/>
      <c r="AX3633" s="7"/>
    </row>
    <row r="3634" spans="14:50" x14ac:dyDescent="0.25">
      <c r="N3634" s="3"/>
      <c r="AW3634" s="7"/>
      <c r="AX3634" s="7"/>
    </row>
    <row r="3635" spans="14:50" x14ac:dyDescent="0.25">
      <c r="N3635" s="3"/>
      <c r="AW3635" s="7"/>
      <c r="AX3635" s="7"/>
    </row>
    <row r="3636" spans="14:50" x14ac:dyDescent="0.25">
      <c r="N3636" s="3"/>
      <c r="AW3636" s="7"/>
      <c r="AX3636" s="7"/>
    </row>
    <row r="3637" spans="14:50" x14ac:dyDescent="0.25">
      <c r="N3637" s="3"/>
      <c r="AW3637" s="7"/>
      <c r="AX3637" s="7"/>
    </row>
    <row r="3638" spans="14:50" x14ac:dyDescent="0.25">
      <c r="N3638" s="3"/>
      <c r="AW3638" s="7"/>
      <c r="AX3638" s="7"/>
    </row>
    <row r="3639" spans="14:50" x14ac:dyDescent="0.25">
      <c r="N3639" s="3"/>
      <c r="AW3639" s="7"/>
      <c r="AX3639" s="7"/>
    </row>
    <row r="3640" spans="14:50" x14ac:dyDescent="0.25">
      <c r="N3640" s="3"/>
      <c r="AW3640" s="7"/>
      <c r="AX3640" s="7"/>
    </row>
    <row r="3641" spans="14:50" x14ac:dyDescent="0.25">
      <c r="N3641" s="3"/>
      <c r="AW3641" s="7"/>
      <c r="AX3641" s="7"/>
    </row>
    <row r="3642" spans="14:50" x14ac:dyDescent="0.25">
      <c r="N3642" s="3"/>
      <c r="AW3642" s="7"/>
      <c r="AX3642" s="7"/>
    </row>
    <row r="3643" spans="14:50" x14ac:dyDescent="0.25">
      <c r="N3643" s="3"/>
      <c r="AW3643" s="7"/>
      <c r="AX3643" s="7"/>
    </row>
    <row r="3644" spans="14:50" x14ac:dyDescent="0.25">
      <c r="N3644" s="3"/>
      <c r="AW3644" s="7"/>
      <c r="AX3644" s="7"/>
    </row>
    <row r="3645" spans="14:50" x14ac:dyDescent="0.25">
      <c r="N3645" s="3"/>
      <c r="AW3645" s="7"/>
      <c r="AX3645" s="7"/>
    </row>
    <row r="3646" spans="14:50" x14ac:dyDescent="0.25">
      <c r="N3646" s="3"/>
      <c r="AW3646" s="7"/>
      <c r="AX3646" s="7"/>
    </row>
    <row r="3647" spans="14:50" x14ac:dyDescent="0.25">
      <c r="N3647" s="3"/>
      <c r="AW3647" s="7"/>
      <c r="AX3647" s="7"/>
    </row>
    <row r="3648" spans="14:50" x14ac:dyDescent="0.25">
      <c r="N3648" s="3"/>
      <c r="AW3648" s="7"/>
      <c r="AX3648" s="7"/>
    </row>
    <row r="3649" spans="14:50" x14ac:dyDescent="0.25">
      <c r="N3649" s="3"/>
      <c r="AW3649" s="7"/>
      <c r="AX3649" s="7"/>
    </row>
    <row r="3650" spans="14:50" x14ac:dyDescent="0.25">
      <c r="N3650" s="3"/>
      <c r="AW3650" s="7"/>
      <c r="AX3650" s="7"/>
    </row>
    <row r="3651" spans="14:50" x14ac:dyDescent="0.25">
      <c r="N3651" s="3"/>
      <c r="AW3651" s="7"/>
      <c r="AX3651" s="7"/>
    </row>
    <row r="3652" spans="14:50" x14ac:dyDescent="0.25">
      <c r="N3652" s="3"/>
      <c r="AW3652" s="7"/>
      <c r="AX3652" s="7"/>
    </row>
    <row r="3653" spans="14:50" x14ac:dyDescent="0.25">
      <c r="N3653" s="3"/>
      <c r="AW3653" s="7"/>
      <c r="AX3653" s="7"/>
    </row>
    <row r="3654" spans="14:50" x14ac:dyDescent="0.25">
      <c r="N3654" s="3"/>
      <c r="AW3654" s="7"/>
      <c r="AX3654" s="7"/>
    </row>
    <row r="3655" spans="14:50" x14ac:dyDescent="0.25">
      <c r="N3655" s="3"/>
      <c r="AW3655" s="7"/>
      <c r="AX3655" s="7"/>
    </row>
    <row r="3656" spans="14:50" x14ac:dyDescent="0.25">
      <c r="N3656" s="3"/>
      <c r="AW3656" s="7"/>
      <c r="AX3656" s="7"/>
    </row>
    <row r="3657" spans="14:50" x14ac:dyDescent="0.25">
      <c r="N3657" s="3"/>
      <c r="AW3657" s="7"/>
      <c r="AX3657" s="7"/>
    </row>
    <row r="3658" spans="14:50" x14ac:dyDescent="0.25">
      <c r="N3658" s="3"/>
      <c r="AW3658" s="7"/>
      <c r="AX3658" s="7"/>
    </row>
    <row r="3659" spans="14:50" x14ac:dyDescent="0.25">
      <c r="N3659" s="3"/>
      <c r="AW3659" s="7"/>
      <c r="AX3659" s="7"/>
    </row>
    <row r="3660" spans="14:50" x14ac:dyDescent="0.25">
      <c r="N3660" s="3"/>
      <c r="AW3660" s="7"/>
      <c r="AX3660" s="7"/>
    </row>
    <row r="3661" spans="14:50" x14ac:dyDescent="0.25">
      <c r="N3661" s="3"/>
      <c r="AW3661" s="7"/>
      <c r="AX3661" s="7"/>
    </row>
    <row r="3662" spans="14:50" x14ac:dyDescent="0.25">
      <c r="N3662" s="3"/>
      <c r="AW3662" s="7"/>
      <c r="AX3662" s="7"/>
    </row>
    <row r="3663" spans="14:50" x14ac:dyDescent="0.25">
      <c r="N3663" s="3"/>
      <c r="AW3663" s="7"/>
      <c r="AX3663" s="7"/>
    </row>
    <row r="3664" spans="14:50" x14ac:dyDescent="0.25">
      <c r="N3664" s="3"/>
      <c r="AW3664" s="7"/>
      <c r="AX3664" s="7"/>
    </row>
    <row r="3665" spans="14:50" x14ac:dyDescent="0.25">
      <c r="N3665" s="3"/>
      <c r="AW3665" s="7"/>
      <c r="AX3665" s="7"/>
    </row>
    <row r="3666" spans="14:50" x14ac:dyDescent="0.25">
      <c r="N3666" s="3"/>
      <c r="AW3666" s="7"/>
      <c r="AX3666" s="7"/>
    </row>
    <row r="3667" spans="14:50" x14ac:dyDescent="0.25">
      <c r="N3667" s="3"/>
      <c r="AW3667" s="7"/>
      <c r="AX3667" s="7"/>
    </row>
    <row r="3668" spans="14:50" x14ac:dyDescent="0.25">
      <c r="N3668" s="3"/>
      <c r="AW3668" s="7"/>
      <c r="AX3668" s="7"/>
    </row>
    <row r="3669" spans="14:50" x14ac:dyDescent="0.25">
      <c r="N3669" s="3"/>
      <c r="AW3669" s="7"/>
      <c r="AX3669" s="7"/>
    </row>
    <row r="3670" spans="14:50" x14ac:dyDescent="0.25">
      <c r="N3670" s="3"/>
      <c r="AW3670" s="7"/>
      <c r="AX3670" s="7"/>
    </row>
    <row r="3671" spans="14:50" x14ac:dyDescent="0.25">
      <c r="N3671" s="3"/>
      <c r="AW3671" s="7"/>
      <c r="AX3671" s="7"/>
    </row>
    <row r="3672" spans="14:50" x14ac:dyDescent="0.25">
      <c r="N3672" s="3"/>
      <c r="AW3672" s="7"/>
      <c r="AX3672" s="7"/>
    </row>
    <row r="3673" spans="14:50" x14ac:dyDescent="0.25">
      <c r="N3673" s="3"/>
      <c r="AW3673" s="7"/>
      <c r="AX3673" s="7"/>
    </row>
    <row r="3674" spans="14:50" x14ac:dyDescent="0.25">
      <c r="N3674" s="3"/>
      <c r="AW3674" s="7"/>
      <c r="AX3674" s="7"/>
    </row>
    <row r="3675" spans="14:50" x14ac:dyDescent="0.25">
      <c r="N3675" s="3"/>
      <c r="AW3675" s="7"/>
      <c r="AX3675" s="7"/>
    </row>
    <row r="3676" spans="14:50" x14ac:dyDescent="0.25">
      <c r="N3676" s="3"/>
      <c r="AW3676" s="7"/>
      <c r="AX3676" s="7"/>
    </row>
    <row r="3677" spans="14:50" x14ac:dyDescent="0.25">
      <c r="N3677" s="3"/>
      <c r="AW3677" s="7"/>
      <c r="AX3677" s="7"/>
    </row>
    <row r="3678" spans="14:50" x14ac:dyDescent="0.25">
      <c r="N3678" s="3"/>
      <c r="AW3678" s="7"/>
      <c r="AX3678" s="7"/>
    </row>
    <row r="3679" spans="14:50" x14ac:dyDescent="0.25">
      <c r="N3679" s="3"/>
      <c r="AW3679" s="7"/>
      <c r="AX3679" s="7"/>
    </row>
    <row r="3680" spans="14:50" x14ac:dyDescent="0.25">
      <c r="N3680" s="3"/>
      <c r="AW3680" s="7"/>
      <c r="AX3680" s="7"/>
    </row>
    <row r="3681" spans="14:50" x14ac:dyDescent="0.25">
      <c r="N3681" s="3"/>
      <c r="AW3681" s="7"/>
      <c r="AX3681" s="7"/>
    </row>
    <row r="3682" spans="14:50" x14ac:dyDescent="0.25">
      <c r="N3682" s="3"/>
      <c r="AW3682" s="7"/>
      <c r="AX3682" s="7"/>
    </row>
    <row r="3683" spans="14:50" x14ac:dyDescent="0.25">
      <c r="N3683" s="3"/>
      <c r="AW3683" s="7"/>
      <c r="AX3683" s="7"/>
    </row>
    <row r="3684" spans="14:50" x14ac:dyDescent="0.25">
      <c r="N3684" s="3"/>
      <c r="AW3684" s="7"/>
      <c r="AX3684" s="7"/>
    </row>
    <row r="3685" spans="14:50" x14ac:dyDescent="0.25">
      <c r="N3685" s="3"/>
      <c r="AW3685" s="7"/>
      <c r="AX3685" s="7"/>
    </row>
    <row r="3686" spans="14:50" x14ac:dyDescent="0.25">
      <c r="N3686" s="3"/>
      <c r="AW3686" s="7"/>
      <c r="AX3686" s="7"/>
    </row>
    <row r="3687" spans="14:50" x14ac:dyDescent="0.25">
      <c r="N3687" s="3"/>
      <c r="AW3687" s="7"/>
      <c r="AX3687" s="7"/>
    </row>
    <row r="3688" spans="14:50" x14ac:dyDescent="0.25">
      <c r="N3688" s="3"/>
      <c r="AW3688" s="7"/>
      <c r="AX3688" s="7"/>
    </row>
    <row r="3689" spans="14:50" x14ac:dyDescent="0.25">
      <c r="N3689" s="3"/>
      <c r="AW3689" s="7"/>
      <c r="AX3689" s="7"/>
    </row>
    <row r="3690" spans="14:50" x14ac:dyDescent="0.25">
      <c r="N3690" s="3"/>
      <c r="AW3690" s="7"/>
      <c r="AX3690" s="7"/>
    </row>
    <row r="3691" spans="14:50" x14ac:dyDescent="0.25">
      <c r="N3691" s="3"/>
      <c r="AW3691" s="7"/>
      <c r="AX3691" s="7"/>
    </row>
    <row r="3692" spans="14:50" x14ac:dyDescent="0.25">
      <c r="N3692" s="3"/>
      <c r="AW3692" s="7"/>
      <c r="AX3692" s="7"/>
    </row>
    <row r="3693" spans="14:50" x14ac:dyDescent="0.25">
      <c r="N3693" s="3"/>
      <c r="AW3693" s="7"/>
      <c r="AX3693" s="7"/>
    </row>
    <row r="3694" spans="14:50" x14ac:dyDescent="0.25">
      <c r="N3694" s="3"/>
      <c r="AW3694" s="7"/>
      <c r="AX3694" s="7"/>
    </row>
    <row r="3695" spans="14:50" x14ac:dyDescent="0.25">
      <c r="N3695" s="3"/>
      <c r="AW3695" s="7"/>
      <c r="AX3695" s="7"/>
    </row>
    <row r="3696" spans="14:50" x14ac:dyDescent="0.25">
      <c r="N3696" s="3"/>
      <c r="AW3696" s="7"/>
      <c r="AX3696" s="7"/>
    </row>
    <row r="3697" spans="14:50" x14ac:dyDescent="0.25">
      <c r="N3697" s="3"/>
      <c r="AW3697" s="7"/>
      <c r="AX3697" s="7"/>
    </row>
    <row r="3698" spans="14:50" x14ac:dyDescent="0.25">
      <c r="N3698" s="3"/>
      <c r="AW3698" s="7"/>
      <c r="AX3698" s="7"/>
    </row>
    <row r="3699" spans="14:50" x14ac:dyDescent="0.25">
      <c r="N3699" s="3"/>
      <c r="AW3699" s="7"/>
      <c r="AX3699" s="7"/>
    </row>
    <row r="3700" spans="14:50" x14ac:dyDescent="0.25">
      <c r="N3700" s="3"/>
      <c r="AW3700" s="7"/>
      <c r="AX3700" s="7"/>
    </row>
    <row r="3701" spans="14:50" x14ac:dyDescent="0.25">
      <c r="N3701" s="3"/>
      <c r="AW3701" s="7"/>
      <c r="AX3701" s="7"/>
    </row>
    <row r="3702" spans="14:50" x14ac:dyDescent="0.25">
      <c r="N3702" s="3"/>
      <c r="AW3702" s="7"/>
      <c r="AX3702" s="7"/>
    </row>
    <row r="3703" spans="14:50" x14ac:dyDescent="0.25">
      <c r="N3703" s="3"/>
      <c r="AW3703" s="7"/>
      <c r="AX3703" s="7"/>
    </row>
    <row r="3704" spans="14:50" x14ac:dyDescent="0.25">
      <c r="N3704" s="3"/>
      <c r="AW3704" s="7"/>
      <c r="AX3704" s="7"/>
    </row>
    <row r="3705" spans="14:50" x14ac:dyDescent="0.25">
      <c r="N3705" s="3"/>
      <c r="AW3705" s="7"/>
      <c r="AX3705" s="7"/>
    </row>
    <row r="3706" spans="14:50" x14ac:dyDescent="0.25">
      <c r="N3706" s="3"/>
      <c r="AW3706" s="7"/>
      <c r="AX3706" s="7"/>
    </row>
    <row r="3707" spans="14:50" x14ac:dyDescent="0.25">
      <c r="N3707" s="3"/>
      <c r="AW3707" s="7"/>
      <c r="AX3707" s="7"/>
    </row>
    <row r="3708" spans="14:50" x14ac:dyDescent="0.25">
      <c r="N3708" s="3"/>
      <c r="AW3708" s="7"/>
      <c r="AX3708" s="7"/>
    </row>
    <row r="3709" spans="14:50" x14ac:dyDescent="0.25">
      <c r="N3709" s="3"/>
      <c r="AW3709" s="7"/>
      <c r="AX3709" s="7"/>
    </row>
    <row r="3710" spans="14:50" x14ac:dyDescent="0.25">
      <c r="N3710" s="3"/>
      <c r="AW3710" s="7"/>
      <c r="AX3710" s="7"/>
    </row>
    <row r="3711" spans="14:50" x14ac:dyDescent="0.25">
      <c r="N3711" s="3"/>
      <c r="AW3711" s="7"/>
      <c r="AX3711" s="7"/>
    </row>
    <row r="3712" spans="14:50" x14ac:dyDescent="0.25">
      <c r="N3712" s="3"/>
      <c r="AW3712" s="7"/>
      <c r="AX3712" s="7"/>
    </row>
    <row r="3713" spans="14:50" x14ac:dyDescent="0.25">
      <c r="N3713" s="3"/>
      <c r="AW3713" s="7"/>
      <c r="AX3713" s="7"/>
    </row>
    <row r="3714" spans="14:50" x14ac:dyDescent="0.25">
      <c r="N3714" s="3"/>
      <c r="AW3714" s="7"/>
      <c r="AX3714" s="7"/>
    </row>
    <row r="3715" spans="14:50" x14ac:dyDescent="0.25">
      <c r="N3715" s="3"/>
      <c r="AW3715" s="7"/>
      <c r="AX3715" s="7"/>
    </row>
    <row r="3716" spans="14:50" x14ac:dyDescent="0.25">
      <c r="N3716" s="3"/>
      <c r="AW3716" s="7"/>
      <c r="AX3716" s="7"/>
    </row>
    <row r="3717" spans="14:50" x14ac:dyDescent="0.25">
      <c r="N3717" s="3"/>
      <c r="AW3717" s="7"/>
      <c r="AX3717" s="7"/>
    </row>
    <row r="3718" spans="14:50" x14ac:dyDescent="0.25">
      <c r="N3718" s="3"/>
      <c r="AW3718" s="7"/>
      <c r="AX3718" s="7"/>
    </row>
    <row r="3719" spans="14:50" x14ac:dyDescent="0.25">
      <c r="N3719" s="3"/>
      <c r="AW3719" s="7"/>
      <c r="AX3719" s="7"/>
    </row>
    <row r="3720" spans="14:50" x14ac:dyDescent="0.25">
      <c r="N3720" s="3"/>
      <c r="AW3720" s="7"/>
      <c r="AX3720" s="7"/>
    </row>
    <row r="3721" spans="14:50" x14ac:dyDescent="0.25">
      <c r="N3721" s="3"/>
      <c r="AW3721" s="7"/>
      <c r="AX3721" s="7"/>
    </row>
    <row r="3722" spans="14:50" x14ac:dyDescent="0.25">
      <c r="N3722" s="3"/>
      <c r="AW3722" s="7"/>
      <c r="AX3722" s="7"/>
    </row>
    <row r="3723" spans="14:50" x14ac:dyDescent="0.25">
      <c r="N3723" s="3"/>
      <c r="AW3723" s="7"/>
      <c r="AX3723" s="7"/>
    </row>
    <row r="3724" spans="14:50" x14ac:dyDescent="0.25">
      <c r="N3724" s="3"/>
      <c r="AW3724" s="7"/>
      <c r="AX3724" s="7"/>
    </row>
    <row r="3725" spans="14:50" x14ac:dyDescent="0.25">
      <c r="N3725" s="3"/>
      <c r="AW3725" s="7"/>
      <c r="AX3725" s="7"/>
    </row>
    <row r="3726" spans="14:50" x14ac:dyDescent="0.25">
      <c r="N3726" s="3"/>
      <c r="AW3726" s="7"/>
      <c r="AX3726" s="7"/>
    </row>
    <row r="3727" spans="14:50" x14ac:dyDescent="0.25">
      <c r="N3727" s="3"/>
      <c r="AW3727" s="7"/>
      <c r="AX3727" s="7"/>
    </row>
    <row r="3728" spans="14:50" x14ac:dyDescent="0.25">
      <c r="N3728" s="3"/>
      <c r="AW3728" s="7"/>
      <c r="AX3728" s="7"/>
    </row>
    <row r="3729" spans="14:50" x14ac:dyDescent="0.25">
      <c r="N3729" s="3"/>
      <c r="AW3729" s="7"/>
      <c r="AX3729" s="7"/>
    </row>
    <row r="3730" spans="14:50" x14ac:dyDescent="0.25">
      <c r="N3730" s="3"/>
      <c r="AW3730" s="7"/>
      <c r="AX3730" s="7"/>
    </row>
    <row r="3731" spans="14:50" x14ac:dyDescent="0.25">
      <c r="N3731" s="3"/>
      <c r="AW3731" s="7"/>
      <c r="AX3731" s="7"/>
    </row>
    <row r="3732" spans="14:50" x14ac:dyDescent="0.25">
      <c r="N3732" s="3"/>
      <c r="AW3732" s="7"/>
      <c r="AX3732" s="7"/>
    </row>
    <row r="3733" spans="14:50" x14ac:dyDescent="0.25">
      <c r="N3733" s="3"/>
      <c r="AW3733" s="7"/>
      <c r="AX3733" s="7"/>
    </row>
    <row r="3734" spans="14:50" x14ac:dyDescent="0.25">
      <c r="N3734" s="3"/>
      <c r="AW3734" s="7"/>
      <c r="AX3734" s="7"/>
    </row>
    <row r="3735" spans="14:50" x14ac:dyDescent="0.25">
      <c r="N3735" s="3"/>
      <c r="AW3735" s="7"/>
      <c r="AX3735" s="7"/>
    </row>
    <row r="3736" spans="14:50" x14ac:dyDescent="0.25">
      <c r="N3736" s="3"/>
      <c r="AW3736" s="7"/>
      <c r="AX3736" s="7"/>
    </row>
    <row r="3737" spans="14:50" x14ac:dyDescent="0.25">
      <c r="N3737" s="3"/>
      <c r="AW3737" s="7"/>
      <c r="AX3737" s="7"/>
    </row>
    <row r="3738" spans="14:50" x14ac:dyDescent="0.25">
      <c r="N3738" s="3"/>
      <c r="AW3738" s="7"/>
      <c r="AX3738" s="7"/>
    </row>
    <row r="3739" spans="14:50" x14ac:dyDescent="0.25">
      <c r="N3739" s="3"/>
      <c r="AW3739" s="7"/>
      <c r="AX3739" s="7"/>
    </row>
    <row r="3740" spans="14:50" x14ac:dyDescent="0.25">
      <c r="N3740" s="3"/>
      <c r="AW3740" s="7"/>
      <c r="AX3740" s="7"/>
    </row>
    <row r="3741" spans="14:50" x14ac:dyDescent="0.25">
      <c r="N3741" s="3"/>
      <c r="AW3741" s="7"/>
      <c r="AX3741" s="7"/>
    </row>
    <row r="3742" spans="14:50" x14ac:dyDescent="0.25">
      <c r="N3742" s="3"/>
      <c r="AW3742" s="7"/>
      <c r="AX3742" s="7"/>
    </row>
    <row r="3743" spans="14:50" x14ac:dyDescent="0.25">
      <c r="N3743" s="3"/>
      <c r="AW3743" s="7"/>
      <c r="AX3743" s="7"/>
    </row>
    <row r="3744" spans="14:50" x14ac:dyDescent="0.25">
      <c r="N3744" s="3"/>
      <c r="AW3744" s="7"/>
      <c r="AX3744" s="7"/>
    </row>
    <row r="3745" spans="14:50" x14ac:dyDescent="0.25">
      <c r="N3745" s="3"/>
      <c r="AW3745" s="7"/>
      <c r="AX3745" s="7"/>
    </row>
    <row r="3746" spans="14:50" x14ac:dyDescent="0.25">
      <c r="N3746" s="3"/>
      <c r="AW3746" s="7"/>
      <c r="AX3746" s="7"/>
    </row>
    <row r="3747" spans="14:50" x14ac:dyDescent="0.25">
      <c r="N3747" s="3"/>
      <c r="AW3747" s="7"/>
      <c r="AX3747" s="7"/>
    </row>
    <row r="3748" spans="14:50" x14ac:dyDescent="0.25">
      <c r="N3748" s="3"/>
      <c r="AW3748" s="7"/>
      <c r="AX3748" s="7"/>
    </row>
    <row r="3749" spans="14:50" x14ac:dyDescent="0.25">
      <c r="N3749" s="3"/>
      <c r="AW3749" s="7"/>
      <c r="AX3749" s="7"/>
    </row>
    <row r="3750" spans="14:50" x14ac:dyDescent="0.25">
      <c r="N3750" s="3"/>
      <c r="AW3750" s="7"/>
      <c r="AX3750" s="7"/>
    </row>
    <row r="3751" spans="14:50" x14ac:dyDescent="0.25">
      <c r="N3751" s="3"/>
      <c r="AW3751" s="7"/>
      <c r="AX3751" s="7"/>
    </row>
    <row r="3752" spans="14:50" x14ac:dyDescent="0.25">
      <c r="N3752" s="3"/>
      <c r="AW3752" s="7"/>
      <c r="AX3752" s="7"/>
    </row>
    <row r="3753" spans="14:50" x14ac:dyDescent="0.25">
      <c r="N3753" s="3"/>
      <c r="AW3753" s="7"/>
      <c r="AX3753" s="7"/>
    </row>
    <row r="3754" spans="14:50" x14ac:dyDescent="0.25">
      <c r="N3754" s="3"/>
      <c r="AW3754" s="7"/>
      <c r="AX3754" s="7"/>
    </row>
    <row r="3755" spans="14:50" x14ac:dyDescent="0.25">
      <c r="N3755" s="3"/>
      <c r="AW3755" s="7"/>
      <c r="AX3755" s="7"/>
    </row>
    <row r="3756" spans="14:50" x14ac:dyDescent="0.25">
      <c r="N3756" s="3"/>
      <c r="AW3756" s="7"/>
      <c r="AX3756" s="7"/>
    </row>
    <row r="3757" spans="14:50" x14ac:dyDescent="0.25">
      <c r="N3757" s="3"/>
      <c r="AW3757" s="7"/>
      <c r="AX3757" s="7"/>
    </row>
    <row r="3758" spans="14:50" x14ac:dyDescent="0.25">
      <c r="N3758" s="3"/>
      <c r="AW3758" s="7"/>
      <c r="AX3758" s="7"/>
    </row>
    <row r="3759" spans="14:50" x14ac:dyDescent="0.25">
      <c r="N3759" s="3"/>
      <c r="AW3759" s="7"/>
      <c r="AX3759" s="7"/>
    </row>
    <row r="3760" spans="14:50" x14ac:dyDescent="0.25">
      <c r="N3760" s="3"/>
      <c r="AW3760" s="7"/>
      <c r="AX3760" s="7"/>
    </row>
    <row r="3761" spans="14:50" x14ac:dyDescent="0.25">
      <c r="N3761" s="3"/>
      <c r="AW3761" s="7"/>
      <c r="AX3761" s="7"/>
    </row>
    <row r="3762" spans="14:50" x14ac:dyDescent="0.25">
      <c r="N3762" s="3"/>
      <c r="AW3762" s="7"/>
      <c r="AX3762" s="7"/>
    </row>
    <row r="3763" spans="14:50" x14ac:dyDescent="0.25">
      <c r="N3763" s="3"/>
      <c r="AW3763" s="7"/>
      <c r="AX3763" s="7"/>
    </row>
    <row r="3764" spans="14:50" x14ac:dyDescent="0.25">
      <c r="N3764" s="3"/>
      <c r="AW3764" s="7"/>
      <c r="AX3764" s="7"/>
    </row>
    <row r="3765" spans="14:50" x14ac:dyDescent="0.25">
      <c r="N3765" s="3"/>
      <c r="AW3765" s="7"/>
      <c r="AX3765" s="7"/>
    </row>
    <row r="3766" spans="14:50" x14ac:dyDescent="0.25">
      <c r="N3766" s="3"/>
      <c r="AW3766" s="7"/>
      <c r="AX3766" s="7"/>
    </row>
    <row r="3767" spans="14:50" x14ac:dyDescent="0.25">
      <c r="N3767" s="3"/>
      <c r="AW3767" s="7"/>
      <c r="AX3767" s="7"/>
    </row>
    <row r="3768" spans="14:50" x14ac:dyDescent="0.25">
      <c r="N3768" s="3"/>
      <c r="AW3768" s="7"/>
      <c r="AX3768" s="7"/>
    </row>
    <row r="3769" spans="14:50" x14ac:dyDescent="0.25">
      <c r="N3769" s="3"/>
      <c r="AW3769" s="7"/>
      <c r="AX3769" s="7"/>
    </row>
    <row r="3770" spans="14:50" x14ac:dyDescent="0.25">
      <c r="N3770" s="3"/>
      <c r="AW3770" s="7"/>
      <c r="AX3770" s="7"/>
    </row>
    <row r="3771" spans="14:50" x14ac:dyDescent="0.25">
      <c r="N3771" s="3"/>
      <c r="AW3771" s="7"/>
      <c r="AX3771" s="7"/>
    </row>
    <row r="3772" spans="14:50" x14ac:dyDescent="0.25">
      <c r="N3772" s="3"/>
      <c r="AW3772" s="7"/>
      <c r="AX3772" s="7"/>
    </row>
    <row r="3773" spans="14:50" x14ac:dyDescent="0.25">
      <c r="N3773" s="3"/>
      <c r="AW3773" s="7"/>
      <c r="AX3773" s="7"/>
    </row>
    <row r="3774" spans="14:50" x14ac:dyDescent="0.25">
      <c r="N3774" s="3"/>
      <c r="AW3774" s="7"/>
      <c r="AX3774" s="7"/>
    </row>
    <row r="3775" spans="14:50" x14ac:dyDescent="0.25">
      <c r="N3775" s="3"/>
      <c r="AW3775" s="7"/>
      <c r="AX3775" s="7"/>
    </row>
    <row r="3776" spans="14:50" x14ac:dyDescent="0.25">
      <c r="N3776" s="3"/>
      <c r="AW3776" s="7"/>
      <c r="AX3776" s="7"/>
    </row>
    <row r="3777" spans="14:50" x14ac:dyDescent="0.25">
      <c r="N3777" s="3"/>
      <c r="AW3777" s="7"/>
      <c r="AX3777" s="7"/>
    </row>
    <row r="3778" spans="14:50" x14ac:dyDescent="0.25">
      <c r="N3778" s="3"/>
      <c r="AW3778" s="7"/>
      <c r="AX3778" s="7"/>
    </row>
    <row r="3779" spans="14:50" x14ac:dyDescent="0.25">
      <c r="N3779" s="3"/>
      <c r="AW3779" s="7"/>
      <c r="AX3779" s="7"/>
    </row>
    <row r="3780" spans="14:50" x14ac:dyDescent="0.25">
      <c r="N3780" s="3"/>
      <c r="AW3780" s="7"/>
      <c r="AX3780" s="7"/>
    </row>
    <row r="3781" spans="14:50" x14ac:dyDescent="0.25">
      <c r="N3781" s="3"/>
      <c r="AW3781" s="7"/>
      <c r="AX3781" s="7"/>
    </row>
    <row r="3782" spans="14:50" x14ac:dyDescent="0.25">
      <c r="N3782" s="3"/>
      <c r="AW3782" s="7"/>
      <c r="AX3782" s="7"/>
    </row>
    <row r="3783" spans="14:50" x14ac:dyDescent="0.25">
      <c r="N3783" s="3"/>
      <c r="AW3783" s="7"/>
      <c r="AX3783" s="7"/>
    </row>
    <row r="3784" spans="14:50" x14ac:dyDescent="0.25">
      <c r="N3784" s="3"/>
      <c r="AW3784" s="7"/>
      <c r="AX3784" s="7"/>
    </row>
    <row r="3785" spans="14:50" x14ac:dyDescent="0.25">
      <c r="N3785" s="3"/>
      <c r="AW3785" s="7"/>
      <c r="AX3785" s="7"/>
    </row>
    <row r="3786" spans="14:50" x14ac:dyDescent="0.25">
      <c r="N3786" s="3"/>
      <c r="AW3786" s="7"/>
      <c r="AX3786" s="7"/>
    </row>
    <row r="3787" spans="14:50" x14ac:dyDescent="0.25">
      <c r="N3787" s="3"/>
      <c r="AW3787" s="7"/>
      <c r="AX3787" s="7"/>
    </row>
    <row r="3788" spans="14:50" x14ac:dyDescent="0.25">
      <c r="N3788" s="3"/>
      <c r="AW3788" s="7"/>
      <c r="AX3788" s="7"/>
    </row>
    <row r="3789" spans="14:50" x14ac:dyDescent="0.25">
      <c r="N3789" s="3"/>
      <c r="AW3789" s="7"/>
      <c r="AX3789" s="7"/>
    </row>
    <row r="3790" spans="14:50" x14ac:dyDescent="0.25">
      <c r="N3790" s="3"/>
      <c r="AW3790" s="7"/>
      <c r="AX3790" s="7"/>
    </row>
    <row r="3791" spans="14:50" x14ac:dyDescent="0.25">
      <c r="N3791" s="3"/>
      <c r="AW3791" s="7"/>
      <c r="AX3791" s="7"/>
    </row>
    <row r="3792" spans="14:50" x14ac:dyDescent="0.25">
      <c r="N3792" s="3"/>
      <c r="AW3792" s="7"/>
      <c r="AX3792" s="7"/>
    </row>
    <row r="3793" spans="14:50" x14ac:dyDescent="0.25">
      <c r="N3793" s="3"/>
      <c r="AW3793" s="7"/>
      <c r="AX3793" s="7"/>
    </row>
    <row r="3794" spans="14:50" x14ac:dyDescent="0.25">
      <c r="N3794" s="3"/>
      <c r="AW3794" s="7"/>
      <c r="AX3794" s="7"/>
    </row>
    <row r="3795" spans="14:50" x14ac:dyDescent="0.25">
      <c r="N3795" s="3"/>
      <c r="AW3795" s="7"/>
      <c r="AX3795" s="7"/>
    </row>
    <row r="3796" spans="14:50" x14ac:dyDescent="0.25">
      <c r="N3796" s="3"/>
      <c r="AW3796" s="7"/>
      <c r="AX3796" s="7"/>
    </row>
    <row r="3797" spans="14:50" x14ac:dyDescent="0.25">
      <c r="N3797" s="3"/>
      <c r="AW3797" s="7"/>
      <c r="AX3797" s="7"/>
    </row>
    <row r="3798" spans="14:50" x14ac:dyDescent="0.25">
      <c r="N3798" s="3"/>
      <c r="AW3798" s="7"/>
      <c r="AX3798" s="7"/>
    </row>
    <row r="3799" spans="14:50" x14ac:dyDescent="0.25">
      <c r="N3799" s="3"/>
      <c r="AW3799" s="7"/>
      <c r="AX3799" s="7"/>
    </row>
    <row r="3800" spans="14:50" x14ac:dyDescent="0.25">
      <c r="N3800" s="3"/>
      <c r="AW3800" s="7"/>
      <c r="AX3800" s="7"/>
    </row>
    <row r="3801" spans="14:50" x14ac:dyDescent="0.25">
      <c r="N3801" s="3"/>
      <c r="AW3801" s="7"/>
      <c r="AX3801" s="7"/>
    </row>
    <row r="3802" spans="14:50" x14ac:dyDescent="0.25">
      <c r="N3802" s="3"/>
      <c r="AW3802" s="7"/>
      <c r="AX3802" s="7"/>
    </row>
    <row r="3803" spans="14:50" x14ac:dyDescent="0.25">
      <c r="N3803" s="3"/>
      <c r="AW3803" s="7"/>
      <c r="AX3803" s="7"/>
    </row>
    <row r="3804" spans="14:50" x14ac:dyDescent="0.25">
      <c r="N3804" s="3"/>
      <c r="AW3804" s="7"/>
      <c r="AX3804" s="7"/>
    </row>
    <row r="3805" spans="14:50" x14ac:dyDescent="0.25">
      <c r="N3805" s="3"/>
      <c r="AW3805" s="7"/>
      <c r="AX3805" s="7"/>
    </row>
    <row r="3806" spans="14:50" x14ac:dyDescent="0.25">
      <c r="N3806" s="3"/>
      <c r="AW3806" s="7"/>
      <c r="AX3806" s="7"/>
    </row>
    <row r="3807" spans="14:50" x14ac:dyDescent="0.25">
      <c r="N3807" s="3"/>
      <c r="AW3807" s="7"/>
      <c r="AX3807" s="7"/>
    </row>
    <row r="3808" spans="14:50" x14ac:dyDescent="0.25">
      <c r="N3808" s="3"/>
      <c r="AW3808" s="7"/>
      <c r="AX3808" s="7"/>
    </row>
    <row r="3809" spans="14:50" x14ac:dyDescent="0.25">
      <c r="N3809" s="3"/>
      <c r="AW3809" s="7"/>
      <c r="AX3809" s="7"/>
    </row>
    <row r="3810" spans="14:50" x14ac:dyDescent="0.25">
      <c r="N3810" s="3"/>
      <c r="AW3810" s="7"/>
      <c r="AX3810" s="7"/>
    </row>
    <row r="3811" spans="14:50" x14ac:dyDescent="0.25">
      <c r="N3811" s="3"/>
      <c r="AW3811" s="7"/>
      <c r="AX3811" s="7"/>
    </row>
    <row r="3812" spans="14:50" x14ac:dyDescent="0.25">
      <c r="N3812" s="3"/>
      <c r="AW3812" s="7"/>
      <c r="AX3812" s="7"/>
    </row>
    <row r="3813" spans="14:50" x14ac:dyDescent="0.25">
      <c r="N3813" s="3"/>
      <c r="AW3813" s="7"/>
      <c r="AX3813" s="7"/>
    </row>
    <row r="3814" spans="14:50" x14ac:dyDescent="0.25">
      <c r="N3814" s="3"/>
      <c r="AW3814" s="7"/>
      <c r="AX3814" s="7"/>
    </row>
    <row r="3815" spans="14:50" x14ac:dyDescent="0.25">
      <c r="N3815" s="3"/>
      <c r="AW3815" s="7"/>
      <c r="AX3815" s="7"/>
    </row>
    <row r="3816" spans="14:50" x14ac:dyDescent="0.25">
      <c r="N3816" s="3"/>
      <c r="AW3816" s="7"/>
      <c r="AX3816" s="7"/>
    </row>
    <row r="3817" spans="14:50" x14ac:dyDescent="0.25">
      <c r="N3817" s="3"/>
      <c r="AW3817" s="7"/>
      <c r="AX3817" s="7"/>
    </row>
    <row r="3818" spans="14:50" x14ac:dyDescent="0.25">
      <c r="N3818" s="3"/>
      <c r="AW3818" s="7"/>
      <c r="AX3818" s="7"/>
    </row>
    <row r="3819" spans="14:50" x14ac:dyDescent="0.25">
      <c r="N3819" s="3"/>
      <c r="AW3819" s="7"/>
      <c r="AX3819" s="7"/>
    </row>
    <row r="3820" spans="14:50" x14ac:dyDescent="0.25">
      <c r="N3820" s="3"/>
      <c r="AW3820" s="7"/>
      <c r="AX3820" s="7"/>
    </row>
    <row r="3821" spans="14:50" x14ac:dyDescent="0.25">
      <c r="N3821" s="3"/>
      <c r="AW3821" s="7"/>
      <c r="AX3821" s="7"/>
    </row>
    <row r="3822" spans="14:50" x14ac:dyDescent="0.25">
      <c r="N3822" s="3"/>
      <c r="AW3822" s="7"/>
      <c r="AX3822" s="7"/>
    </row>
    <row r="3823" spans="14:50" x14ac:dyDescent="0.25">
      <c r="N3823" s="3"/>
      <c r="AW3823" s="7"/>
      <c r="AX3823" s="7"/>
    </row>
    <row r="3824" spans="14:50" x14ac:dyDescent="0.25">
      <c r="N3824" s="3"/>
      <c r="AW3824" s="7"/>
      <c r="AX3824" s="7"/>
    </row>
    <row r="3825" spans="14:50" x14ac:dyDescent="0.25">
      <c r="N3825" s="3"/>
      <c r="AW3825" s="7"/>
      <c r="AX3825" s="7"/>
    </row>
    <row r="3826" spans="14:50" x14ac:dyDescent="0.25">
      <c r="N3826" s="3"/>
      <c r="AW3826" s="7"/>
      <c r="AX3826" s="7"/>
    </row>
    <row r="3827" spans="14:50" x14ac:dyDescent="0.25">
      <c r="N3827" s="3"/>
      <c r="AW3827" s="7"/>
      <c r="AX3827" s="7"/>
    </row>
    <row r="3828" spans="14:50" x14ac:dyDescent="0.25">
      <c r="N3828" s="3"/>
      <c r="AW3828" s="7"/>
      <c r="AX3828" s="7"/>
    </row>
    <row r="3829" spans="14:50" x14ac:dyDescent="0.25">
      <c r="N3829" s="3"/>
      <c r="AW3829" s="7"/>
      <c r="AX3829" s="7"/>
    </row>
    <row r="3830" spans="14:50" x14ac:dyDescent="0.25">
      <c r="N3830" s="3"/>
      <c r="AW3830" s="7"/>
      <c r="AX3830" s="7"/>
    </row>
    <row r="3831" spans="14:50" x14ac:dyDescent="0.25">
      <c r="N3831" s="3"/>
      <c r="AW3831" s="7"/>
      <c r="AX3831" s="7"/>
    </row>
    <row r="3832" spans="14:50" x14ac:dyDescent="0.25">
      <c r="N3832" s="3"/>
      <c r="AW3832" s="7"/>
      <c r="AX3832" s="7"/>
    </row>
    <row r="3833" spans="14:50" x14ac:dyDescent="0.25">
      <c r="N3833" s="3"/>
      <c r="AW3833" s="7"/>
      <c r="AX3833" s="7"/>
    </row>
    <row r="3834" spans="14:50" x14ac:dyDescent="0.25">
      <c r="N3834" s="3"/>
      <c r="AW3834" s="7"/>
      <c r="AX3834" s="7"/>
    </row>
    <row r="3835" spans="14:50" x14ac:dyDescent="0.25">
      <c r="N3835" s="3"/>
      <c r="AW3835" s="7"/>
      <c r="AX3835" s="7"/>
    </row>
    <row r="3836" spans="14:50" x14ac:dyDescent="0.25">
      <c r="N3836" s="3"/>
      <c r="AW3836" s="7"/>
      <c r="AX3836" s="7"/>
    </row>
    <row r="3837" spans="14:50" x14ac:dyDescent="0.25">
      <c r="N3837" s="3"/>
      <c r="AW3837" s="7"/>
      <c r="AX3837" s="7"/>
    </row>
    <row r="3838" spans="14:50" x14ac:dyDescent="0.25">
      <c r="N3838" s="3"/>
      <c r="AW3838" s="7"/>
      <c r="AX3838" s="7"/>
    </row>
    <row r="3839" spans="14:50" x14ac:dyDescent="0.25">
      <c r="N3839" s="3"/>
      <c r="AW3839" s="7"/>
      <c r="AX3839" s="7"/>
    </row>
    <row r="3840" spans="14:50" x14ac:dyDescent="0.25">
      <c r="N3840" s="3"/>
      <c r="AW3840" s="7"/>
      <c r="AX3840" s="7"/>
    </row>
    <row r="3841" spans="14:50" x14ac:dyDescent="0.25">
      <c r="N3841" s="3"/>
      <c r="AW3841" s="7"/>
      <c r="AX3841" s="7"/>
    </row>
    <row r="3842" spans="14:50" x14ac:dyDescent="0.25">
      <c r="N3842" s="3"/>
      <c r="AW3842" s="7"/>
      <c r="AX3842" s="7"/>
    </row>
    <row r="3843" spans="14:50" x14ac:dyDescent="0.25">
      <c r="N3843" s="3"/>
      <c r="AW3843" s="7"/>
      <c r="AX3843" s="7"/>
    </row>
    <row r="3844" spans="14:50" x14ac:dyDescent="0.25">
      <c r="N3844" s="3"/>
      <c r="AW3844" s="7"/>
      <c r="AX3844" s="7"/>
    </row>
    <row r="3845" spans="14:50" x14ac:dyDescent="0.25">
      <c r="N3845" s="3"/>
      <c r="AW3845" s="7"/>
      <c r="AX3845" s="7"/>
    </row>
    <row r="3846" spans="14:50" x14ac:dyDescent="0.25">
      <c r="N3846" s="3"/>
      <c r="AW3846" s="7"/>
      <c r="AX3846" s="7"/>
    </row>
    <row r="3847" spans="14:50" x14ac:dyDescent="0.25">
      <c r="N3847" s="3"/>
      <c r="AW3847" s="7"/>
      <c r="AX3847" s="7"/>
    </row>
    <row r="3848" spans="14:50" x14ac:dyDescent="0.25">
      <c r="N3848" s="3"/>
      <c r="AW3848" s="7"/>
      <c r="AX3848" s="7"/>
    </row>
    <row r="3849" spans="14:50" x14ac:dyDescent="0.25">
      <c r="N3849" s="3"/>
      <c r="AW3849" s="7"/>
      <c r="AX3849" s="7"/>
    </row>
    <row r="3850" spans="14:50" x14ac:dyDescent="0.25">
      <c r="N3850" s="3"/>
      <c r="AW3850" s="7"/>
      <c r="AX3850" s="7"/>
    </row>
    <row r="3851" spans="14:50" x14ac:dyDescent="0.25">
      <c r="N3851" s="3"/>
      <c r="AW3851" s="7"/>
      <c r="AX3851" s="7"/>
    </row>
    <row r="3852" spans="14:50" x14ac:dyDescent="0.25">
      <c r="N3852" s="3"/>
      <c r="AW3852" s="7"/>
      <c r="AX3852" s="7"/>
    </row>
    <row r="3853" spans="14:50" x14ac:dyDescent="0.25">
      <c r="N3853" s="3"/>
      <c r="AW3853" s="7"/>
      <c r="AX3853" s="7"/>
    </row>
    <row r="3854" spans="14:50" x14ac:dyDescent="0.25">
      <c r="N3854" s="3"/>
      <c r="AW3854" s="7"/>
      <c r="AX3854" s="7"/>
    </row>
    <row r="3855" spans="14:50" x14ac:dyDescent="0.25">
      <c r="N3855" s="3"/>
      <c r="AW3855" s="7"/>
      <c r="AX3855" s="7"/>
    </row>
    <row r="3856" spans="14:50" x14ac:dyDescent="0.25">
      <c r="N3856" s="3"/>
      <c r="AW3856" s="7"/>
      <c r="AX3856" s="7"/>
    </row>
    <row r="3857" spans="14:50" x14ac:dyDescent="0.25">
      <c r="N3857" s="3"/>
      <c r="AW3857" s="7"/>
      <c r="AX3857" s="7"/>
    </row>
    <row r="3858" spans="14:50" x14ac:dyDescent="0.25">
      <c r="N3858" s="3"/>
      <c r="AW3858" s="7"/>
      <c r="AX3858" s="7"/>
    </row>
    <row r="3859" spans="14:50" x14ac:dyDescent="0.25">
      <c r="N3859" s="3"/>
      <c r="AW3859" s="7"/>
      <c r="AX3859" s="7"/>
    </row>
    <row r="3860" spans="14:50" x14ac:dyDescent="0.25">
      <c r="N3860" s="3"/>
      <c r="AW3860" s="7"/>
      <c r="AX3860" s="7"/>
    </row>
    <row r="3861" spans="14:50" x14ac:dyDescent="0.25">
      <c r="N3861" s="3"/>
      <c r="AW3861" s="7"/>
      <c r="AX3861" s="7"/>
    </row>
    <row r="3862" spans="14:50" x14ac:dyDescent="0.25">
      <c r="N3862" s="3"/>
      <c r="AW3862" s="7"/>
      <c r="AX3862" s="7"/>
    </row>
    <row r="3863" spans="14:50" x14ac:dyDescent="0.25">
      <c r="N3863" s="3"/>
      <c r="AW3863" s="7"/>
      <c r="AX3863" s="7"/>
    </row>
    <row r="3864" spans="14:50" x14ac:dyDescent="0.25">
      <c r="N3864" s="3"/>
      <c r="AW3864" s="7"/>
      <c r="AX3864" s="7"/>
    </row>
    <row r="3865" spans="14:50" x14ac:dyDescent="0.25">
      <c r="N3865" s="3"/>
      <c r="AW3865" s="7"/>
      <c r="AX3865" s="7"/>
    </row>
    <row r="3866" spans="14:50" x14ac:dyDescent="0.25">
      <c r="N3866" s="3"/>
      <c r="AW3866" s="7"/>
      <c r="AX3866" s="7"/>
    </row>
    <row r="3867" spans="14:50" x14ac:dyDescent="0.25">
      <c r="N3867" s="3"/>
      <c r="AW3867" s="7"/>
      <c r="AX3867" s="7"/>
    </row>
    <row r="3868" spans="14:50" x14ac:dyDescent="0.25">
      <c r="N3868" s="3"/>
      <c r="AW3868" s="7"/>
      <c r="AX3868" s="7"/>
    </row>
    <row r="3869" spans="14:50" x14ac:dyDescent="0.25">
      <c r="N3869" s="3"/>
      <c r="AW3869" s="7"/>
      <c r="AX3869" s="7"/>
    </row>
    <row r="3870" spans="14:50" x14ac:dyDescent="0.25">
      <c r="N3870" s="3"/>
      <c r="AW3870" s="7"/>
      <c r="AX3870" s="7"/>
    </row>
    <row r="3871" spans="14:50" x14ac:dyDescent="0.25">
      <c r="N3871" s="3"/>
      <c r="AW3871" s="7"/>
      <c r="AX3871" s="7"/>
    </row>
    <row r="3872" spans="14:50" x14ac:dyDescent="0.25">
      <c r="N3872" s="3"/>
      <c r="AW3872" s="7"/>
      <c r="AX3872" s="7"/>
    </row>
    <row r="3873" spans="14:50" x14ac:dyDescent="0.25">
      <c r="N3873" s="3"/>
      <c r="AW3873" s="7"/>
      <c r="AX3873" s="7"/>
    </row>
    <row r="3874" spans="14:50" x14ac:dyDescent="0.25">
      <c r="N3874" s="3"/>
      <c r="AW3874" s="7"/>
      <c r="AX3874" s="7"/>
    </row>
    <row r="3875" spans="14:50" x14ac:dyDescent="0.25">
      <c r="N3875" s="3"/>
      <c r="AW3875" s="7"/>
      <c r="AX3875" s="7"/>
    </row>
    <row r="3876" spans="14:50" x14ac:dyDescent="0.25">
      <c r="N3876" s="3"/>
      <c r="AW3876" s="7"/>
      <c r="AX3876" s="7"/>
    </row>
    <row r="3877" spans="14:50" x14ac:dyDescent="0.25">
      <c r="N3877" s="3"/>
      <c r="AW3877" s="7"/>
      <c r="AX3877" s="7"/>
    </row>
    <row r="3878" spans="14:50" x14ac:dyDescent="0.25">
      <c r="N3878" s="3"/>
      <c r="AW3878" s="7"/>
      <c r="AX3878" s="7"/>
    </row>
    <row r="3879" spans="14:50" x14ac:dyDescent="0.25">
      <c r="N3879" s="3"/>
      <c r="AW3879" s="7"/>
      <c r="AX3879" s="7"/>
    </row>
    <row r="3880" spans="14:50" x14ac:dyDescent="0.25">
      <c r="N3880" s="3"/>
      <c r="AW3880" s="7"/>
      <c r="AX3880" s="7"/>
    </row>
    <row r="3881" spans="14:50" x14ac:dyDescent="0.25">
      <c r="N3881" s="3"/>
      <c r="AW3881" s="7"/>
      <c r="AX3881" s="7"/>
    </row>
    <row r="3882" spans="14:50" x14ac:dyDescent="0.25">
      <c r="N3882" s="3"/>
      <c r="AW3882" s="7"/>
      <c r="AX3882" s="7"/>
    </row>
    <row r="3883" spans="14:50" x14ac:dyDescent="0.25">
      <c r="N3883" s="3"/>
      <c r="AW3883" s="7"/>
      <c r="AX3883" s="7"/>
    </row>
    <row r="3884" spans="14:50" x14ac:dyDescent="0.25">
      <c r="N3884" s="3"/>
      <c r="AW3884" s="7"/>
      <c r="AX3884" s="7"/>
    </row>
    <row r="3885" spans="14:50" x14ac:dyDescent="0.25">
      <c r="N3885" s="3"/>
      <c r="AW3885" s="7"/>
      <c r="AX3885" s="7"/>
    </row>
    <row r="3886" spans="14:50" x14ac:dyDescent="0.25">
      <c r="N3886" s="3"/>
      <c r="AW3886" s="7"/>
      <c r="AX3886" s="7"/>
    </row>
    <row r="3887" spans="14:50" x14ac:dyDescent="0.25">
      <c r="N3887" s="3"/>
      <c r="AW3887" s="7"/>
      <c r="AX3887" s="7"/>
    </row>
    <row r="3888" spans="14:50" x14ac:dyDescent="0.25">
      <c r="N3888" s="3"/>
      <c r="AW3888" s="7"/>
      <c r="AX3888" s="7"/>
    </row>
    <row r="3889" spans="14:50" x14ac:dyDescent="0.25">
      <c r="N3889" s="3"/>
      <c r="AW3889" s="7"/>
      <c r="AX3889" s="7"/>
    </row>
    <row r="3890" spans="14:50" x14ac:dyDescent="0.25">
      <c r="N3890" s="3"/>
      <c r="AW3890" s="7"/>
      <c r="AX3890" s="7"/>
    </row>
    <row r="3891" spans="14:50" x14ac:dyDescent="0.25">
      <c r="N3891" s="3"/>
      <c r="AW3891" s="7"/>
      <c r="AX3891" s="7"/>
    </row>
    <row r="3892" spans="14:50" x14ac:dyDescent="0.25">
      <c r="N3892" s="3"/>
      <c r="AW3892" s="7"/>
      <c r="AX3892" s="7"/>
    </row>
    <row r="3893" spans="14:50" x14ac:dyDescent="0.25">
      <c r="N3893" s="3"/>
      <c r="AW3893" s="7"/>
      <c r="AX3893" s="7"/>
    </row>
    <row r="3894" spans="14:50" x14ac:dyDescent="0.25">
      <c r="N3894" s="3"/>
      <c r="AW3894" s="7"/>
      <c r="AX3894" s="7"/>
    </row>
    <row r="3895" spans="14:50" x14ac:dyDescent="0.25">
      <c r="N3895" s="3"/>
      <c r="AW3895" s="7"/>
      <c r="AX3895" s="7"/>
    </row>
    <row r="3896" spans="14:50" x14ac:dyDescent="0.25">
      <c r="N3896" s="3"/>
      <c r="AW3896" s="7"/>
      <c r="AX3896" s="7"/>
    </row>
    <row r="3897" spans="14:50" x14ac:dyDescent="0.25">
      <c r="N3897" s="3"/>
      <c r="AW3897" s="7"/>
      <c r="AX3897" s="7"/>
    </row>
    <row r="3898" spans="14:50" x14ac:dyDescent="0.25">
      <c r="N3898" s="3"/>
      <c r="AW3898" s="7"/>
      <c r="AX3898" s="7"/>
    </row>
    <row r="3899" spans="14:50" x14ac:dyDescent="0.25">
      <c r="N3899" s="3"/>
      <c r="AW3899" s="7"/>
      <c r="AX3899" s="7"/>
    </row>
    <row r="3900" spans="14:50" x14ac:dyDescent="0.25">
      <c r="N3900" s="3"/>
      <c r="AW3900" s="7"/>
      <c r="AX3900" s="7"/>
    </row>
    <row r="3901" spans="14:50" x14ac:dyDescent="0.25">
      <c r="N3901" s="3"/>
      <c r="AW3901" s="7"/>
      <c r="AX3901" s="7"/>
    </row>
    <row r="3902" spans="14:50" x14ac:dyDescent="0.25">
      <c r="N3902" s="3"/>
      <c r="AW3902" s="7"/>
      <c r="AX3902" s="7"/>
    </row>
    <row r="3903" spans="14:50" x14ac:dyDescent="0.25">
      <c r="N3903" s="3"/>
      <c r="AW3903" s="7"/>
      <c r="AX3903" s="7"/>
    </row>
    <row r="3904" spans="14:50" x14ac:dyDescent="0.25">
      <c r="N3904" s="3"/>
      <c r="AW3904" s="7"/>
      <c r="AX3904" s="7"/>
    </row>
    <row r="3905" spans="14:50" x14ac:dyDescent="0.25">
      <c r="N3905" s="3"/>
      <c r="AW3905" s="7"/>
      <c r="AX3905" s="7"/>
    </row>
    <row r="3906" spans="14:50" x14ac:dyDescent="0.25">
      <c r="N3906" s="3"/>
      <c r="AW3906" s="7"/>
      <c r="AX3906" s="7"/>
    </row>
    <row r="3907" spans="14:50" x14ac:dyDescent="0.25">
      <c r="N3907" s="3"/>
      <c r="AW3907" s="7"/>
      <c r="AX3907" s="7"/>
    </row>
    <row r="3908" spans="14:50" x14ac:dyDescent="0.25">
      <c r="N3908" s="3"/>
      <c r="AW3908" s="7"/>
      <c r="AX3908" s="7"/>
    </row>
    <row r="3909" spans="14:50" x14ac:dyDescent="0.25">
      <c r="N3909" s="3"/>
      <c r="AW3909" s="7"/>
      <c r="AX3909" s="7"/>
    </row>
    <row r="3910" spans="14:50" x14ac:dyDescent="0.25">
      <c r="N3910" s="3"/>
      <c r="AW3910" s="7"/>
      <c r="AX3910" s="7"/>
    </row>
    <row r="3911" spans="14:50" x14ac:dyDescent="0.25">
      <c r="N3911" s="3"/>
      <c r="AW3911" s="7"/>
      <c r="AX3911" s="7"/>
    </row>
    <row r="3912" spans="14:50" x14ac:dyDescent="0.25">
      <c r="N3912" s="3"/>
      <c r="AW3912" s="7"/>
      <c r="AX3912" s="7"/>
    </row>
    <row r="3913" spans="14:50" x14ac:dyDescent="0.25">
      <c r="N3913" s="3"/>
      <c r="AW3913" s="7"/>
      <c r="AX3913" s="7"/>
    </row>
    <row r="3914" spans="14:50" x14ac:dyDescent="0.25">
      <c r="N3914" s="3"/>
      <c r="AW3914" s="7"/>
      <c r="AX3914" s="7"/>
    </row>
    <row r="3915" spans="14:50" x14ac:dyDescent="0.25">
      <c r="N3915" s="3"/>
      <c r="AW3915" s="7"/>
      <c r="AX3915" s="7"/>
    </row>
    <row r="3916" spans="14:50" x14ac:dyDescent="0.25">
      <c r="N3916" s="3"/>
      <c r="AW3916" s="7"/>
      <c r="AX3916" s="7"/>
    </row>
    <row r="3917" spans="14:50" x14ac:dyDescent="0.25">
      <c r="N3917" s="3"/>
      <c r="AW3917" s="7"/>
      <c r="AX3917" s="7"/>
    </row>
    <row r="3918" spans="14:50" x14ac:dyDescent="0.25">
      <c r="N3918" s="3"/>
      <c r="AW3918" s="7"/>
      <c r="AX3918" s="7"/>
    </row>
    <row r="3919" spans="14:50" x14ac:dyDescent="0.25">
      <c r="N3919" s="3"/>
      <c r="AW3919" s="7"/>
      <c r="AX3919" s="7"/>
    </row>
    <row r="3920" spans="14:50" x14ac:dyDescent="0.25">
      <c r="N3920" s="3"/>
      <c r="AW3920" s="7"/>
      <c r="AX3920" s="7"/>
    </row>
    <row r="3921" spans="14:50" x14ac:dyDescent="0.25">
      <c r="N3921" s="3"/>
      <c r="AW3921" s="7"/>
      <c r="AX3921" s="7"/>
    </row>
    <row r="3922" spans="14:50" x14ac:dyDescent="0.25">
      <c r="N3922" s="3"/>
      <c r="AW3922" s="7"/>
      <c r="AX3922" s="7"/>
    </row>
    <row r="3923" spans="14:50" x14ac:dyDescent="0.25">
      <c r="N3923" s="3"/>
      <c r="AW3923" s="7"/>
      <c r="AX3923" s="7"/>
    </row>
    <row r="3924" spans="14:50" x14ac:dyDescent="0.25">
      <c r="N3924" s="3"/>
      <c r="AW3924" s="7"/>
      <c r="AX3924" s="7"/>
    </row>
    <row r="3925" spans="14:50" x14ac:dyDescent="0.25">
      <c r="N3925" s="3"/>
      <c r="AW3925" s="7"/>
      <c r="AX3925" s="7"/>
    </row>
    <row r="3926" spans="14:50" x14ac:dyDescent="0.25">
      <c r="N3926" s="3"/>
      <c r="AW3926" s="7"/>
      <c r="AX3926" s="7"/>
    </row>
    <row r="3927" spans="14:50" x14ac:dyDescent="0.25">
      <c r="N3927" s="3"/>
      <c r="AW3927" s="7"/>
      <c r="AX3927" s="7"/>
    </row>
    <row r="3928" spans="14:50" x14ac:dyDescent="0.25">
      <c r="N3928" s="3"/>
      <c r="AW3928" s="7"/>
      <c r="AX3928" s="7"/>
    </row>
    <row r="3929" spans="14:50" x14ac:dyDescent="0.25">
      <c r="N3929" s="3"/>
      <c r="AW3929" s="7"/>
      <c r="AX3929" s="7"/>
    </row>
    <row r="3930" spans="14:50" x14ac:dyDescent="0.25">
      <c r="N3930" s="3"/>
      <c r="AW3930" s="7"/>
      <c r="AX3930" s="7"/>
    </row>
    <row r="3931" spans="14:50" x14ac:dyDescent="0.25">
      <c r="N3931" s="3"/>
      <c r="AW3931" s="7"/>
      <c r="AX3931" s="7"/>
    </row>
    <row r="3932" spans="14:50" x14ac:dyDescent="0.25">
      <c r="N3932" s="3"/>
      <c r="AW3932" s="7"/>
      <c r="AX3932" s="7"/>
    </row>
    <row r="3933" spans="14:50" x14ac:dyDescent="0.25">
      <c r="N3933" s="3"/>
      <c r="AW3933" s="7"/>
      <c r="AX3933" s="7"/>
    </row>
    <row r="3934" spans="14:50" x14ac:dyDescent="0.25">
      <c r="N3934" s="3"/>
      <c r="AW3934" s="7"/>
      <c r="AX3934" s="7"/>
    </row>
    <row r="3935" spans="14:50" x14ac:dyDescent="0.25">
      <c r="N3935" s="3"/>
      <c r="AW3935" s="7"/>
      <c r="AX3935" s="7"/>
    </row>
    <row r="3936" spans="14:50" x14ac:dyDescent="0.25">
      <c r="N3936" s="3"/>
      <c r="AW3936" s="7"/>
      <c r="AX3936" s="7"/>
    </row>
    <row r="3937" spans="14:50" x14ac:dyDescent="0.25">
      <c r="N3937" s="3"/>
      <c r="AW3937" s="7"/>
      <c r="AX3937" s="7"/>
    </row>
    <row r="3938" spans="14:50" x14ac:dyDescent="0.25">
      <c r="N3938" s="3"/>
      <c r="AW3938" s="7"/>
      <c r="AX3938" s="7"/>
    </row>
    <row r="3939" spans="14:50" x14ac:dyDescent="0.25">
      <c r="N3939" s="3"/>
      <c r="AW3939" s="7"/>
      <c r="AX3939" s="7"/>
    </row>
    <row r="3940" spans="14:50" x14ac:dyDescent="0.25">
      <c r="N3940" s="3"/>
      <c r="AW3940" s="7"/>
      <c r="AX3940" s="7"/>
    </row>
    <row r="3941" spans="14:50" x14ac:dyDescent="0.25">
      <c r="N3941" s="3"/>
      <c r="AW3941" s="7"/>
      <c r="AX3941" s="7"/>
    </row>
    <row r="3942" spans="14:50" x14ac:dyDescent="0.25">
      <c r="N3942" s="3"/>
      <c r="AW3942" s="7"/>
      <c r="AX3942" s="7"/>
    </row>
    <row r="3943" spans="14:50" x14ac:dyDescent="0.25">
      <c r="N3943" s="3"/>
      <c r="AW3943" s="7"/>
      <c r="AX3943" s="7"/>
    </row>
    <row r="3944" spans="14:50" x14ac:dyDescent="0.25">
      <c r="N3944" s="3"/>
      <c r="AW3944" s="7"/>
      <c r="AX3944" s="7"/>
    </row>
    <row r="3945" spans="14:50" x14ac:dyDescent="0.25">
      <c r="N3945" s="3"/>
      <c r="AW3945" s="7"/>
      <c r="AX3945" s="7"/>
    </row>
    <row r="3946" spans="14:50" x14ac:dyDescent="0.25">
      <c r="N3946" s="3"/>
      <c r="AW3946" s="7"/>
      <c r="AX3946" s="7"/>
    </row>
    <row r="3947" spans="14:50" x14ac:dyDescent="0.25">
      <c r="N3947" s="3"/>
      <c r="AW3947" s="7"/>
      <c r="AX3947" s="7"/>
    </row>
    <row r="3948" spans="14:50" x14ac:dyDescent="0.25">
      <c r="N3948" s="3"/>
      <c r="AW3948" s="7"/>
      <c r="AX3948" s="7"/>
    </row>
    <row r="3949" spans="14:50" x14ac:dyDescent="0.25">
      <c r="N3949" s="3"/>
      <c r="AW3949" s="7"/>
      <c r="AX3949" s="7"/>
    </row>
    <row r="3950" spans="14:50" x14ac:dyDescent="0.25">
      <c r="N3950" s="3"/>
      <c r="AW3950" s="7"/>
      <c r="AX3950" s="7"/>
    </row>
    <row r="3951" spans="14:50" x14ac:dyDescent="0.25">
      <c r="N3951" s="3"/>
      <c r="AW3951" s="7"/>
      <c r="AX3951" s="7"/>
    </row>
    <row r="3952" spans="14:50" x14ac:dyDescent="0.25">
      <c r="N3952" s="3"/>
      <c r="AW3952" s="7"/>
      <c r="AX3952" s="7"/>
    </row>
    <row r="3953" spans="14:50" x14ac:dyDescent="0.25">
      <c r="N3953" s="3"/>
      <c r="AW3953" s="7"/>
      <c r="AX3953" s="7"/>
    </row>
    <row r="3954" spans="14:50" x14ac:dyDescent="0.25">
      <c r="N3954" s="3"/>
      <c r="AW3954" s="7"/>
      <c r="AX3954" s="7"/>
    </row>
    <row r="3955" spans="14:50" x14ac:dyDescent="0.25">
      <c r="N3955" s="3"/>
      <c r="AW3955" s="7"/>
      <c r="AX3955" s="7"/>
    </row>
    <row r="3956" spans="14:50" x14ac:dyDescent="0.25">
      <c r="N3956" s="3"/>
      <c r="AW3956" s="7"/>
      <c r="AX3956" s="7"/>
    </row>
    <row r="3957" spans="14:50" x14ac:dyDescent="0.25">
      <c r="N3957" s="3"/>
      <c r="AW3957" s="7"/>
      <c r="AX3957" s="7"/>
    </row>
    <row r="3958" spans="14:50" x14ac:dyDescent="0.25">
      <c r="N3958" s="3"/>
      <c r="AW3958" s="7"/>
      <c r="AX3958" s="7"/>
    </row>
    <row r="3959" spans="14:50" x14ac:dyDescent="0.25">
      <c r="N3959" s="3"/>
      <c r="AW3959" s="7"/>
      <c r="AX3959" s="7"/>
    </row>
    <row r="3960" spans="14:50" x14ac:dyDescent="0.25">
      <c r="N3960" s="3"/>
      <c r="AW3960" s="7"/>
      <c r="AX3960" s="7"/>
    </row>
    <row r="3961" spans="14:50" x14ac:dyDescent="0.25">
      <c r="N3961" s="3"/>
      <c r="AW3961" s="7"/>
      <c r="AX3961" s="7"/>
    </row>
    <row r="3962" spans="14:50" x14ac:dyDescent="0.25">
      <c r="N3962" s="3"/>
      <c r="AW3962" s="7"/>
      <c r="AX3962" s="7"/>
    </row>
    <row r="3963" spans="14:50" x14ac:dyDescent="0.25">
      <c r="N3963" s="3"/>
      <c r="AW3963" s="7"/>
      <c r="AX3963" s="7"/>
    </row>
    <row r="3964" spans="14:50" x14ac:dyDescent="0.25">
      <c r="N3964" s="3"/>
      <c r="AW3964" s="7"/>
      <c r="AX3964" s="7"/>
    </row>
    <row r="3965" spans="14:50" x14ac:dyDescent="0.25">
      <c r="N3965" s="3"/>
      <c r="AW3965" s="7"/>
      <c r="AX3965" s="7"/>
    </row>
    <row r="3966" spans="14:50" x14ac:dyDescent="0.25">
      <c r="N3966" s="3"/>
      <c r="AW3966" s="7"/>
      <c r="AX3966" s="7"/>
    </row>
    <row r="3967" spans="14:50" x14ac:dyDescent="0.25">
      <c r="N3967" s="3"/>
      <c r="AW3967" s="7"/>
      <c r="AX3967" s="7"/>
    </row>
    <row r="3968" spans="14:50" x14ac:dyDescent="0.25">
      <c r="N3968" s="3"/>
      <c r="AW3968" s="7"/>
      <c r="AX3968" s="7"/>
    </row>
    <row r="3969" spans="14:50" x14ac:dyDescent="0.25">
      <c r="N3969" s="3"/>
      <c r="AW3969" s="7"/>
      <c r="AX3969" s="7"/>
    </row>
    <row r="3970" spans="14:50" x14ac:dyDescent="0.25">
      <c r="N3970" s="3"/>
      <c r="AW3970" s="7"/>
      <c r="AX3970" s="7"/>
    </row>
    <row r="3971" spans="14:50" x14ac:dyDescent="0.25">
      <c r="N3971" s="3"/>
      <c r="AW3971" s="7"/>
      <c r="AX3971" s="7"/>
    </row>
    <row r="3972" spans="14:50" x14ac:dyDescent="0.25">
      <c r="N3972" s="3"/>
      <c r="AW3972" s="7"/>
      <c r="AX3972" s="7"/>
    </row>
    <row r="3973" spans="14:50" x14ac:dyDescent="0.25">
      <c r="N3973" s="3"/>
      <c r="AW3973" s="7"/>
      <c r="AX3973" s="7"/>
    </row>
    <row r="3974" spans="14:50" x14ac:dyDescent="0.25">
      <c r="N3974" s="3"/>
      <c r="AW3974" s="7"/>
      <c r="AX3974" s="7"/>
    </row>
    <row r="3975" spans="14:50" x14ac:dyDescent="0.25">
      <c r="N3975" s="3"/>
      <c r="AW3975" s="7"/>
      <c r="AX3975" s="7"/>
    </row>
    <row r="3976" spans="14:50" x14ac:dyDescent="0.25">
      <c r="N3976" s="3"/>
      <c r="AW3976" s="7"/>
      <c r="AX3976" s="7"/>
    </row>
    <row r="3977" spans="14:50" x14ac:dyDescent="0.25">
      <c r="N3977" s="3"/>
      <c r="AW3977" s="7"/>
      <c r="AX3977" s="7"/>
    </row>
    <row r="3978" spans="14:50" x14ac:dyDescent="0.25">
      <c r="N3978" s="3"/>
      <c r="AW3978" s="7"/>
      <c r="AX3978" s="7"/>
    </row>
    <row r="3979" spans="14:50" x14ac:dyDescent="0.25">
      <c r="N3979" s="3"/>
      <c r="AW3979" s="7"/>
      <c r="AX3979" s="7"/>
    </row>
    <row r="3980" spans="14:50" x14ac:dyDescent="0.25">
      <c r="N3980" s="3"/>
      <c r="AW3980" s="7"/>
      <c r="AX3980" s="7"/>
    </row>
    <row r="3981" spans="14:50" x14ac:dyDescent="0.25">
      <c r="N3981" s="3"/>
      <c r="AW3981" s="7"/>
      <c r="AX3981" s="7"/>
    </row>
    <row r="3982" spans="14:50" x14ac:dyDescent="0.25">
      <c r="N3982" s="3"/>
      <c r="AW3982" s="7"/>
      <c r="AX3982" s="7"/>
    </row>
    <row r="3983" spans="14:50" x14ac:dyDescent="0.25">
      <c r="N3983" s="3"/>
      <c r="AW3983" s="7"/>
      <c r="AX3983" s="7"/>
    </row>
    <row r="3984" spans="14:50" x14ac:dyDescent="0.25">
      <c r="N3984" s="3"/>
      <c r="AW3984" s="7"/>
      <c r="AX3984" s="7"/>
    </row>
    <row r="3985" spans="14:50" x14ac:dyDescent="0.25">
      <c r="N3985" s="3"/>
      <c r="AW3985" s="7"/>
      <c r="AX3985" s="7"/>
    </row>
    <row r="3986" spans="14:50" x14ac:dyDescent="0.25">
      <c r="N3986" s="3"/>
      <c r="AW3986" s="7"/>
      <c r="AX3986" s="7"/>
    </row>
    <row r="3987" spans="14:50" x14ac:dyDescent="0.25">
      <c r="N3987" s="3"/>
      <c r="AW3987" s="7"/>
      <c r="AX3987" s="7"/>
    </row>
    <row r="3988" spans="14:50" x14ac:dyDescent="0.25">
      <c r="N3988" s="3"/>
      <c r="AW3988" s="7"/>
      <c r="AX3988" s="7"/>
    </row>
    <row r="3989" spans="14:50" x14ac:dyDescent="0.25">
      <c r="N3989" s="3"/>
      <c r="AW3989" s="7"/>
      <c r="AX3989" s="7"/>
    </row>
    <row r="3990" spans="14:50" x14ac:dyDescent="0.25">
      <c r="N3990" s="3"/>
      <c r="AW3990" s="7"/>
      <c r="AX3990" s="7"/>
    </row>
    <row r="3991" spans="14:50" x14ac:dyDescent="0.25">
      <c r="N3991" s="3"/>
      <c r="AW3991" s="7"/>
      <c r="AX3991" s="7"/>
    </row>
    <row r="3992" spans="14:50" x14ac:dyDescent="0.25">
      <c r="N3992" s="3"/>
      <c r="AW3992" s="7"/>
      <c r="AX3992" s="7"/>
    </row>
    <row r="3993" spans="14:50" x14ac:dyDescent="0.25">
      <c r="N3993" s="3"/>
      <c r="AW3993" s="7"/>
      <c r="AX3993" s="7"/>
    </row>
    <row r="3994" spans="14:50" x14ac:dyDescent="0.25">
      <c r="N3994" s="3"/>
      <c r="AW3994" s="7"/>
      <c r="AX3994" s="7"/>
    </row>
    <row r="3995" spans="14:50" x14ac:dyDescent="0.25">
      <c r="N3995" s="3"/>
      <c r="AW3995" s="7"/>
      <c r="AX3995" s="7"/>
    </row>
    <row r="3996" spans="14:50" x14ac:dyDescent="0.25">
      <c r="N3996" s="3"/>
      <c r="AW3996" s="7"/>
      <c r="AX3996" s="7"/>
    </row>
    <row r="3997" spans="14:50" x14ac:dyDescent="0.25">
      <c r="N3997" s="3"/>
      <c r="AW3997" s="7"/>
      <c r="AX3997" s="7"/>
    </row>
    <row r="3998" spans="14:50" x14ac:dyDescent="0.25">
      <c r="N3998" s="3"/>
      <c r="AW3998" s="7"/>
      <c r="AX3998" s="7"/>
    </row>
    <row r="3999" spans="14:50" x14ac:dyDescent="0.25">
      <c r="N3999" s="3"/>
      <c r="AW3999" s="7"/>
      <c r="AX3999" s="7"/>
    </row>
    <row r="4000" spans="14:50" x14ac:dyDescent="0.25">
      <c r="N4000" s="3"/>
      <c r="AW4000" s="7"/>
      <c r="AX4000" s="7"/>
    </row>
    <row r="4001" spans="14:50" x14ac:dyDescent="0.25">
      <c r="N4001" s="3"/>
      <c r="AW4001" s="7"/>
      <c r="AX4001" s="7"/>
    </row>
    <row r="4002" spans="14:50" x14ac:dyDescent="0.25">
      <c r="N4002" s="3"/>
      <c r="AW4002" s="7"/>
      <c r="AX4002" s="7"/>
    </row>
    <row r="4003" spans="14:50" x14ac:dyDescent="0.25">
      <c r="N4003" s="3"/>
      <c r="AW4003" s="7"/>
      <c r="AX4003" s="7"/>
    </row>
    <row r="4004" spans="14:50" x14ac:dyDescent="0.25">
      <c r="N4004" s="3"/>
      <c r="AW4004" s="7"/>
      <c r="AX4004" s="7"/>
    </row>
    <row r="4005" spans="14:50" x14ac:dyDescent="0.25">
      <c r="N4005" s="3"/>
      <c r="AW4005" s="7"/>
      <c r="AX4005" s="7"/>
    </row>
    <row r="4006" spans="14:50" x14ac:dyDescent="0.25">
      <c r="N4006" s="3"/>
      <c r="AW4006" s="7"/>
      <c r="AX4006" s="7"/>
    </row>
    <row r="4007" spans="14:50" x14ac:dyDescent="0.25">
      <c r="N4007" s="3"/>
      <c r="AW4007" s="7"/>
      <c r="AX4007" s="7"/>
    </row>
    <row r="4008" spans="14:50" x14ac:dyDescent="0.25">
      <c r="N4008" s="3"/>
      <c r="AW4008" s="7"/>
      <c r="AX4008" s="7"/>
    </row>
    <row r="4009" spans="14:50" x14ac:dyDescent="0.25">
      <c r="N4009" s="3"/>
      <c r="AW4009" s="7"/>
      <c r="AX4009" s="7"/>
    </row>
    <row r="4010" spans="14:50" x14ac:dyDescent="0.25">
      <c r="N4010" s="3"/>
      <c r="AW4010" s="7"/>
      <c r="AX4010" s="7"/>
    </row>
    <row r="4011" spans="14:50" x14ac:dyDescent="0.25">
      <c r="N4011" s="3"/>
      <c r="AW4011" s="7"/>
      <c r="AX4011" s="7"/>
    </row>
    <row r="4012" spans="14:50" x14ac:dyDescent="0.25">
      <c r="N4012" s="3"/>
      <c r="AW4012" s="7"/>
      <c r="AX4012" s="7"/>
    </row>
    <row r="4013" spans="14:50" x14ac:dyDescent="0.25">
      <c r="N4013" s="3"/>
      <c r="AW4013" s="7"/>
      <c r="AX4013" s="7"/>
    </row>
    <row r="4014" spans="14:50" x14ac:dyDescent="0.25">
      <c r="N4014" s="3"/>
      <c r="AW4014" s="7"/>
      <c r="AX4014" s="7"/>
    </row>
    <row r="4015" spans="14:50" x14ac:dyDescent="0.25">
      <c r="N4015" s="3"/>
      <c r="AW4015" s="7"/>
      <c r="AX4015" s="7"/>
    </row>
    <row r="4016" spans="14:50" x14ac:dyDescent="0.25">
      <c r="N4016" s="3"/>
      <c r="AW4016" s="7"/>
      <c r="AX4016" s="7"/>
    </row>
    <row r="4017" spans="14:50" x14ac:dyDescent="0.25">
      <c r="N4017" s="3"/>
      <c r="AW4017" s="7"/>
      <c r="AX4017" s="7"/>
    </row>
    <row r="4018" spans="14:50" x14ac:dyDescent="0.25">
      <c r="N4018" s="3"/>
      <c r="AW4018" s="7"/>
      <c r="AX4018" s="7"/>
    </row>
    <row r="4019" spans="14:50" x14ac:dyDescent="0.25">
      <c r="N4019" s="3"/>
      <c r="AW4019" s="7"/>
      <c r="AX4019" s="7"/>
    </row>
    <row r="4020" spans="14:50" x14ac:dyDescent="0.25">
      <c r="N4020" s="3"/>
      <c r="AW4020" s="7"/>
      <c r="AX4020" s="7"/>
    </row>
    <row r="4021" spans="14:50" x14ac:dyDescent="0.25">
      <c r="N4021" s="3"/>
      <c r="AW4021" s="7"/>
      <c r="AX4021" s="7"/>
    </row>
    <row r="4022" spans="14:50" x14ac:dyDescent="0.25">
      <c r="N4022" s="3"/>
      <c r="AW4022" s="7"/>
      <c r="AX4022" s="7"/>
    </row>
    <row r="4023" spans="14:50" x14ac:dyDescent="0.25">
      <c r="N4023" s="3"/>
      <c r="AW4023" s="7"/>
      <c r="AX4023" s="7"/>
    </row>
    <row r="4024" spans="14:50" x14ac:dyDescent="0.25">
      <c r="N4024" s="3"/>
      <c r="AW4024" s="7"/>
      <c r="AX4024" s="7"/>
    </row>
    <row r="4025" spans="14:50" x14ac:dyDescent="0.25">
      <c r="N4025" s="3"/>
      <c r="AW4025" s="7"/>
      <c r="AX4025" s="7"/>
    </row>
    <row r="4026" spans="14:50" x14ac:dyDescent="0.25">
      <c r="N4026" s="3"/>
      <c r="AW4026" s="7"/>
      <c r="AX4026" s="7"/>
    </row>
    <row r="4027" spans="14:50" x14ac:dyDescent="0.25">
      <c r="N4027" s="3"/>
      <c r="AW4027" s="7"/>
      <c r="AX4027" s="7"/>
    </row>
    <row r="4028" spans="14:50" x14ac:dyDescent="0.25">
      <c r="N4028" s="3"/>
      <c r="AW4028" s="7"/>
      <c r="AX4028" s="7"/>
    </row>
    <row r="4029" spans="14:50" x14ac:dyDescent="0.25">
      <c r="N4029" s="3"/>
      <c r="AW4029" s="7"/>
      <c r="AX4029" s="7"/>
    </row>
    <row r="4030" spans="14:50" x14ac:dyDescent="0.25">
      <c r="N4030" s="3"/>
      <c r="AW4030" s="7"/>
      <c r="AX4030" s="7"/>
    </row>
    <row r="4031" spans="14:50" x14ac:dyDescent="0.25">
      <c r="N4031" s="3"/>
      <c r="AW4031" s="7"/>
      <c r="AX4031" s="7"/>
    </row>
    <row r="4032" spans="14:50" x14ac:dyDescent="0.25">
      <c r="N4032" s="3"/>
      <c r="AW4032" s="7"/>
      <c r="AX4032" s="7"/>
    </row>
    <row r="4033" spans="14:50" x14ac:dyDescent="0.25">
      <c r="N4033" s="3"/>
      <c r="AW4033" s="7"/>
      <c r="AX4033" s="7"/>
    </row>
    <row r="4034" spans="14:50" x14ac:dyDescent="0.25">
      <c r="N4034" s="3"/>
      <c r="AW4034" s="7"/>
      <c r="AX4034" s="7"/>
    </row>
    <row r="4035" spans="14:50" x14ac:dyDescent="0.25">
      <c r="N4035" s="3"/>
      <c r="AW4035" s="7"/>
      <c r="AX4035" s="7"/>
    </row>
    <row r="4036" spans="14:50" x14ac:dyDescent="0.25">
      <c r="N4036" s="3"/>
      <c r="AW4036" s="7"/>
      <c r="AX4036" s="7"/>
    </row>
    <row r="4037" spans="14:50" x14ac:dyDescent="0.25">
      <c r="N4037" s="3"/>
      <c r="AW4037" s="7"/>
      <c r="AX4037" s="7"/>
    </row>
    <row r="4038" spans="14:50" x14ac:dyDescent="0.25">
      <c r="N4038" s="3"/>
      <c r="AW4038" s="7"/>
      <c r="AX4038" s="7"/>
    </row>
    <row r="4039" spans="14:50" x14ac:dyDescent="0.25">
      <c r="N4039" s="3"/>
      <c r="AW4039" s="7"/>
      <c r="AX4039" s="7"/>
    </row>
    <row r="4040" spans="14:50" x14ac:dyDescent="0.25">
      <c r="N4040" s="3"/>
      <c r="AW4040" s="7"/>
      <c r="AX4040" s="7"/>
    </row>
    <row r="4041" spans="14:50" x14ac:dyDescent="0.25">
      <c r="N4041" s="3"/>
      <c r="AW4041" s="7"/>
      <c r="AX4041" s="7"/>
    </row>
    <row r="4042" spans="14:50" x14ac:dyDescent="0.25">
      <c r="N4042" s="3"/>
      <c r="AW4042" s="7"/>
      <c r="AX4042" s="7"/>
    </row>
    <row r="4043" spans="14:50" x14ac:dyDescent="0.25">
      <c r="N4043" s="3"/>
      <c r="AW4043" s="7"/>
      <c r="AX4043" s="7"/>
    </row>
    <row r="4044" spans="14:50" x14ac:dyDescent="0.25">
      <c r="N4044" s="3"/>
      <c r="AW4044" s="7"/>
      <c r="AX4044" s="7"/>
    </row>
    <row r="4045" spans="14:50" x14ac:dyDescent="0.25">
      <c r="N4045" s="3"/>
      <c r="AW4045" s="7"/>
      <c r="AX4045" s="7"/>
    </row>
    <row r="4046" spans="14:50" x14ac:dyDescent="0.25">
      <c r="N4046" s="3"/>
      <c r="AW4046" s="7"/>
      <c r="AX4046" s="7"/>
    </row>
    <row r="4047" spans="14:50" x14ac:dyDescent="0.25">
      <c r="N4047" s="3"/>
      <c r="AW4047" s="7"/>
      <c r="AX4047" s="7"/>
    </row>
    <row r="4048" spans="14:50" x14ac:dyDescent="0.25">
      <c r="N4048" s="3"/>
      <c r="AW4048" s="7"/>
      <c r="AX4048" s="7"/>
    </row>
    <row r="4049" spans="14:50" x14ac:dyDescent="0.25">
      <c r="N4049" s="3"/>
      <c r="AW4049" s="7"/>
      <c r="AX4049" s="7"/>
    </row>
    <row r="4050" spans="14:50" x14ac:dyDescent="0.25">
      <c r="N4050" s="3"/>
      <c r="AW4050" s="7"/>
      <c r="AX4050" s="7"/>
    </row>
    <row r="4051" spans="14:50" x14ac:dyDescent="0.25">
      <c r="N4051" s="3"/>
      <c r="AW4051" s="7"/>
      <c r="AX4051" s="7"/>
    </row>
    <row r="4052" spans="14:50" x14ac:dyDescent="0.25">
      <c r="N4052" s="3"/>
      <c r="AW4052" s="7"/>
      <c r="AX4052" s="7"/>
    </row>
    <row r="4053" spans="14:50" x14ac:dyDescent="0.25">
      <c r="N4053" s="3"/>
      <c r="AW4053" s="7"/>
      <c r="AX4053" s="7"/>
    </row>
    <row r="4054" spans="14:50" x14ac:dyDescent="0.25">
      <c r="N4054" s="3"/>
      <c r="AW4054" s="7"/>
      <c r="AX4054" s="7"/>
    </row>
    <row r="4055" spans="14:50" x14ac:dyDescent="0.25">
      <c r="N4055" s="3"/>
      <c r="AW4055" s="7"/>
      <c r="AX4055" s="7"/>
    </row>
    <row r="4056" spans="14:50" x14ac:dyDescent="0.25">
      <c r="N4056" s="3"/>
      <c r="AW4056" s="7"/>
      <c r="AX4056" s="7"/>
    </row>
    <row r="4057" spans="14:50" x14ac:dyDescent="0.25">
      <c r="N4057" s="3"/>
      <c r="AW4057" s="7"/>
      <c r="AX4057" s="7"/>
    </row>
    <row r="4058" spans="14:50" x14ac:dyDescent="0.25">
      <c r="N4058" s="3"/>
      <c r="AW4058" s="7"/>
      <c r="AX4058" s="7"/>
    </row>
    <row r="4059" spans="14:50" x14ac:dyDescent="0.25">
      <c r="N4059" s="3"/>
      <c r="AW4059" s="7"/>
      <c r="AX4059" s="7"/>
    </row>
    <row r="4060" spans="14:50" x14ac:dyDescent="0.25">
      <c r="N4060" s="3"/>
      <c r="AW4060" s="7"/>
      <c r="AX4060" s="7"/>
    </row>
    <row r="4061" spans="14:50" x14ac:dyDescent="0.25">
      <c r="N4061" s="3"/>
      <c r="AW4061" s="7"/>
      <c r="AX4061" s="7"/>
    </row>
    <row r="4062" spans="14:50" x14ac:dyDescent="0.25">
      <c r="N4062" s="3"/>
      <c r="AW4062" s="7"/>
      <c r="AX4062" s="7"/>
    </row>
    <row r="4063" spans="14:50" x14ac:dyDescent="0.25">
      <c r="N4063" s="3"/>
      <c r="AW4063" s="7"/>
      <c r="AX4063" s="7"/>
    </row>
    <row r="4064" spans="14:50" x14ac:dyDescent="0.25">
      <c r="N4064" s="3"/>
      <c r="AW4064" s="7"/>
      <c r="AX4064" s="7"/>
    </row>
    <row r="4065" spans="14:50" x14ac:dyDescent="0.25">
      <c r="N4065" s="3"/>
      <c r="AW4065" s="7"/>
      <c r="AX4065" s="7"/>
    </row>
    <row r="4066" spans="14:50" x14ac:dyDescent="0.25">
      <c r="N4066" s="3"/>
      <c r="AW4066" s="7"/>
      <c r="AX4066" s="7"/>
    </row>
    <row r="4067" spans="14:50" x14ac:dyDescent="0.25">
      <c r="N4067" s="3"/>
      <c r="AW4067" s="7"/>
      <c r="AX4067" s="7"/>
    </row>
    <row r="4068" spans="14:50" x14ac:dyDescent="0.25">
      <c r="N4068" s="3"/>
      <c r="AW4068" s="7"/>
      <c r="AX4068" s="7"/>
    </row>
    <row r="4069" spans="14:50" x14ac:dyDescent="0.25">
      <c r="N4069" s="3"/>
      <c r="AW4069" s="7"/>
      <c r="AX4069" s="7"/>
    </row>
    <row r="4070" spans="14:50" x14ac:dyDescent="0.25">
      <c r="N4070" s="3"/>
      <c r="AW4070" s="7"/>
      <c r="AX4070" s="7"/>
    </row>
    <row r="4071" spans="14:50" x14ac:dyDescent="0.25">
      <c r="N4071" s="3"/>
      <c r="AW4071" s="7"/>
      <c r="AX4071" s="7"/>
    </row>
    <row r="4072" spans="14:50" x14ac:dyDescent="0.25">
      <c r="N4072" s="3"/>
      <c r="AW4072" s="7"/>
      <c r="AX4072" s="7"/>
    </row>
    <row r="4073" spans="14:50" x14ac:dyDescent="0.25">
      <c r="N4073" s="3"/>
      <c r="AW4073" s="7"/>
      <c r="AX4073" s="7"/>
    </row>
    <row r="4074" spans="14:50" x14ac:dyDescent="0.25">
      <c r="N4074" s="3"/>
      <c r="AW4074" s="7"/>
      <c r="AX4074" s="7"/>
    </row>
    <row r="4075" spans="14:50" x14ac:dyDescent="0.25">
      <c r="N4075" s="3"/>
      <c r="AW4075" s="7"/>
      <c r="AX4075" s="7"/>
    </row>
    <row r="4076" spans="14:50" x14ac:dyDescent="0.25">
      <c r="N4076" s="3"/>
      <c r="AW4076" s="7"/>
      <c r="AX4076" s="7"/>
    </row>
    <row r="4077" spans="14:50" x14ac:dyDescent="0.25">
      <c r="N4077" s="3"/>
      <c r="AW4077" s="7"/>
      <c r="AX4077" s="7"/>
    </row>
    <row r="4078" spans="14:50" x14ac:dyDescent="0.25">
      <c r="N4078" s="3"/>
      <c r="AW4078" s="7"/>
      <c r="AX4078" s="7"/>
    </row>
    <row r="4079" spans="14:50" x14ac:dyDescent="0.25">
      <c r="N4079" s="3"/>
      <c r="AW4079" s="7"/>
      <c r="AX4079" s="7"/>
    </row>
    <row r="4080" spans="14:50" x14ac:dyDescent="0.25">
      <c r="N4080" s="3"/>
      <c r="AW4080" s="7"/>
      <c r="AX4080" s="7"/>
    </row>
    <row r="4081" spans="14:50" x14ac:dyDescent="0.25">
      <c r="N4081" s="3"/>
      <c r="AW4081" s="7"/>
      <c r="AX4081" s="7"/>
    </row>
    <row r="4082" spans="14:50" x14ac:dyDescent="0.25">
      <c r="N4082" s="3"/>
      <c r="AW4082" s="7"/>
      <c r="AX4082" s="7"/>
    </row>
    <row r="4083" spans="14:50" x14ac:dyDescent="0.25">
      <c r="N4083" s="3"/>
      <c r="AW4083" s="7"/>
      <c r="AX4083" s="7"/>
    </row>
    <row r="4084" spans="14:50" x14ac:dyDescent="0.25">
      <c r="N4084" s="3"/>
      <c r="AW4084" s="7"/>
      <c r="AX4084" s="7"/>
    </row>
    <row r="4085" spans="14:50" x14ac:dyDescent="0.25">
      <c r="N4085" s="3"/>
      <c r="AW4085" s="7"/>
      <c r="AX4085" s="7"/>
    </row>
    <row r="4086" spans="14:50" x14ac:dyDescent="0.25">
      <c r="N4086" s="3"/>
      <c r="AW4086" s="7"/>
      <c r="AX4086" s="7"/>
    </row>
    <row r="4087" spans="14:50" x14ac:dyDescent="0.25">
      <c r="N4087" s="3"/>
      <c r="AW4087" s="7"/>
      <c r="AX4087" s="7"/>
    </row>
    <row r="4088" spans="14:50" x14ac:dyDescent="0.25">
      <c r="N4088" s="3"/>
      <c r="AW4088" s="7"/>
      <c r="AX4088" s="7"/>
    </row>
    <row r="4089" spans="14:50" x14ac:dyDescent="0.25">
      <c r="N4089" s="3"/>
      <c r="AW4089" s="7"/>
      <c r="AX4089" s="7"/>
    </row>
    <row r="4090" spans="14:50" x14ac:dyDescent="0.25">
      <c r="N4090" s="3"/>
      <c r="AW4090" s="7"/>
      <c r="AX4090" s="7"/>
    </row>
    <row r="4091" spans="14:50" x14ac:dyDescent="0.25">
      <c r="N4091" s="3"/>
      <c r="AW4091" s="7"/>
      <c r="AX4091" s="7"/>
    </row>
    <row r="4092" spans="14:50" x14ac:dyDescent="0.25">
      <c r="N4092" s="3"/>
      <c r="AW4092" s="7"/>
      <c r="AX4092" s="7"/>
    </row>
    <row r="4093" spans="14:50" x14ac:dyDescent="0.25">
      <c r="N4093" s="3"/>
      <c r="AW4093" s="7"/>
      <c r="AX4093" s="7"/>
    </row>
    <row r="4094" spans="14:50" x14ac:dyDescent="0.25">
      <c r="N4094" s="3"/>
      <c r="AW4094" s="7"/>
      <c r="AX4094" s="7"/>
    </row>
    <row r="4095" spans="14:50" x14ac:dyDescent="0.25">
      <c r="N4095" s="3"/>
      <c r="AW4095" s="7"/>
      <c r="AX4095" s="7"/>
    </row>
    <row r="4096" spans="14:50" x14ac:dyDescent="0.25">
      <c r="N4096" s="3"/>
      <c r="AW4096" s="7"/>
      <c r="AX4096" s="7"/>
    </row>
    <row r="4097" spans="14:50" x14ac:dyDescent="0.25">
      <c r="N4097" s="3"/>
      <c r="AW4097" s="7"/>
      <c r="AX4097" s="7"/>
    </row>
    <row r="4098" spans="14:50" x14ac:dyDescent="0.25">
      <c r="N4098" s="3"/>
      <c r="AW4098" s="7"/>
      <c r="AX4098" s="7"/>
    </row>
    <row r="4099" spans="14:50" x14ac:dyDescent="0.25">
      <c r="N4099" s="3"/>
      <c r="AW4099" s="7"/>
      <c r="AX4099" s="7"/>
    </row>
    <row r="4100" spans="14:50" x14ac:dyDescent="0.25">
      <c r="N4100" s="3"/>
      <c r="AW4100" s="7"/>
      <c r="AX4100" s="7"/>
    </row>
    <row r="4101" spans="14:50" x14ac:dyDescent="0.25">
      <c r="N4101" s="3"/>
      <c r="AW4101" s="7"/>
      <c r="AX4101" s="7"/>
    </row>
    <row r="4102" spans="14:50" x14ac:dyDescent="0.25">
      <c r="N4102" s="3"/>
      <c r="AW4102" s="7"/>
      <c r="AX4102" s="7"/>
    </row>
    <row r="4103" spans="14:50" x14ac:dyDescent="0.25">
      <c r="N4103" s="3"/>
      <c r="AW4103" s="7"/>
      <c r="AX4103" s="7"/>
    </row>
    <row r="4104" spans="14:50" x14ac:dyDescent="0.25">
      <c r="N4104" s="3"/>
      <c r="AW4104" s="7"/>
      <c r="AX4104" s="7"/>
    </row>
    <row r="4105" spans="14:50" x14ac:dyDescent="0.25">
      <c r="N4105" s="3"/>
      <c r="AW4105" s="7"/>
      <c r="AX4105" s="7"/>
    </row>
    <row r="4106" spans="14:50" x14ac:dyDescent="0.25">
      <c r="N4106" s="3"/>
      <c r="AW4106" s="7"/>
      <c r="AX4106" s="7"/>
    </row>
    <row r="4107" spans="14:50" x14ac:dyDescent="0.25">
      <c r="N4107" s="3"/>
      <c r="AW4107" s="7"/>
      <c r="AX4107" s="7"/>
    </row>
    <row r="4108" spans="14:50" x14ac:dyDescent="0.25">
      <c r="N4108" s="3"/>
      <c r="AW4108" s="7"/>
      <c r="AX4108" s="7"/>
    </row>
    <row r="4109" spans="14:50" x14ac:dyDescent="0.25">
      <c r="N4109" s="3"/>
      <c r="AW4109" s="7"/>
      <c r="AX4109" s="7"/>
    </row>
    <row r="4110" spans="14:50" x14ac:dyDescent="0.25">
      <c r="N4110" s="3"/>
      <c r="AW4110" s="7"/>
      <c r="AX4110" s="7"/>
    </row>
    <row r="4111" spans="14:50" x14ac:dyDescent="0.25">
      <c r="N4111" s="3"/>
      <c r="AW4111" s="7"/>
      <c r="AX4111" s="7"/>
    </row>
    <row r="4112" spans="14:50" x14ac:dyDescent="0.25">
      <c r="N4112" s="3"/>
      <c r="AW4112" s="7"/>
      <c r="AX4112" s="7"/>
    </row>
    <row r="4113" spans="14:50" x14ac:dyDescent="0.25">
      <c r="N4113" s="3"/>
      <c r="AW4113" s="7"/>
      <c r="AX4113" s="7"/>
    </row>
    <row r="4114" spans="14:50" x14ac:dyDescent="0.25">
      <c r="N4114" s="3"/>
      <c r="AW4114" s="7"/>
      <c r="AX4114" s="7"/>
    </row>
    <row r="4115" spans="14:50" x14ac:dyDescent="0.25">
      <c r="N4115" s="3"/>
      <c r="AW4115" s="7"/>
      <c r="AX4115" s="7"/>
    </row>
    <row r="4116" spans="14:50" x14ac:dyDescent="0.25">
      <c r="N4116" s="3"/>
      <c r="AW4116" s="7"/>
      <c r="AX4116" s="7"/>
    </row>
    <row r="4117" spans="14:50" x14ac:dyDescent="0.25">
      <c r="N4117" s="3"/>
      <c r="AW4117" s="7"/>
      <c r="AX4117" s="7"/>
    </row>
    <row r="4118" spans="14:50" x14ac:dyDescent="0.25">
      <c r="N4118" s="3"/>
      <c r="AW4118" s="7"/>
      <c r="AX4118" s="7"/>
    </row>
    <row r="4119" spans="14:50" x14ac:dyDescent="0.25">
      <c r="N4119" s="3"/>
      <c r="AW4119" s="7"/>
      <c r="AX4119" s="7"/>
    </row>
    <row r="4120" spans="14:50" x14ac:dyDescent="0.25">
      <c r="N4120" s="3"/>
      <c r="AW4120" s="7"/>
      <c r="AX4120" s="7"/>
    </row>
    <row r="4121" spans="14:50" x14ac:dyDescent="0.25">
      <c r="N4121" s="3"/>
      <c r="AW4121" s="7"/>
      <c r="AX4121" s="7"/>
    </row>
    <row r="4122" spans="14:50" x14ac:dyDescent="0.25">
      <c r="N4122" s="3"/>
      <c r="AW4122" s="7"/>
      <c r="AX4122" s="7"/>
    </row>
    <row r="4123" spans="14:50" x14ac:dyDescent="0.25">
      <c r="N4123" s="3"/>
      <c r="AW4123" s="7"/>
      <c r="AX4123" s="7"/>
    </row>
    <row r="4124" spans="14:50" x14ac:dyDescent="0.25">
      <c r="N4124" s="3"/>
      <c r="AW4124" s="7"/>
      <c r="AX4124" s="7"/>
    </row>
    <row r="4125" spans="14:50" x14ac:dyDescent="0.25">
      <c r="N4125" s="3"/>
      <c r="AW4125" s="7"/>
      <c r="AX4125" s="7"/>
    </row>
    <row r="4126" spans="14:50" x14ac:dyDescent="0.25">
      <c r="N4126" s="3"/>
      <c r="AW4126" s="7"/>
      <c r="AX4126" s="7"/>
    </row>
    <row r="4127" spans="14:50" x14ac:dyDescent="0.25">
      <c r="N4127" s="3"/>
      <c r="AW4127" s="7"/>
      <c r="AX4127" s="7"/>
    </row>
    <row r="4128" spans="14:50" x14ac:dyDescent="0.25">
      <c r="N4128" s="3"/>
      <c r="AW4128" s="7"/>
      <c r="AX4128" s="7"/>
    </row>
    <row r="4129" spans="14:50" x14ac:dyDescent="0.25">
      <c r="N4129" s="3"/>
      <c r="AW4129" s="7"/>
      <c r="AX4129" s="7"/>
    </row>
    <row r="4130" spans="14:50" x14ac:dyDescent="0.25">
      <c r="N4130" s="3"/>
      <c r="AW4130" s="7"/>
      <c r="AX4130" s="7"/>
    </row>
    <row r="4131" spans="14:50" x14ac:dyDescent="0.25">
      <c r="N4131" s="3"/>
      <c r="AW4131" s="7"/>
      <c r="AX4131" s="7"/>
    </row>
    <row r="4132" spans="14:50" x14ac:dyDescent="0.25">
      <c r="N4132" s="3"/>
      <c r="AW4132" s="7"/>
      <c r="AX4132" s="7"/>
    </row>
    <row r="4133" spans="14:50" x14ac:dyDescent="0.25">
      <c r="N4133" s="3"/>
      <c r="AW4133" s="7"/>
      <c r="AX4133" s="7"/>
    </row>
    <row r="4134" spans="14:50" x14ac:dyDescent="0.25">
      <c r="N4134" s="3"/>
      <c r="AW4134" s="7"/>
      <c r="AX4134" s="7"/>
    </row>
    <row r="4135" spans="14:50" x14ac:dyDescent="0.25">
      <c r="N4135" s="3"/>
      <c r="AW4135" s="7"/>
      <c r="AX4135" s="7"/>
    </row>
    <row r="4136" spans="14:50" x14ac:dyDescent="0.25">
      <c r="N4136" s="3"/>
      <c r="AW4136" s="7"/>
      <c r="AX4136" s="7"/>
    </row>
    <row r="4137" spans="14:50" x14ac:dyDescent="0.25">
      <c r="N4137" s="3"/>
      <c r="AW4137" s="7"/>
      <c r="AX4137" s="7"/>
    </row>
    <row r="4138" spans="14:50" x14ac:dyDescent="0.25">
      <c r="N4138" s="3"/>
      <c r="AW4138" s="7"/>
      <c r="AX4138" s="7"/>
    </row>
    <row r="4139" spans="14:50" x14ac:dyDescent="0.25">
      <c r="N4139" s="3"/>
      <c r="AW4139" s="7"/>
      <c r="AX4139" s="7"/>
    </row>
    <row r="4140" spans="14:50" x14ac:dyDescent="0.25">
      <c r="N4140" s="3"/>
      <c r="AW4140" s="7"/>
      <c r="AX4140" s="7"/>
    </row>
    <row r="4141" spans="14:50" x14ac:dyDescent="0.25">
      <c r="N4141" s="3"/>
      <c r="AW4141" s="7"/>
      <c r="AX4141" s="7"/>
    </row>
    <row r="4142" spans="14:50" x14ac:dyDescent="0.25">
      <c r="N4142" s="3"/>
      <c r="AW4142" s="7"/>
      <c r="AX4142" s="7"/>
    </row>
    <row r="4143" spans="14:50" x14ac:dyDescent="0.25">
      <c r="N4143" s="3"/>
      <c r="AW4143" s="7"/>
      <c r="AX4143" s="7"/>
    </row>
    <row r="4144" spans="14:50" x14ac:dyDescent="0.25">
      <c r="N4144" s="3"/>
      <c r="AW4144" s="7"/>
      <c r="AX4144" s="7"/>
    </row>
    <row r="4145" spans="14:50" x14ac:dyDescent="0.25">
      <c r="N4145" s="3"/>
      <c r="AW4145" s="7"/>
      <c r="AX4145" s="7"/>
    </row>
    <row r="4146" spans="14:50" x14ac:dyDescent="0.25">
      <c r="N4146" s="3"/>
      <c r="AW4146" s="7"/>
      <c r="AX4146" s="7"/>
    </row>
    <row r="4147" spans="14:50" x14ac:dyDescent="0.25">
      <c r="N4147" s="3"/>
      <c r="AW4147" s="7"/>
      <c r="AX4147" s="7"/>
    </row>
    <row r="4148" spans="14:50" x14ac:dyDescent="0.25">
      <c r="N4148" s="3"/>
      <c r="AW4148" s="7"/>
      <c r="AX4148" s="7"/>
    </row>
    <row r="4149" spans="14:50" x14ac:dyDescent="0.25">
      <c r="N4149" s="3"/>
      <c r="AW4149" s="7"/>
      <c r="AX4149" s="7"/>
    </row>
    <row r="4150" spans="14:50" x14ac:dyDescent="0.25">
      <c r="N4150" s="3"/>
      <c r="AW4150" s="7"/>
      <c r="AX4150" s="7"/>
    </row>
    <row r="4151" spans="14:50" x14ac:dyDescent="0.25">
      <c r="N4151" s="3"/>
      <c r="AW4151" s="7"/>
      <c r="AX4151" s="7"/>
    </row>
    <row r="4152" spans="14:50" x14ac:dyDescent="0.25">
      <c r="N4152" s="3"/>
      <c r="AW4152" s="7"/>
      <c r="AX4152" s="7"/>
    </row>
    <row r="4153" spans="14:50" x14ac:dyDescent="0.25">
      <c r="N4153" s="3"/>
      <c r="AW4153" s="7"/>
      <c r="AX4153" s="7"/>
    </row>
    <row r="4154" spans="14:50" x14ac:dyDescent="0.25">
      <c r="N4154" s="3"/>
      <c r="AW4154" s="7"/>
      <c r="AX4154" s="7"/>
    </row>
    <row r="4155" spans="14:50" x14ac:dyDescent="0.25">
      <c r="N4155" s="3"/>
      <c r="AW4155" s="7"/>
      <c r="AX4155" s="7"/>
    </row>
    <row r="4156" spans="14:50" x14ac:dyDescent="0.25">
      <c r="N4156" s="3"/>
      <c r="AW4156" s="7"/>
      <c r="AX4156" s="7"/>
    </row>
    <row r="4157" spans="14:50" x14ac:dyDescent="0.25">
      <c r="N4157" s="3"/>
      <c r="AW4157" s="7"/>
      <c r="AX4157" s="7"/>
    </row>
    <row r="4158" spans="14:50" x14ac:dyDescent="0.25">
      <c r="N4158" s="3"/>
      <c r="AW4158" s="7"/>
      <c r="AX4158" s="7"/>
    </row>
    <row r="4159" spans="14:50" x14ac:dyDescent="0.25">
      <c r="N4159" s="3"/>
      <c r="AW4159" s="7"/>
      <c r="AX4159" s="7"/>
    </row>
    <row r="4160" spans="14:50" x14ac:dyDescent="0.25">
      <c r="N4160" s="3"/>
      <c r="AW4160" s="7"/>
      <c r="AX4160" s="7"/>
    </row>
    <row r="4161" spans="14:50" x14ac:dyDescent="0.25">
      <c r="N4161" s="3"/>
      <c r="AW4161" s="7"/>
      <c r="AX4161" s="7"/>
    </row>
    <row r="4162" spans="14:50" x14ac:dyDescent="0.25">
      <c r="N4162" s="3"/>
      <c r="AW4162" s="7"/>
      <c r="AX4162" s="7"/>
    </row>
    <row r="4163" spans="14:50" x14ac:dyDescent="0.25">
      <c r="N4163" s="3"/>
      <c r="AW4163" s="7"/>
      <c r="AX4163" s="7"/>
    </row>
    <row r="4164" spans="14:50" x14ac:dyDescent="0.25">
      <c r="N4164" s="3"/>
      <c r="AW4164" s="7"/>
      <c r="AX4164" s="7"/>
    </row>
    <row r="4165" spans="14:50" x14ac:dyDescent="0.25">
      <c r="N4165" s="3"/>
      <c r="AW4165" s="7"/>
      <c r="AX4165" s="7"/>
    </row>
    <row r="4166" spans="14:50" x14ac:dyDescent="0.25">
      <c r="N4166" s="3"/>
      <c r="AW4166" s="7"/>
      <c r="AX4166" s="7"/>
    </row>
    <row r="4167" spans="14:50" x14ac:dyDescent="0.25">
      <c r="N4167" s="3"/>
      <c r="AW4167" s="7"/>
      <c r="AX4167" s="7"/>
    </row>
    <row r="4168" spans="14:50" x14ac:dyDescent="0.25">
      <c r="N4168" s="3"/>
      <c r="AW4168" s="7"/>
      <c r="AX4168" s="7"/>
    </row>
    <row r="4169" spans="14:50" x14ac:dyDescent="0.25">
      <c r="N4169" s="3"/>
      <c r="AW4169" s="7"/>
      <c r="AX4169" s="7"/>
    </row>
    <row r="4170" spans="14:50" x14ac:dyDescent="0.25">
      <c r="N4170" s="3"/>
      <c r="AW4170" s="7"/>
      <c r="AX4170" s="7"/>
    </row>
    <row r="4171" spans="14:50" x14ac:dyDescent="0.25">
      <c r="N4171" s="3"/>
      <c r="AW4171" s="7"/>
      <c r="AX4171" s="7"/>
    </row>
    <row r="4172" spans="14:50" x14ac:dyDescent="0.25">
      <c r="N4172" s="3"/>
      <c r="AW4172" s="7"/>
      <c r="AX4172" s="7"/>
    </row>
    <row r="4173" spans="14:50" x14ac:dyDescent="0.25">
      <c r="N4173" s="3"/>
      <c r="AW4173" s="7"/>
      <c r="AX4173" s="7"/>
    </row>
    <row r="4174" spans="14:50" x14ac:dyDescent="0.25">
      <c r="N4174" s="3"/>
      <c r="AW4174" s="7"/>
      <c r="AX4174" s="7"/>
    </row>
    <row r="4175" spans="14:50" x14ac:dyDescent="0.25">
      <c r="N4175" s="3"/>
      <c r="AW4175" s="7"/>
      <c r="AX4175" s="7"/>
    </row>
    <row r="4176" spans="14:50" x14ac:dyDescent="0.25">
      <c r="N4176" s="3"/>
      <c r="AW4176" s="7"/>
      <c r="AX4176" s="7"/>
    </row>
    <row r="4177" spans="14:50" x14ac:dyDescent="0.25">
      <c r="N4177" s="3"/>
      <c r="AW4177" s="7"/>
      <c r="AX4177" s="7"/>
    </row>
    <row r="4178" spans="14:50" x14ac:dyDescent="0.25">
      <c r="N4178" s="3"/>
      <c r="AW4178" s="7"/>
      <c r="AX4178" s="7"/>
    </row>
    <row r="4179" spans="14:50" x14ac:dyDescent="0.25">
      <c r="N4179" s="3"/>
      <c r="AW4179" s="7"/>
      <c r="AX4179" s="7"/>
    </row>
    <row r="4180" spans="14:50" x14ac:dyDescent="0.25">
      <c r="N4180" s="3"/>
      <c r="AW4180" s="7"/>
      <c r="AX4180" s="7"/>
    </row>
    <row r="4181" spans="14:50" x14ac:dyDescent="0.25">
      <c r="N4181" s="3"/>
      <c r="AW4181" s="7"/>
      <c r="AX4181" s="7"/>
    </row>
    <row r="4182" spans="14:50" x14ac:dyDescent="0.25">
      <c r="N4182" s="3"/>
      <c r="AW4182" s="7"/>
      <c r="AX4182" s="7"/>
    </row>
    <row r="4183" spans="14:50" x14ac:dyDescent="0.25">
      <c r="N4183" s="3"/>
      <c r="AW4183" s="7"/>
      <c r="AX4183" s="7"/>
    </row>
    <row r="4184" spans="14:50" x14ac:dyDescent="0.25">
      <c r="N4184" s="3"/>
      <c r="AW4184" s="7"/>
      <c r="AX4184" s="7"/>
    </row>
    <row r="4185" spans="14:50" x14ac:dyDescent="0.25">
      <c r="N4185" s="3"/>
      <c r="AW4185" s="7"/>
      <c r="AX4185" s="7"/>
    </row>
    <row r="4186" spans="14:50" x14ac:dyDescent="0.25">
      <c r="N4186" s="3"/>
      <c r="AW4186" s="7"/>
      <c r="AX4186" s="7"/>
    </row>
    <row r="4187" spans="14:50" x14ac:dyDescent="0.25">
      <c r="N4187" s="3"/>
      <c r="AW4187" s="7"/>
      <c r="AX4187" s="7"/>
    </row>
    <row r="4188" spans="14:50" x14ac:dyDescent="0.25">
      <c r="N4188" s="3"/>
      <c r="AW4188" s="7"/>
      <c r="AX4188" s="7"/>
    </row>
    <row r="4189" spans="14:50" x14ac:dyDescent="0.25">
      <c r="N4189" s="3"/>
      <c r="AW4189" s="7"/>
      <c r="AX4189" s="7"/>
    </row>
    <row r="4190" spans="14:50" x14ac:dyDescent="0.25">
      <c r="N4190" s="3"/>
      <c r="AW4190" s="7"/>
      <c r="AX4190" s="7"/>
    </row>
    <row r="4191" spans="14:50" x14ac:dyDescent="0.25">
      <c r="N4191" s="3"/>
      <c r="AW4191" s="7"/>
      <c r="AX4191" s="7"/>
    </row>
    <row r="4192" spans="14:50" x14ac:dyDescent="0.25">
      <c r="N4192" s="3"/>
      <c r="AW4192" s="7"/>
      <c r="AX4192" s="7"/>
    </row>
    <row r="4193" spans="14:50" x14ac:dyDescent="0.25">
      <c r="N4193" s="3"/>
      <c r="AW4193" s="7"/>
      <c r="AX4193" s="7"/>
    </row>
    <row r="4194" spans="14:50" x14ac:dyDescent="0.25">
      <c r="N4194" s="3"/>
      <c r="AW4194" s="7"/>
      <c r="AX4194" s="7"/>
    </row>
    <row r="4195" spans="14:50" x14ac:dyDescent="0.25">
      <c r="N4195" s="3"/>
      <c r="AW4195" s="7"/>
      <c r="AX4195" s="7"/>
    </row>
    <row r="4196" spans="14:50" x14ac:dyDescent="0.25">
      <c r="N4196" s="3"/>
      <c r="AW4196" s="7"/>
      <c r="AX4196" s="7"/>
    </row>
    <row r="4197" spans="14:50" x14ac:dyDescent="0.25">
      <c r="N4197" s="3"/>
      <c r="AW4197" s="7"/>
      <c r="AX4197" s="7"/>
    </row>
    <row r="4198" spans="14:50" x14ac:dyDescent="0.25">
      <c r="N4198" s="3"/>
      <c r="AW4198" s="7"/>
      <c r="AX4198" s="7"/>
    </row>
    <row r="4199" spans="14:50" x14ac:dyDescent="0.25">
      <c r="N4199" s="3"/>
      <c r="AW4199" s="7"/>
      <c r="AX4199" s="7"/>
    </row>
    <row r="4200" spans="14:50" x14ac:dyDescent="0.25">
      <c r="N4200" s="3"/>
      <c r="AW4200" s="7"/>
      <c r="AX4200" s="7"/>
    </row>
    <row r="4201" spans="14:50" x14ac:dyDescent="0.25">
      <c r="N4201" s="3"/>
      <c r="AW4201" s="7"/>
      <c r="AX4201" s="7"/>
    </row>
    <row r="4202" spans="14:50" x14ac:dyDescent="0.25">
      <c r="N4202" s="3"/>
      <c r="AW4202" s="7"/>
      <c r="AX4202" s="7"/>
    </row>
    <row r="4203" spans="14:50" x14ac:dyDescent="0.25">
      <c r="N4203" s="3"/>
      <c r="AW4203" s="7"/>
      <c r="AX4203" s="7"/>
    </row>
    <row r="4204" spans="14:50" x14ac:dyDescent="0.25">
      <c r="N4204" s="3"/>
      <c r="AW4204" s="7"/>
      <c r="AX4204" s="7"/>
    </row>
    <row r="4205" spans="14:50" x14ac:dyDescent="0.25">
      <c r="N4205" s="3"/>
      <c r="AW4205" s="7"/>
      <c r="AX4205" s="7"/>
    </row>
    <row r="4206" spans="14:50" x14ac:dyDescent="0.25">
      <c r="N4206" s="3"/>
      <c r="AW4206" s="7"/>
      <c r="AX4206" s="7"/>
    </row>
    <row r="4207" spans="14:50" x14ac:dyDescent="0.25">
      <c r="N4207" s="3"/>
      <c r="AW4207" s="7"/>
      <c r="AX4207" s="7"/>
    </row>
    <row r="4208" spans="14:50" x14ac:dyDescent="0.25">
      <c r="N4208" s="3"/>
      <c r="AW4208" s="7"/>
      <c r="AX4208" s="7"/>
    </row>
    <row r="4209" spans="14:50" x14ac:dyDescent="0.25">
      <c r="N4209" s="3"/>
      <c r="AW4209" s="7"/>
      <c r="AX4209" s="7"/>
    </row>
    <row r="4210" spans="14:50" x14ac:dyDescent="0.25">
      <c r="N4210" s="3"/>
      <c r="AW4210" s="7"/>
      <c r="AX4210" s="7"/>
    </row>
    <row r="4211" spans="14:50" x14ac:dyDescent="0.25">
      <c r="N4211" s="3"/>
      <c r="AW4211" s="7"/>
      <c r="AX4211" s="7"/>
    </row>
    <row r="4212" spans="14:50" x14ac:dyDescent="0.25">
      <c r="N4212" s="3"/>
      <c r="AW4212" s="7"/>
      <c r="AX4212" s="7"/>
    </row>
    <row r="4213" spans="14:50" x14ac:dyDescent="0.25">
      <c r="N4213" s="3"/>
      <c r="AW4213" s="7"/>
      <c r="AX4213" s="7"/>
    </row>
    <row r="4214" spans="14:50" x14ac:dyDescent="0.25">
      <c r="N4214" s="3"/>
      <c r="AW4214" s="7"/>
      <c r="AX4214" s="7"/>
    </row>
    <row r="4215" spans="14:50" x14ac:dyDescent="0.25">
      <c r="N4215" s="3"/>
      <c r="AW4215" s="7"/>
      <c r="AX4215" s="7"/>
    </row>
    <row r="4216" spans="14:50" x14ac:dyDescent="0.25">
      <c r="N4216" s="3"/>
      <c r="AW4216" s="7"/>
      <c r="AX4216" s="7"/>
    </row>
    <row r="4217" spans="14:50" x14ac:dyDescent="0.25">
      <c r="N4217" s="3"/>
      <c r="AW4217" s="7"/>
      <c r="AX4217" s="7"/>
    </row>
    <row r="4218" spans="14:50" x14ac:dyDescent="0.25">
      <c r="N4218" s="3"/>
      <c r="AW4218" s="7"/>
      <c r="AX4218" s="7"/>
    </row>
    <row r="4219" spans="14:50" x14ac:dyDescent="0.25">
      <c r="N4219" s="3"/>
      <c r="AW4219" s="7"/>
      <c r="AX4219" s="7"/>
    </row>
    <row r="4220" spans="14:50" x14ac:dyDescent="0.25">
      <c r="N4220" s="3"/>
      <c r="AW4220" s="7"/>
      <c r="AX4220" s="7"/>
    </row>
    <row r="4221" spans="14:50" x14ac:dyDescent="0.25">
      <c r="N4221" s="3"/>
      <c r="AW4221" s="7"/>
      <c r="AX4221" s="7"/>
    </row>
    <row r="4222" spans="14:50" x14ac:dyDescent="0.25">
      <c r="N4222" s="3"/>
      <c r="AW4222" s="7"/>
      <c r="AX4222" s="7"/>
    </row>
    <row r="4223" spans="14:50" x14ac:dyDescent="0.25">
      <c r="N4223" s="3"/>
      <c r="AW4223" s="7"/>
      <c r="AX4223" s="7"/>
    </row>
    <row r="4224" spans="14:50" x14ac:dyDescent="0.25">
      <c r="N4224" s="3"/>
      <c r="AW4224" s="7"/>
      <c r="AX4224" s="7"/>
    </row>
    <row r="4225" spans="14:50" x14ac:dyDescent="0.25">
      <c r="N4225" s="3"/>
      <c r="AW4225" s="7"/>
      <c r="AX4225" s="7"/>
    </row>
    <row r="4226" spans="14:50" x14ac:dyDescent="0.25">
      <c r="N4226" s="3"/>
      <c r="AW4226" s="7"/>
      <c r="AX4226" s="7"/>
    </row>
    <row r="4227" spans="14:50" x14ac:dyDescent="0.25">
      <c r="N4227" s="3"/>
      <c r="AW4227" s="7"/>
      <c r="AX4227" s="7"/>
    </row>
    <row r="4228" spans="14:50" x14ac:dyDescent="0.25">
      <c r="N4228" s="3"/>
      <c r="AW4228" s="7"/>
      <c r="AX4228" s="7"/>
    </row>
    <row r="4229" spans="14:50" x14ac:dyDescent="0.25">
      <c r="N4229" s="3"/>
      <c r="AW4229" s="7"/>
      <c r="AX4229" s="7"/>
    </row>
    <row r="4230" spans="14:50" x14ac:dyDescent="0.25">
      <c r="N4230" s="3"/>
      <c r="AW4230" s="7"/>
      <c r="AX4230" s="7"/>
    </row>
    <row r="4231" spans="14:50" x14ac:dyDescent="0.25">
      <c r="N4231" s="3"/>
      <c r="AW4231" s="7"/>
      <c r="AX4231" s="7"/>
    </row>
    <row r="4232" spans="14:50" x14ac:dyDescent="0.25">
      <c r="N4232" s="3"/>
      <c r="AW4232" s="7"/>
      <c r="AX4232" s="7"/>
    </row>
    <row r="4233" spans="14:50" x14ac:dyDescent="0.25">
      <c r="N4233" s="3"/>
      <c r="AW4233" s="7"/>
      <c r="AX4233" s="7"/>
    </row>
    <row r="4234" spans="14:50" x14ac:dyDescent="0.25">
      <c r="N4234" s="3"/>
      <c r="AW4234" s="7"/>
      <c r="AX4234" s="7"/>
    </row>
    <row r="4235" spans="14:50" x14ac:dyDescent="0.25">
      <c r="N4235" s="3"/>
      <c r="AW4235" s="7"/>
      <c r="AX4235" s="7"/>
    </row>
    <row r="4236" spans="14:50" x14ac:dyDescent="0.25">
      <c r="N4236" s="3"/>
      <c r="AW4236" s="7"/>
      <c r="AX4236" s="7"/>
    </row>
    <row r="4237" spans="14:50" x14ac:dyDescent="0.25">
      <c r="N4237" s="3"/>
      <c r="AW4237" s="7"/>
      <c r="AX4237" s="7"/>
    </row>
    <row r="4238" spans="14:50" x14ac:dyDescent="0.25">
      <c r="N4238" s="3"/>
      <c r="AW4238" s="7"/>
      <c r="AX4238" s="7"/>
    </row>
    <row r="4239" spans="14:50" x14ac:dyDescent="0.25">
      <c r="N4239" s="3"/>
      <c r="AW4239" s="7"/>
      <c r="AX4239" s="7"/>
    </row>
    <row r="4240" spans="14:50" x14ac:dyDescent="0.25">
      <c r="N4240" s="3"/>
      <c r="AW4240" s="7"/>
      <c r="AX4240" s="7"/>
    </row>
    <row r="4241" spans="14:50" x14ac:dyDescent="0.25">
      <c r="N4241" s="3"/>
      <c r="AW4241" s="7"/>
      <c r="AX4241" s="7"/>
    </row>
    <row r="4242" spans="14:50" x14ac:dyDescent="0.25">
      <c r="N4242" s="3"/>
      <c r="AW4242" s="7"/>
      <c r="AX4242" s="7"/>
    </row>
    <row r="4243" spans="14:50" x14ac:dyDescent="0.25">
      <c r="N4243" s="3"/>
      <c r="AW4243" s="7"/>
      <c r="AX4243" s="7"/>
    </row>
    <row r="4244" spans="14:50" x14ac:dyDescent="0.25">
      <c r="N4244" s="3"/>
      <c r="AW4244" s="7"/>
      <c r="AX4244" s="7"/>
    </row>
    <row r="4245" spans="14:50" x14ac:dyDescent="0.25">
      <c r="N4245" s="3"/>
      <c r="AW4245" s="7"/>
      <c r="AX4245" s="7"/>
    </row>
    <row r="4246" spans="14:50" x14ac:dyDescent="0.25">
      <c r="N4246" s="3"/>
      <c r="AW4246" s="7"/>
      <c r="AX4246" s="7"/>
    </row>
    <row r="4247" spans="14:50" x14ac:dyDescent="0.25">
      <c r="N4247" s="3"/>
      <c r="AW4247" s="7"/>
      <c r="AX4247" s="7"/>
    </row>
    <row r="4248" spans="14:50" x14ac:dyDescent="0.25">
      <c r="N4248" s="3"/>
      <c r="AW4248" s="7"/>
      <c r="AX4248" s="7"/>
    </row>
    <row r="4249" spans="14:50" x14ac:dyDescent="0.25">
      <c r="N4249" s="3"/>
      <c r="AW4249" s="7"/>
      <c r="AX4249" s="7"/>
    </row>
    <row r="4250" spans="14:50" x14ac:dyDescent="0.25">
      <c r="N4250" s="3"/>
      <c r="AW4250" s="7"/>
      <c r="AX4250" s="7"/>
    </row>
    <row r="4251" spans="14:50" x14ac:dyDescent="0.25">
      <c r="N4251" s="3"/>
      <c r="AW4251" s="7"/>
      <c r="AX4251" s="7"/>
    </row>
    <row r="4252" spans="14:50" x14ac:dyDescent="0.25">
      <c r="N4252" s="3"/>
      <c r="AW4252" s="7"/>
      <c r="AX4252" s="7"/>
    </row>
    <row r="4253" spans="14:50" x14ac:dyDescent="0.25">
      <c r="N4253" s="3"/>
      <c r="AW4253" s="7"/>
      <c r="AX4253" s="7"/>
    </row>
    <row r="4254" spans="14:50" x14ac:dyDescent="0.25">
      <c r="N4254" s="3"/>
      <c r="AW4254" s="7"/>
      <c r="AX4254" s="7"/>
    </row>
    <row r="4255" spans="14:50" x14ac:dyDescent="0.25">
      <c r="N4255" s="3"/>
      <c r="AW4255" s="7"/>
      <c r="AX4255" s="7"/>
    </row>
    <row r="4256" spans="14:50" x14ac:dyDescent="0.25">
      <c r="N4256" s="3"/>
      <c r="AW4256" s="7"/>
      <c r="AX4256" s="7"/>
    </row>
    <row r="4257" spans="14:50" x14ac:dyDescent="0.25">
      <c r="N4257" s="3"/>
      <c r="AW4257" s="7"/>
      <c r="AX4257" s="7"/>
    </row>
    <row r="4258" spans="14:50" x14ac:dyDescent="0.25">
      <c r="N4258" s="3"/>
      <c r="AW4258" s="7"/>
      <c r="AX4258" s="7"/>
    </row>
    <row r="4259" spans="14:50" x14ac:dyDescent="0.25">
      <c r="N4259" s="3"/>
      <c r="AW4259" s="7"/>
      <c r="AX4259" s="7"/>
    </row>
    <row r="4260" spans="14:50" x14ac:dyDescent="0.25">
      <c r="N4260" s="3"/>
      <c r="AW4260" s="7"/>
      <c r="AX4260" s="7"/>
    </row>
    <row r="4261" spans="14:50" x14ac:dyDescent="0.25">
      <c r="N4261" s="3"/>
      <c r="AW4261" s="7"/>
      <c r="AX4261" s="7"/>
    </row>
    <row r="4262" spans="14:50" x14ac:dyDescent="0.25">
      <c r="N4262" s="3"/>
      <c r="AW4262" s="7"/>
      <c r="AX4262" s="7"/>
    </row>
    <row r="4263" spans="14:50" x14ac:dyDescent="0.25">
      <c r="N4263" s="3"/>
      <c r="AW4263" s="7"/>
      <c r="AX4263" s="7"/>
    </row>
    <row r="4264" spans="14:50" x14ac:dyDescent="0.25">
      <c r="N4264" s="3"/>
      <c r="AW4264" s="7"/>
      <c r="AX4264" s="7"/>
    </row>
    <row r="4265" spans="14:50" x14ac:dyDescent="0.25">
      <c r="N4265" s="3"/>
      <c r="AW4265" s="7"/>
      <c r="AX4265" s="7"/>
    </row>
    <row r="4266" spans="14:50" x14ac:dyDescent="0.25">
      <c r="N4266" s="3"/>
      <c r="AW4266" s="7"/>
      <c r="AX4266" s="7"/>
    </row>
    <row r="4267" spans="14:50" x14ac:dyDescent="0.25">
      <c r="N4267" s="3"/>
      <c r="AW4267" s="7"/>
      <c r="AX4267" s="7"/>
    </row>
    <row r="4268" spans="14:50" x14ac:dyDescent="0.25">
      <c r="N4268" s="3"/>
      <c r="AW4268" s="7"/>
      <c r="AX4268" s="7"/>
    </row>
    <row r="4269" spans="14:50" x14ac:dyDescent="0.25">
      <c r="N4269" s="3"/>
      <c r="AW4269" s="7"/>
      <c r="AX4269" s="7"/>
    </row>
    <row r="4270" spans="14:50" x14ac:dyDescent="0.25">
      <c r="N4270" s="3"/>
      <c r="AW4270" s="7"/>
      <c r="AX4270" s="7"/>
    </row>
    <row r="4271" spans="14:50" x14ac:dyDescent="0.25">
      <c r="N4271" s="3"/>
      <c r="AW4271" s="7"/>
      <c r="AX4271" s="7"/>
    </row>
    <row r="4272" spans="14:50" x14ac:dyDescent="0.25">
      <c r="N4272" s="3"/>
      <c r="AW4272" s="7"/>
      <c r="AX4272" s="7"/>
    </row>
    <row r="4273" spans="14:50" x14ac:dyDescent="0.25">
      <c r="N4273" s="3"/>
      <c r="AW4273" s="7"/>
      <c r="AX4273" s="7"/>
    </row>
    <row r="4274" spans="14:50" x14ac:dyDescent="0.25">
      <c r="N4274" s="3"/>
      <c r="AW4274" s="7"/>
      <c r="AX4274" s="7"/>
    </row>
    <row r="4275" spans="14:50" x14ac:dyDescent="0.25">
      <c r="N4275" s="3"/>
      <c r="AW4275" s="7"/>
      <c r="AX4275" s="7"/>
    </row>
    <row r="4276" spans="14:50" x14ac:dyDescent="0.25">
      <c r="N4276" s="3"/>
      <c r="AW4276" s="7"/>
      <c r="AX4276" s="7"/>
    </row>
    <row r="4277" spans="14:50" x14ac:dyDescent="0.25">
      <c r="N4277" s="3"/>
      <c r="AW4277" s="7"/>
      <c r="AX4277" s="7"/>
    </row>
    <row r="4278" spans="14:50" x14ac:dyDescent="0.25">
      <c r="N4278" s="3"/>
      <c r="AW4278" s="7"/>
      <c r="AX4278" s="7"/>
    </row>
    <row r="4279" spans="14:50" x14ac:dyDescent="0.25">
      <c r="N4279" s="3"/>
      <c r="AW4279" s="7"/>
      <c r="AX4279" s="7"/>
    </row>
    <row r="4280" spans="14:50" x14ac:dyDescent="0.25">
      <c r="N4280" s="3"/>
      <c r="AW4280" s="7"/>
      <c r="AX4280" s="7"/>
    </row>
    <row r="4281" spans="14:50" x14ac:dyDescent="0.25">
      <c r="N4281" s="3"/>
      <c r="AW4281" s="7"/>
      <c r="AX4281" s="7"/>
    </row>
    <row r="4282" spans="14:50" x14ac:dyDescent="0.25">
      <c r="N4282" s="3"/>
      <c r="AW4282" s="7"/>
      <c r="AX4282" s="7"/>
    </row>
    <row r="4283" spans="14:50" x14ac:dyDescent="0.25">
      <c r="N4283" s="3"/>
      <c r="AW4283" s="7"/>
      <c r="AX4283" s="7"/>
    </row>
    <row r="4284" spans="14:50" x14ac:dyDescent="0.25">
      <c r="N4284" s="3"/>
      <c r="AW4284" s="7"/>
      <c r="AX4284" s="7"/>
    </row>
    <row r="4285" spans="14:50" x14ac:dyDescent="0.25">
      <c r="N4285" s="3"/>
      <c r="AW4285" s="7"/>
      <c r="AX4285" s="7"/>
    </row>
    <row r="4286" spans="14:50" x14ac:dyDescent="0.25">
      <c r="N4286" s="3"/>
      <c r="AW4286" s="7"/>
      <c r="AX4286" s="7"/>
    </row>
    <row r="4287" spans="14:50" x14ac:dyDescent="0.25">
      <c r="N4287" s="3"/>
      <c r="AW4287" s="7"/>
      <c r="AX4287" s="7"/>
    </row>
    <row r="4288" spans="14:50" x14ac:dyDescent="0.25">
      <c r="N4288" s="3"/>
      <c r="AW4288" s="7"/>
      <c r="AX4288" s="7"/>
    </row>
    <row r="4289" spans="14:50" x14ac:dyDescent="0.25">
      <c r="N4289" s="3"/>
      <c r="AW4289" s="7"/>
      <c r="AX4289" s="7"/>
    </row>
    <row r="4290" spans="14:50" x14ac:dyDescent="0.25">
      <c r="N4290" s="3"/>
      <c r="AW4290" s="7"/>
      <c r="AX4290" s="7"/>
    </row>
    <row r="4291" spans="14:50" x14ac:dyDescent="0.25">
      <c r="N4291" s="3"/>
      <c r="AW4291" s="7"/>
      <c r="AX4291" s="7"/>
    </row>
    <row r="4292" spans="14:50" x14ac:dyDescent="0.25">
      <c r="N4292" s="3"/>
      <c r="AW4292" s="7"/>
      <c r="AX4292" s="7"/>
    </row>
    <row r="4293" spans="14:50" x14ac:dyDescent="0.25">
      <c r="N4293" s="3"/>
      <c r="AW4293" s="7"/>
      <c r="AX4293" s="7"/>
    </row>
    <row r="4294" spans="14:50" x14ac:dyDescent="0.25">
      <c r="N4294" s="3"/>
      <c r="AW4294" s="7"/>
      <c r="AX4294" s="7"/>
    </row>
    <row r="4295" spans="14:50" x14ac:dyDescent="0.25">
      <c r="N4295" s="3"/>
      <c r="AW4295" s="7"/>
      <c r="AX4295" s="7"/>
    </row>
    <row r="4296" spans="14:50" x14ac:dyDescent="0.25">
      <c r="N4296" s="3"/>
      <c r="AW4296" s="7"/>
      <c r="AX4296" s="7"/>
    </row>
    <row r="4297" spans="14:50" x14ac:dyDescent="0.25">
      <c r="N4297" s="3"/>
      <c r="AW4297" s="7"/>
      <c r="AX4297" s="7"/>
    </row>
    <row r="4298" spans="14:50" x14ac:dyDescent="0.25">
      <c r="N4298" s="3"/>
      <c r="AW4298" s="7"/>
      <c r="AX4298" s="7"/>
    </row>
    <row r="4299" spans="14:50" x14ac:dyDescent="0.25">
      <c r="N4299" s="3"/>
      <c r="AW4299" s="7"/>
      <c r="AX4299" s="7"/>
    </row>
    <row r="4300" spans="14:50" x14ac:dyDescent="0.25">
      <c r="N4300" s="3"/>
      <c r="AW4300" s="7"/>
      <c r="AX4300" s="7"/>
    </row>
    <row r="4301" spans="14:50" x14ac:dyDescent="0.25">
      <c r="N4301" s="3"/>
      <c r="AW4301" s="7"/>
      <c r="AX4301" s="7"/>
    </row>
    <row r="4302" spans="14:50" x14ac:dyDescent="0.25">
      <c r="N4302" s="3"/>
      <c r="AW4302" s="7"/>
      <c r="AX4302" s="7"/>
    </row>
    <row r="4303" spans="14:50" x14ac:dyDescent="0.25">
      <c r="N4303" s="3"/>
      <c r="AW4303" s="7"/>
      <c r="AX4303" s="7"/>
    </row>
    <row r="4304" spans="14:50" x14ac:dyDescent="0.25">
      <c r="N4304" s="3"/>
      <c r="AW4304" s="7"/>
      <c r="AX4304" s="7"/>
    </row>
    <row r="4305" spans="14:50" x14ac:dyDescent="0.25">
      <c r="N4305" s="3"/>
      <c r="AW4305" s="7"/>
      <c r="AX4305" s="7"/>
    </row>
    <row r="4306" spans="14:50" x14ac:dyDescent="0.25">
      <c r="N4306" s="3"/>
      <c r="AW4306" s="7"/>
      <c r="AX4306" s="7"/>
    </row>
    <row r="4307" spans="14:50" x14ac:dyDescent="0.25">
      <c r="N4307" s="3"/>
      <c r="AW4307" s="7"/>
      <c r="AX4307" s="7"/>
    </row>
    <row r="4308" spans="14:50" x14ac:dyDescent="0.25">
      <c r="N4308" s="3"/>
      <c r="AW4308" s="7"/>
      <c r="AX4308" s="7"/>
    </row>
    <row r="4309" spans="14:50" x14ac:dyDescent="0.25">
      <c r="N4309" s="3"/>
      <c r="AW4309" s="7"/>
      <c r="AX4309" s="7"/>
    </row>
    <row r="4310" spans="14:50" x14ac:dyDescent="0.25">
      <c r="N4310" s="3"/>
      <c r="AW4310" s="7"/>
      <c r="AX4310" s="7"/>
    </row>
    <row r="4311" spans="14:50" x14ac:dyDescent="0.25">
      <c r="N4311" s="3"/>
      <c r="AW4311" s="7"/>
      <c r="AX4311" s="7"/>
    </row>
    <row r="4312" spans="14:50" x14ac:dyDescent="0.25">
      <c r="N4312" s="3"/>
      <c r="AW4312" s="7"/>
      <c r="AX4312" s="7"/>
    </row>
    <row r="4313" spans="14:50" x14ac:dyDescent="0.25">
      <c r="N4313" s="3"/>
      <c r="AW4313" s="7"/>
      <c r="AX4313" s="7"/>
    </row>
    <row r="4314" spans="14:50" x14ac:dyDescent="0.25">
      <c r="N4314" s="3"/>
      <c r="AW4314" s="7"/>
      <c r="AX4314" s="7"/>
    </row>
    <row r="4315" spans="14:50" x14ac:dyDescent="0.25">
      <c r="N4315" s="3"/>
      <c r="AW4315" s="7"/>
      <c r="AX4315" s="7"/>
    </row>
    <row r="4316" spans="14:50" x14ac:dyDescent="0.25">
      <c r="N4316" s="3"/>
      <c r="AW4316" s="7"/>
      <c r="AX4316" s="7"/>
    </row>
    <row r="4317" spans="14:50" x14ac:dyDescent="0.25">
      <c r="N4317" s="3"/>
      <c r="AW4317" s="7"/>
      <c r="AX4317" s="7"/>
    </row>
    <row r="4318" spans="14:50" x14ac:dyDescent="0.25">
      <c r="N4318" s="3"/>
      <c r="AW4318" s="7"/>
      <c r="AX4318" s="7"/>
    </row>
    <row r="4319" spans="14:50" x14ac:dyDescent="0.25">
      <c r="N4319" s="3"/>
      <c r="AW4319" s="7"/>
      <c r="AX4319" s="7"/>
    </row>
    <row r="4320" spans="14:50" x14ac:dyDescent="0.25">
      <c r="N4320" s="3"/>
      <c r="AW4320" s="7"/>
      <c r="AX4320" s="7"/>
    </row>
    <row r="4321" spans="14:50" x14ac:dyDescent="0.25">
      <c r="N4321" s="3"/>
      <c r="AW4321" s="7"/>
      <c r="AX4321" s="7"/>
    </row>
    <row r="4322" spans="14:50" x14ac:dyDescent="0.25">
      <c r="N4322" s="3"/>
      <c r="AW4322" s="7"/>
      <c r="AX4322" s="7"/>
    </row>
    <row r="4323" spans="14:50" x14ac:dyDescent="0.25">
      <c r="N4323" s="3"/>
      <c r="AW4323" s="7"/>
      <c r="AX4323" s="7"/>
    </row>
    <row r="4324" spans="14:50" x14ac:dyDescent="0.25">
      <c r="N4324" s="3"/>
      <c r="AW4324" s="7"/>
      <c r="AX4324" s="7"/>
    </row>
    <row r="4325" spans="14:50" x14ac:dyDescent="0.25">
      <c r="N4325" s="3"/>
      <c r="AW4325" s="7"/>
      <c r="AX4325" s="7"/>
    </row>
    <row r="4326" spans="14:50" x14ac:dyDescent="0.25">
      <c r="N4326" s="3"/>
      <c r="AW4326" s="7"/>
      <c r="AX4326" s="7"/>
    </row>
    <row r="4327" spans="14:50" x14ac:dyDescent="0.25">
      <c r="N4327" s="3"/>
      <c r="AW4327" s="7"/>
      <c r="AX4327" s="7"/>
    </row>
    <row r="4328" spans="14:50" x14ac:dyDescent="0.25">
      <c r="N4328" s="3"/>
      <c r="AW4328" s="7"/>
      <c r="AX4328" s="7"/>
    </row>
    <row r="4329" spans="14:50" x14ac:dyDescent="0.25">
      <c r="N4329" s="3"/>
      <c r="AW4329" s="7"/>
      <c r="AX4329" s="7"/>
    </row>
    <row r="4330" spans="14:50" x14ac:dyDescent="0.25">
      <c r="N4330" s="3"/>
      <c r="AW4330" s="7"/>
      <c r="AX4330" s="7"/>
    </row>
    <row r="4331" spans="14:50" x14ac:dyDescent="0.25">
      <c r="N4331" s="3"/>
      <c r="AW4331" s="7"/>
      <c r="AX4331" s="7"/>
    </row>
    <row r="4332" spans="14:50" x14ac:dyDescent="0.25">
      <c r="N4332" s="3"/>
      <c r="AW4332" s="7"/>
      <c r="AX4332" s="7"/>
    </row>
    <row r="4333" spans="14:50" x14ac:dyDescent="0.25">
      <c r="N4333" s="3"/>
      <c r="AW4333" s="7"/>
      <c r="AX4333" s="7"/>
    </row>
    <row r="4334" spans="14:50" x14ac:dyDescent="0.25">
      <c r="N4334" s="3"/>
      <c r="AW4334" s="7"/>
      <c r="AX4334" s="7"/>
    </row>
    <row r="4335" spans="14:50" x14ac:dyDescent="0.25">
      <c r="N4335" s="3"/>
      <c r="AW4335" s="7"/>
      <c r="AX4335" s="7"/>
    </row>
    <row r="4336" spans="14:50" x14ac:dyDescent="0.25">
      <c r="N4336" s="3"/>
      <c r="AW4336" s="7"/>
      <c r="AX4336" s="7"/>
    </row>
    <row r="4337" spans="14:50" x14ac:dyDescent="0.25">
      <c r="N4337" s="3"/>
      <c r="AW4337" s="7"/>
      <c r="AX4337" s="7"/>
    </row>
    <row r="4338" spans="14:50" x14ac:dyDescent="0.25">
      <c r="N4338" s="3"/>
      <c r="AW4338" s="7"/>
      <c r="AX4338" s="7"/>
    </row>
    <row r="4339" spans="14:50" x14ac:dyDescent="0.25">
      <c r="N4339" s="3"/>
      <c r="AW4339" s="7"/>
      <c r="AX4339" s="7"/>
    </row>
    <row r="4340" spans="14:50" x14ac:dyDescent="0.25">
      <c r="N4340" s="3"/>
      <c r="AW4340" s="7"/>
      <c r="AX4340" s="7"/>
    </row>
    <row r="4341" spans="14:50" x14ac:dyDescent="0.25">
      <c r="N4341" s="3"/>
      <c r="AW4341" s="7"/>
      <c r="AX4341" s="7"/>
    </row>
    <row r="4342" spans="14:50" x14ac:dyDescent="0.25">
      <c r="N4342" s="3"/>
      <c r="AW4342" s="7"/>
      <c r="AX4342" s="7"/>
    </row>
    <row r="4343" spans="14:50" x14ac:dyDescent="0.25">
      <c r="N4343" s="3"/>
      <c r="AW4343" s="7"/>
      <c r="AX4343" s="7"/>
    </row>
    <row r="4344" spans="14:50" x14ac:dyDescent="0.25">
      <c r="N4344" s="3"/>
      <c r="AW4344" s="7"/>
      <c r="AX4344" s="7"/>
    </row>
    <row r="4345" spans="14:50" x14ac:dyDescent="0.25">
      <c r="N4345" s="3"/>
      <c r="AW4345" s="7"/>
      <c r="AX4345" s="7"/>
    </row>
    <row r="4346" spans="14:50" x14ac:dyDescent="0.25">
      <c r="N4346" s="3"/>
      <c r="AW4346" s="7"/>
      <c r="AX4346" s="7"/>
    </row>
    <row r="4347" spans="14:50" x14ac:dyDescent="0.25">
      <c r="N4347" s="3"/>
      <c r="AW4347" s="7"/>
      <c r="AX4347" s="7"/>
    </row>
    <row r="4348" spans="14:50" x14ac:dyDescent="0.25">
      <c r="N4348" s="3"/>
      <c r="AW4348" s="7"/>
      <c r="AX4348" s="7"/>
    </row>
    <row r="4349" spans="14:50" x14ac:dyDescent="0.25">
      <c r="N4349" s="3"/>
      <c r="AW4349" s="7"/>
      <c r="AX4349" s="7"/>
    </row>
    <row r="4350" spans="14:50" x14ac:dyDescent="0.25">
      <c r="N4350" s="3"/>
      <c r="AW4350" s="7"/>
      <c r="AX4350" s="7"/>
    </row>
    <row r="4351" spans="14:50" x14ac:dyDescent="0.25">
      <c r="N4351" s="3"/>
      <c r="AW4351" s="7"/>
      <c r="AX4351" s="7"/>
    </row>
    <row r="4352" spans="14:50" x14ac:dyDescent="0.25">
      <c r="N4352" s="3"/>
      <c r="AW4352" s="7"/>
      <c r="AX4352" s="7"/>
    </row>
    <row r="4353" spans="14:50" x14ac:dyDescent="0.25">
      <c r="N4353" s="3"/>
      <c r="AW4353" s="7"/>
      <c r="AX4353" s="7"/>
    </row>
    <row r="4354" spans="14:50" x14ac:dyDescent="0.25">
      <c r="N4354" s="3"/>
      <c r="AW4354" s="7"/>
      <c r="AX4354" s="7"/>
    </row>
    <row r="4355" spans="14:50" x14ac:dyDescent="0.25">
      <c r="N4355" s="3"/>
      <c r="AW4355" s="7"/>
      <c r="AX4355" s="7"/>
    </row>
    <row r="4356" spans="14:50" x14ac:dyDescent="0.25">
      <c r="N4356" s="3"/>
      <c r="AW4356" s="7"/>
      <c r="AX4356" s="7"/>
    </row>
    <row r="4357" spans="14:50" x14ac:dyDescent="0.25">
      <c r="N4357" s="3"/>
      <c r="AW4357" s="7"/>
      <c r="AX4357" s="7"/>
    </row>
    <row r="4358" spans="14:50" x14ac:dyDescent="0.25">
      <c r="N4358" s="3"/>
      <c r="AW4358" s="7"/>
      <c r="AX4358" s="7"/>
    </row>
    <row r="4359" spans="14:50" x14ac:dyDescent="0.25">
      <c r="N4359" s="3"/>
      <c r="AW4359" s="7"/>
      <c r="AX4359" s="7"/>
    </row>
    <row r="4360" spans="14:50" x14ac:dyDescent="0.25">
      <c r="N4360" s="3"/>
      <c r="AW4360" s="7"/>
      <c r="AX4360" s="7"/>
    </row>
    <row r="4361" spans="14:50" x14ac:dyDescent="0.25">
      <c r="N4361" s="3"/>
      <c r="AW4361" s="7"/>
      <c r="AX4361" s="7"/>
    </row>
    <row r="4362" spans="14:50" x14ac:dyDescent="0.25">
      <c r="N4362" s="3"/>
      <c r="AW4362" s="7"/>
      <c r="AX4362" s="7"/>
    </row>
    <row r="4363" spans="14:50" x14ac:dyDescent="0.25">
      <c r="N4363" s="3"/>
      <c r="AW4363" s="7"/>
      <c r="AX4363" s="7"/>
    </row>
    <row r="4364" spans="14:50" x14ac:dyDescent="0.25">
      <c r="N4364" s="3"/>
      <c r="AW4364" s="7"/>
      <c r="AX4364" s="7"/>
    </row>
    <row r="4365" spans="14:50" x14ac:dyDescent="0.25">
      <c r="N4365" s="3"/>
      <c r="AW4365" s="7"/>
      <c r="AX4365" s="7"/>
    </row>
    <row r="4366" spans="14:50" x14ac:dyDescent="0.25">
      <c r="N4366" s="3"/>
      <c r="AW4366" s="7"/>
      <c r="AX4366" s="7"/>
    </row>
    <row r="4367" spans="14:50" x14ac:dyDescent="0.25">
      <c r="N4367" s="3"/>
      <c r="AW4367" s="7"/>
      <c r="AX4367" s="7"/>
    </row>
    <row r="4368" spans="14:50" x14ac:dyDescent="0.25">
      <c r="N4368" s="3"/>
      <c r="AW4368" s="7"/>
      <c r="AX4368" s="7"/>
    </row>
    <row r="4369" spans="14:50" x14ac:dyDescent="0.25">
      <c r="N4369" s="3"/>
      <c r="AW4369" s="7"/>
      <c r="AX4369" s="7"/>
    </row>
    <row r="4370" spans="14:50" x14ac:dyDescent="0.25">
      <c r="N4370" s="3"/>
      <c r="AW4370" s="7"/>
      <c r="AX4370" s="7"/>
    </row>
    <row r="4371" spans="14:50" x14ac:dyDescent="0.25">
      <c r="N4371" s="3"/>
      <c r="AW4371" s="7"/>
      <c r="AX4371" s="7"/>
    </row>
    <row r="4372" spans="14:50" x14ac:dyDescent="0.25">
      <c r="N4372" s="3"/>
      <c r="AW4372" s="7"/>
      <c r="AX4372" s="7"/>
    </row>
    <row r="4373" spans="14:50" x14ac:dyDescent="0.25">
      <c r="N4373" s="3"/>
      <c r="AW4373" s="7"/>
      <c r="AX4373" s="7"/>
    </row>
    <row r="4374" spans="14:50" x14ac:dyDescent="0.25">
      <c r="N4374" s="3"/>
      <c r="AW4374" s="7"/>
      <c r="AX4374" s="7"/>
    </row>
    <row r="4375" spans="14:50" x14ac:dyDescent="0.25">
      <c r="N4375" s="3"/>
      <c r="AW4375" s="7"/>
      <c r="AX4375" s="7"/>
    </row>
    <row r="4376" spans="14:50" x14ac:dyDescent="0.25">
      <c r="N4376" s="3"/>
      <c r="AW4376" s="7"/>
      <c r="AX4376" s="7"/>
    </row>
    <row r="4377" spans="14:50" x14ac:dyDescent="0.25">
      <c r="N4377" s="3"/>
      <c r="AW4377" s="7"/>
      <c r="AX4377" s="7"/>
    </row>
    <row r="4378" spans="14:50" x14ac:dyDescent="0.25">
      <c r="N4378" s="3"/>
      <c r="AW4378" s="7"/>
      <c r="AX4378" s="7"/>
    </row>
    <row r="4379" spans="14:50" x14ac:dyDescent="0.25">
      <c r="N4379" s="3"/>
      <c r="AW4379" s="7"/>
      <c r="AX4379" s="7"/>
    </row>
    <row r="4380" spans="14:50" x14ac:dyDescent="0.25">
      <c r="N4380" s="3"/>
      <c r="AW4380" s="7"/>
      <c r="AX4380" s="7"/>
    </row>
    <row r="4381" spans="14:50" x14ac:dyDescent="0.25">
      <c r="N4381" s="3"/>
      <c r="AW4381" s="7"/>
      <c r="AX4381" s="7"/>
    </row>
    <row r="4382" spans="14:50" x14ac:dyDescent="0.25">
      <c r="N4382" s="3"/>
      <c r="AW4382" s="7"/>
      <c r="AX4382" s="7"/>
    </row>
    <row r="4383" spans="14:50" x14ac:dyDescent="0.25">
      <c r="N4383" s="3"/>
      <c r="AW4383" s="7"/>
      <c r="AX4383" s="7"/>
    </row>
    <row r="4384" spans="14:50" x14ac:dyDescent="0.25">
      <c r="N4384" s="3"/>
      <c r="AW4384" s="7"/>
      <c r="AX4384" s="7"/>
    </row>
    <row r="4385" spans="14:50" x14ac:dyDescent="0.25">
      <c r="N4385" s="3"/>
      <c r="AW4385" s="7"/>
      <c r="AX4385" s="7"/>
    </row>
    <row r="4386" spans="14:50" x14ac:dyDescent="0.25">
      <c r="N4386" s="3"/>
      <c r="AW4386" s="7"/>
      <c r="AX4386" s="7"/>
    </row>
    <row r="4387" spans="14:50" x14ac:dyDescent="0.25">
      <c r="N4387" s="3"/>
      <c r="AW4387" s="7"/>
      <c r="AX4387" s="7"/>
    </row>
    <row r="4388" spans="14:50" x14ac:dyDescent="0.25">
      <c r="N4388" s="3"/>
      <c r="AW4388" s="7"/>
      <c r="AX4388" s="7"/>
    </row>
    <row r="4389" spans="14:50" x14ac:dyDescent="0.25">
      <c r="N4389" s="3"/>
      <c r="AW4389" s="7"/>
      <c r="AX4389" s="7"/>
    </row>
    <row r="4390" spans="14:50" x14ac:dyDescent="0.25">
      <c r="N4390" s="3"/>
      <c r="AW4390" s="7"/>
      <c r="AX4390" s="7"/>
    </row>
    <row r="4391" spans="14:50" x14ac:dyDescent="0.25">
      <c r="N4391" s="3"/>
      <c r="AW4391" s="7"/>
      <c r="AX4391" s="7"/>
    </row>
    <row r="4392" spans="14:50" x14ac:dyDescent="0.25">
      <c r="N4392" s="3"/>
      <c r="AW4392" s="7"/>
      <c r="AX4392" s="7"/>
    </row>
    <row r="4393" spans="14:50" x14ac:dyDescent="0.25">
      <c r="N4393" s="3"/>
      <c r="AW4393" s="7"/>
      <c r="AX4393" s="7"/>
    </row>
    <row r="4394" spans="14:50" x14ac:dyDescent="0.25">
      <c r="N4394" s="3"/>
      <c r="AW4394" s="7"/>
      <c r="AX4394" s="7"/>
    </row>
    <row r="4395" spans="14:50" x14ac:dyDescent="0.25">
      <c r="N4395" s="3"/>
      <c r="AW4395" s="7"/>
      <c r="AX4395" s="7"/>
    </row>
    <row r="4396" spans="14:50" x14ac:dyDescent="0.25">
      <c r="N4396" s="3"/>
      <c r="AW4396" s="7"/>
      <c r="AX4396" s="7"/>
    </row>
    <row r="4397" spans="14:50" x14ac:dyDescent="0.25">
      <c r="N4397" s="3"/>
      <c r="AW4397" s="7"/>
      <c r="AX4397" s="7"/>
    </row>
    <row r="4398" spans="14:50" x14ac:dyDescent="0.25">
      <c r="N4398" s="3"/>
      <c r="AW4398" s="7"/>
      <c r="AX4398" s="7"/>
    </row>
    <row r="4399" spans="14:50" x14ac:dyDescent="0.25">
      <c r="N4399" s="3"/>
      <c r="AW4399" s="7"/>
      <c r="AX4399" s="7"/>
    </row>
    <row r="4400" spans="14:50" x14ac:dyDescent="0.25">
      <c r="N4400" s="3"/>
      <c r="AW4400" s="7"/>
      <c r="AX4400" s="7"/>
    </row>
    <row r="4401" spans="14:50" x14ac:dyDescent="0.25">
      <c r="N4401" s="3"/>
      <c r="AW4401" s="7"/>
      <c r="AX4401" s="7"/>
    </row>
    <row r="4402" spans="14:50" x14ac:dyDescent="0.25">
      <c r="N4402" s="3"/>
      <c r="AW4402" s="7"/>
      <c r="AX4402" s="7"/>
    </row>
    <row r="4403" spans="14:50" x14ac:dyDescent="0.25">
      <c r="N4403" s="3"/>
      <c r="AW4403" s="7"/>
      <c r="AX4403" s="7"/>
    </row>
    <row r="4404" spans="14:50" x14ac:dyDescent="0.25">
      <c r="N4404" s="3"/>
      <c r="AW4404" s="7"/>
      <c r="AX4404" s="7"/>
    </row>
    <row r="4405" spans="14:50" x14ac:dyDescent="0.25">
      <c r="N4405" s="3"/>
      <c r="AW4405" s="7"/>
      <c r="AX4405" s="7"/>
    </row>
    <row r="4406" spans="14:50" x14ac:dyDescent="0.25">
      <c r="N4406" s="3"/>
      <c r="AW4406" s="7"/>
      <c r="AX4406" s="7"/>
    </row>
    <row r="4407" spans="14:50" x14ac:dyDescent="0.25">
      <c r="N4407" s="3"/>
      <c r="AW4407" s="7"/>
      <c r="AX4407" s="7"/>
    </row>
    <row r="4408" spans="14:50" x14ac:dyDescent="0.25">
      <c r="N4408" s="3"/>
      <c r="AW4408" s="7"/>
      <c r="AX4408" s="7"/>
    </row>
    <row r="4409" spans="14:50" x14ac:dyDescent="0.25">
      <c r="N4409" s="3"/>
      <c r="AW4409" s="7"/>
      <c r="AX4409" s="7"/>
    </row>
    <row r="4410" spans="14:50" x14ac:dyDescent="0.25">
      <c r="N4410" s="3"/>
      <c r="AW4410" s="7"/>
      <c r="AX4410" s="7"/>
    </row>
    <row r="4411" spans="14:50" x14ac:dyDescent="0.25">
      <c r="N4411" s="3"/>
      <c r="AW4411" s="7"/>
      <c r="AX4411" s="7"/>
    </row>
    <row r="4412" spans="14:50" x14ac:dyDescent="0.25">
      <c r="N4412" s="3"/>
      <c r="AW4412" s="7"/>
      <c r="AX4412" s="7"/>
    </row>
    <row r="4413" spans="14:50" x14ac:dyDescent="0.25">
      <c r="N4413" s="3"/>
      <c r="AW4413" s="7"/>
      <c r="AX4413" s="7"/>
    </row>
    <row r="4414" spans="14:50" x14ac:dyDescent="0.25">
      <c r="N4414" s="3"/>
      <c r="AW4414" s="7"/>
      <c r="AX4414" s="7"/>
    </row>
    <row r="4415" spans="14:50" x14ac:dyDescent="0.25">
      <c r="N4415" s="3"/>
      <c r="AW4415" s="7"/>
      <c r="AX4415" s="7"/>
    </row>
    <row r="4416" spans="14:50" x14ac:dyDescent="0.25">
      <c r="N4416" s="3"/>
      <c r="AW4416" s="7"/>
      <c r="AX4416" s="7"/>
    </row>
    <row r="4417" spans="14:50" x14ac:dyDescent="0.25">
      <c r="N4417" s="3"/>
      <c r="AW4417" s="7"/>
      <c r="AX4417" s="7"/>
    </row>
    <row r="4418" spans="14:50" x14ac:dyDescent="0.25">
      <c r="N4418" s="3"/>
      <c r="AW4418" s="7"/>
      <c r="AX4418" s="7"/>
    </row>
    <row r="4419" spans="14:50" x14ac:dyDescent="0.25">
      <c r="N4419" s="3"/>
      <c r="AW4419" s="7"/>
      <c r="AX4419" s="7"/>
    </row>
    <row r="4420" spans="14:50" x14ac:dyDescent="0.25">
      <c r="N4420" s="3"/>
      <c r="AW4420" s="7"/>
      <c r="AX4420" s="7"/>
    </row>
    <row r="4421" spans="14:50" x14ac:dyDescent="0.25">
      <c r="N4421" s="3"/>
      <c r="AW4421" s="7"/>
      <c r="AX4421" s="7"/>
    </row>
    <row r="4422" spans="14:50" x14ac:dyDescent="0.25">
      <c r="N4422" s="3"/>
      <c r="AW4422" s="7"/>
      <c r="AX4422" s="7"/>
    </row>
    <row r="4423" spans="14:50" x14ac:dyDescent="0.25">
      <c r="N4423" s="3"/>
      <c r="AW4423" s="7"/>
      <c r="AX4423" s="7"/>
    </row>
    <row r="4424" spans="14:50" x14ac:dyDescent="0.25">
      <c r="N4424" s="3"/>
      <c r="AW4424" s="7"/>
      <c r="AX4424" s="7"/>
    </row>
    <row r="4425" spans="14:50" x14ac:dyDescent="0.25">
      <c r="N4425" s="3"/>
      <c r="AW4425" s="7"/>
      <c r="AX4425" s="7"/>
    </row>
    <row r="4426" spans="14:50" x14ac:dyDescent="0.25">
      <c r="N4426" s="3"/>
      <c r="AW4426" s="7"/>
      <c r="AX4426" s="7"/>
    </row>
    <row r="4427" spans="14:50" x14ac:dyDescent="0.25">
      <c r="N4427" s="3"/>
      <c r="AW4427" s="7"/>
      <c r="AX4427" s="7"/>
    </row>
    <row r="4428" spans="14:50" x14ac:dyDescent="0.25">
      <c r="N4428" s="3"/>
      <c r="AW4428" s="7"/>
      <c r="AX4428" s="7"/>
    </row>
    <row r="4429" spans="14:50" x14ac:dyDescent="0.25">
      <c r="N4429" s="3"/>
      <c r="AW4429" s="7"/>
      <c r="AX4429" s="7"/>
    </row>
    <row r="4430" spans="14:50" x14ac:dyDescent="0.25">
      <c r="N4430" s="3"/>
      <c r="AW4430" s="7"/>
      <c r="AX4430" s="7"/>
    </row>
    <row r="4431" spans="14:50" x14ac:dyDescent="0.25">
      <c r="N4431" s="3"/>
      <c r="AW4431" s="7"/>
      <c r="AX4431" s="7"/>
    </row>
    <row r="4432" spans="14:50" x14ac:dyDescent="0.25">
      <c r="N4432" s="3"/>
      <c r="AW4432" s="7"/>
      <c r="AX4432" s="7"/>
    </row>
    <row r="4433" spans="14:50" x14ac:dyDescent="0.25">
      <c r="N4433" s="3"/>
      <c r="AW4433" s="7"/>
      <c r="AX4433" s="7"/>
    </row>
    <row r="4434" spans="14:50" x14ac:dyDescent="0.25">
      <c r="N4434" s="3"/>
      <c r="AW4434" s="7"/>
      <c r="AX4434" s="7"/>
    </row>
    <row r="4435" spans="14:50" x14ac:dyDescent="0.25">
      <c r="N4435" s="3"/>
      <c r="AW4435" s="7"/>
      <c r="AX4435" s="7"/>
    </row>
    <row r="4436" spans="14:50" x14ac:dyDescent="0.25">
      <c r="N4436" s="3"/>
      <c r="AW4436" s="7"/>
      <c r="AX4436" s="7"/>
    </row>
    <row r="4437" spans="14:50" x14ac:dyDescent="0.25">
      <c r="N4437" s="3"/>
      <c r="AW4437" s="7"/>
      <c r="AX4437" s="7"/>
    </row>
    <row r="4438" spans="14:50" x14ac:dyDescent="0.25">
      <c r="N4438" s="3"/>
      <c r="AW4438" s="7"/>
      <c r="AX4438" s="7"/>
    </row>
    <row r="4439" spans="14:50" x14ac:dyDescent="0.25">
      <c r="N4439" s="3"/>
      <c r="AW4439" s="7"/>
      <c r="AX4439" s="7"/>
    </row>
    <row r="4440" spans="14:50" x14ac:dyDescent="0.25">
      <c r="N4440" s="3"/>
      <c r="AW4440" s="7"/>
      <c r="AX4440" s="7"/>
    </row>
    <row r="4441" spans="14:50" x14ac:dyDescent="0.25">
      <c r="N4441" s="3"/>
      <c r="AW4441" s="7"/>
      <c r="AX4441" s="7"/>
    </row>
    <row r="4442" spans="14:50" x14ac:dyDescent="0.25">
      <c r="N4442" s="3"/>
      <c r="AW4442" s="7"/>
      <c r="AX4442" s="7"/>
    </row>
    <row r="4443" spans="14:50" x14ac:dyDescent="0.25">
      <c r="N4443" s="3"/>
      <c r="AW4443" s="7"/>
      <c r="AX4443" s="7"/>
    </row>
    <row r="4444" spans="14:50" x14ac:dyDescent="0.25">
      <c r="N4444" s="3"/>
      <c r="AW4444" s="7"/>
      <c r="AX4444" s="7"/>
    </row>
    <row r="4445" spans="14:50" x14ac:dyDescent="0.25">
      <c r="N4445" s="3"/>
      <c r="AW4445" s="7"/>
      <c r="AX4445" s="7"/>
    </row>
    <row r="4446" spans="14:50" x14ac:dyDescent="0.25">
      <c r="N4446" s="3"/>
      <c r="AW4446" s="7"/>
      <c r="AX4446" s="7"/>
    </row>
    <row r="4447" spans="14:50" x14ac:dyDescent="0.25">
      <c r="N4447" s="3"/>
      <c r="AW4447" s="7"/>
      <c r="AX4447" s="7"/>
    </row>
    <row r="4448" spans="14:50" x14ac:dyDescent="0.25">
      <c r="N4448" s="3"/>
      <c r="AW4448" s="7"/>
      <c r="AX4448" s="7"/>
    </row>
    <row r="4449" spans="14:50" x14ac:dyDescent="0.25">
      <c r="N4449" s="3"/>
      <c r="AW4449" s="7"/>
      <c r="AX4449" s="7"/>
    </row>
    <row r="4450" spans="14:50" x14ac:dyDescent="0.25">
      <c r="N4450" s="3"/>
      <c r="AW4450" s="7"/>
      <c r="AX4450" s="7"/>
    </row>
    <row r="4451" spans="14:50" x14ac:dyDescent="0.25">
      <c r="N4451" s="3"/>
      <c r="AW4451" s="7"/>
      <c r="AX4451" s="7"/>
    </row>
    <row r="4452" spans="14:50" x14ac:dyDescent="0.25">
      <c r="N4452" s="3"/>
      <c r="AW4452" s="7"/>
      <c r="AX4452" s="7"/>
    </row>
    <row r="4453" spans="14:50" x14ac:dyDescent="0.25">
      <c r="N4453" s="3"/>
      <c r="AW4453" s="7"/>
      <c r="AX4453" s="7"/>
    </row>
    <row r="4454" spans="14:50" x14ac:dyDescent="0.25">
      <c r="N4454" s="3"/>
      <c r="AW4454" s="7"/>
      <c r="AX4454" s="7"/>
    </row>
    <row r="4455" spans="14:50" x14ac:dyDescent="0.25">
      <c r="N4455" s="3"/>
      <c r="AW4455" s="7"/>
      <c r="AX4455" s="7"/>
    </row>
    <row r="4456" spans="14:50" x14ac:dyDescent="0.25">
      <c r="N4456" s="3"/>
      <c r="AW4456" s="7"/>
      <c r="AX4456" s="7"/>
    </row>
    <row r="4457" spans="14:50" x14ac:dyDescent="0.25">
      <c r="N4457" s="3"/>
      <c r="AW4457" s="7"/>
      <c r="AX4457" s="7"/>
    </row>
    <row r="4458" spans="14:50" x14ac:dyDescent="0.25">
      <c r="N4458" s="3"/>
      <c r="AW4458" s="7"/>
      <c r="AX4458" s="7"/>
    </row>
    <row r="4459" spans="14:50" x14ac:dyDescent="0.25">
      <c r="N4459" s="3"/>
      <c r="AW4459" s="7"/>
      <c r="AX4459" s="7"/>
    </row>
    <row r="4460" spans="14:50" x14ac:dyDescent="0.25">
      <c r="N4460" s="3"/>
      <c r="AW4460" s="7"/>
      <c r="AX4460" s="7"/>
    </row>
    <row r="4461" spans="14:50" x14ac:dyDescent="0.25">
      <c r="N4461" s="3"/>
      <c r="AW4461" s="7"/>
      <c r="AX4461" s="7"/>
    </row>
    <row r="4462" spans="14:50" x14ac:dyDescent="0.25">
      <c r="N4462" s="3"/>
      <c r="AW4462" s="7"/>
      <c r="AX4462" s="7"/>
    </row>
    <row r="4463" spans="14:50" x14ac:dyDescent="0.25">
      <c r="N4463" s="3"/>
      <c r="AW4463" s="7"/>
      <c r="AX4463" s="7"/>
    </row>
    <row r="4464" spans="14:50" x14ac:dyDescent="0.25">
      <c r="N4464" s="3"/>
      <c r="AW4464" s="7"/>
      <c r="AX4464" s="7"/>
    </row>
    <row r="4465" spans="14:50" x14ac:dyDescent="0.25">
      <c r="N4465" s="3"/>
      <c r="AW4465" s="7"/>
      <c r="AX4465" s="7"/>
    </row>
    <row r="4466" spans="14:50" x14ac:dyDescent="0.25">
      <c r="N4466" s="3"/>
      <c r="AW4466" s="7"/>
      <c r="AX4466" s="7"/>
    </row>
    <row r="4467" spans="14:50" x14ac:dyDescent="0.25">
      <c r="N4467" s="3"/>
      <c r="AW4467" s="7"/>
      <c r="AX4467" s="7"/>
    </row>
    <row r="4468" spans="14:50" x14ac:dyDescent="0.25">
      <c r="N4468" s="3"/>
      <c r="AW4468" s="7"/>
      <c r="AX4468" s="7"/>
    </row>
    <row r="4469" spans="14:50" x14ac:dyDescent="0.25">
      <c r="N4469" s="3"/>
      <c r="AW4469" s="7"/>
      <c r="AX4469" s="7"/>
    </row>
    <row r="4470" spans="14:50" x14ac:dyDescent="0.25">
      <c r="N4470" s="3"/>
      <c r="AW4470" s="7"/>
      <c r="AX4470" s="7"/>
    </row>
    <row r="4471" spans="14:50" x14ac:dyDescent="0.25">
      <c r="N4471" s="3"/>
      <c r="AW4471" s="7"/>
      <c r="AX4471" s="7"/>
    </row>
    <row r="4472" spans="14:50" x14ac:dyDescent="0.25">
      <c r="N4472" s="3"/>
      <c r="AW4472" s="7"/>
      <c r="AX4472" s="7"/>
    </row>
    <row r="4473" spans="14:50" x14ac:dyDescent="0.25">
      <c r="N4473" s="3"/>
      <c r="AW4473" s="7"/>
      <c r="AX4473" s="7"/>
    </row>
    <row r="4474" spans="14:50" x14ac:dyDescent="0.25">
      <c r="N4474" s="3"/>
      <c r="AW4474" s="7"/>
      <c r="AX4474" s="7"/>
    </row>
    <row r="4475" spans="14:50" x14ac:dyDescent="0.25">
      <c r="N4475" s="3"/>
      <c r="AW4475" s="7"/>
      <c r="AX4475" s="7"/>
    </row>
    <row r="4476" spans="14:50" x14ac:dyDescent="0.25">
      <c r="N4476" s="3"/>
      <c r="AW4476" s="7"/>
      <c r="AX4476" s="7"/>
    </row>
    <row r="4477" spans="14:50" x14ac:dyDescent="0.25">
      <c r="N4477" s="3"/>
      <c r="AW4477" s="7"/>
      <c r="AX4477" s="7"/>
    </row>
    <row r="4478" spans="14:50" x14ac:dyDescent="0.25">
      <c r="N4478" s="3"/>
      <c r="AW4478" s="7"/>
      <c r="AX4478" s="7"/>
    </row>
    <row r="4479" spans="14:50" x14ac:dyDescent="0.25">
      <c r="N4479" s="3"/>
      <c r="AW4479" s="7"/>
      <c r="AX4479" s="7"/>
    </row>
    <row r="4480" spans="14:50" x14ac:dyDescent="0.25">
      <c r="N4480" s="3"/>
      <c r="AW4480" s="7"/>
      <c r="AX4480" s="7"/>
    </row>
    <row r="4481" spans="14:50" x14ac:dyDescent="0.25">
      <c r="N4481" s="3"/>
      <c r="AW4481" s="7"/>
      <c r="AX4481" s="7"/>
    </row>
    <row r="4482" spans="14:50" x14ac:dyDescent="0.25">
      <c r="N4482" s="3"/>
      <c r="AW4482" s="7"/>
      <c r="AX4482" s="7"/>
    </row>
    <row r="4483" spans="14:50" x14ac:dyDescent="0.25">
      <c r="N4483" s="3"/>
      <c r="AW4483" s="7"/>
      <c r="AX4483" s="7"/>
    </row>
    <row r="4484" spans="14:50" x14ac:dyDescent="0.25">
      <c r="N4484" s="3"/>
      <c r="AW4484" s="7"/>
      <c r="AX4484" s="7"/>
    </row>
    <row r="4485" spans="14:50" x14ac:dyDescent="0.25">
      <c r="N4485" s="3"/>
      <c r="AW4485" s="7"/>
      <c r="AX4485" s="7"/>
    </row>
    <row r="4486" spans="14:50" x14ac:dyDescent="0.25">
      <c r="N4486" s="3"/>
      <c r="AW4486" s="7"/>
      <c r="AX4486" s="7"/>
    </row>
    <row r="4487" spans="14:50" x14ac:dyDescent="0.25">
      <c r="N4487" s="3"/>
      <c r="AW4487" s="7"/>
      <c r="AX4487" s="7"/>
    </row>
    <row r="4488" spans="14:50" x14ac:dyDescent="0.25">
      <c r="N4488" s="3"/>
      <c r="AW4488" s="7"/>
      <c r="AX4488" s="7"/>
    </row>
    <row r="4489" spans="14:50" x14ac:dyDescent="0.25">
      <c r="N4489" s="3"/>
      <c r="AW4489" s="7"/>
      <c r="AX4489" s="7"/>
    </row>
    <row r="4490" spans="14:50" x14ac:dyDescent="0.25">
      <c r="N4490" s="3"/>
      <c r="AW4490" s="7"/>
      <c r="AX4490" s="7"/>
    </row>
    <row r="4491" spans="14:50" x14ac:dyDescent="0.25">
      <c r="N4491" s="3"/>
      <c r="AW4491" s="7"/>
      <c r="AX4491" s="7"/>
    </row>
    <row r="4492" spans="14:50" x14ac:dyDescent="0.25">
      <c r="N4492" s="3"/>
      <c r="AW4492" s="7"/>
      <c r="AX4492" s="7"/>
    </row>
    <row r="4493" spans="14:50" x14ac:dyDescent="0.25">
      <c r="N4493" s="3"/>
      <c r="AW4493" s="7"/>
      <c r="AX4493" s="7"/>
    </row>
    <row r="4494" spans="14:50" x14ac:dyDescent="0.25">
      <c r="N4494" s="3"/>
      <c r="AW4494" s="7"/>
      <c r="AX4494" s="7"/>
    </row>
    <row r="4495" spans="14:50" x14ac:dyDescent="0.25">
      <c r="N4495" s="3"/>
      <c r="AW4495" s="7"/>
      <c r="AX4495" s="7"/>
    </row>
    <row r="4496" spans="14:50" x14ac:dyDescent="0.25">
      <c r="N4496" s="3"/>
      <c r="AW4496" s="7"/>
      <c r="AX4496" s="7"/>
    </row>
    <row r="4497" spans="14:50" x14ac:dyDescent="0.25">
      <c r="N4497" s="3"/>
      <c r="AW4497" s="7"/>
      <c r="AX4497" s="7"/>
    </row>
    <row r="4498" spans="14:50" x14ac:dyDescent="0.25">
      <c r="N4498" s="3"/>
      <c r="AW4498" s="7"/>
      <c r="AX4498" s="7"/>
    </row>
    <row r="4499" spans="14:50" x14ac:dyDescent="0.25">
      <c r="N4499" s="3"/>
      <c r="AW4499" s="7"/>
      <c r="AX4499" s="7"/>
    </row>
    <row r="4500" spans="14:50" x14ac:dyDescent="0.25">
      <c r="N4500" s="3"/>
      <c r="AW4500" s="7"/>
      <c r="AX4500" s="7"/>
    </row>
    <row r="4501" spans="14:50" x14ac:dyDescent="0.25">
      <c r="N4501" s="3"/>
      <c r="AW4501" s="7"/>
      <c r="AX4501" s="7"/>
    </row>
    <row r="4502" spans="14:50" x14ac:dyDescent="0.25">
      <c r="N4502" s="3"/>
      <c r="AW4502" s="7"/>
      <c r="AX4502" s="7"/>
    </row>
    <row r="4503" spans="14:50" x14ac:dyDescent="0.25">
      <c r="N4503" s="3"/>
      <c r="AW4503" s="7"/>
      <c r="AX4503" s="7"/>
    </row>
    <row r="4504" spans="14:50" x14ac:dyDescent="0.25">
      <c r="N4504" s="3"/>
      <c r="AW4504" s="7"/>
      <c r="AX4504" s="7"/>
    </row>
    <row r="4505" spans="14:50" x14ac:dyDescent="0.25">
      <c r="N4505" s="3"/>
      <c r="AW4505" s="7"/>
      <c r="AX4505" s="7"/>
    </row>
    <row r="4506" spans="14:50" x14ac:dyDescent="0.25">
      <c r="N4506" s="3"/>
      <c r="AW4506" s="7"/>
      <c r="AX4506" s="7"/>
    </row>
    <row r="4507" spans="14:50" x14ac:dyDescent="0.25">
      <c r="N4507" s="3"/>
      <c r="AW4507" s="7"/>
      <c r="AX4507" s="7"/>
    </row>
    <row r="4508" spans="14:50" x14ac:dyDescent="0.25">
      <c r="N4508" s="3"/>
      <c r="AW4508" s="7"/>
      <c r="AX4508" s="7"/>
    </row>
    <row r="4509" spans="14:50" x14ac:dyDescent="0.25">
      <c r="N4509" s="3"/>
      <c r="AW4509" s="7"/>
      <c r="AX4509" s="7"/>
    </row>
    <row r="4510" spans="14:50" x14ac:dyDescent="0.25">
      <c r="N4510" s="3"/>
      <c r="AW4510" s="7"/>
      <c r="AX4510" s="7"/>
    </row>
    <row r="4511" spans="14:50" x14ac:dyDescent="0.25">
      <c r="N4511" s="3"/>
      <c r="AW4511" s="7"/>
      <c r="AX4511" s="7"/>
    </row>
    <row r="4512" spans="14:50" x14ac:dyDescent="0.25">
      <c r="N4512" s="3"/>
      <c r="AW4512" s="7"/>
      <c r="AX4512" s="7"/>
    </row>
    <row r="4513" spans="14:50" x14ac:dyDescent="0.25">
      <c r="N4513" s="3"/>
      <c r="AW4513" s="7"/>
      <c r="AX4513" s="7"/>
    </row>
    <row r="4514" spans="14:50" x14ac:dyDescent="0.25">
      <c r="N4514" s="3"/>
      <c r="AW4514" s="7"/>
      <c r="AX4514" s="7"/>
    </row>
    <row r="4515" spans="14:50" x14ac:dyDescent="0.25">
      <c r="N4515" s="3"/>
      <c r="AW4515" s="7"/>
      <c r="AX4515" s="7"/>
    </row>
    <row r="4516" spans="14:50" x14ac:dyDescent="0.25">
      <c r="N4516" s="3"/>
      <c r="AW4516" s="7"/>
      <c r="AX4516" s="7"/>
    </row>
    <row r="4517" spans="14:50" x14ac:dyDescent="0.25">
      <c r="N4517" s="3"/>
      <c r="AW4517" s="7"/>
      <c r="AX4517" s="7"/>
    </row>
    <row r="4518" spans="14:50" x14ac:dyDescent="0.25">
      <c r="N4518" s="3"/>
      <c r="AW4518" s="7"/>
      <c r="AX4518" s="7"/>
    </row>
    <row r="4519" spans="14:50" x14ac:dyDescent="0.25">
      <c r="N4519" s="3"/>
      <c r="AW4519" s="7"/>
      <c r="AX4519" s="7"/>
    </row>
    <row r="4520" spans="14:50" x14ac:dyDescent="0.25">
      <c r="N4520" s="3"/>
      <c r="AW4520" s="7"/>
      <c r="AX4520" s="7"/>
    </row>
    <row r="4521" spans="14:50" x14ac:dyDescent="0.25">
      <c r="N4521" s="3"/>
      <c r="AW4521" s="7"/>
      <c r="AX4521" s="7"/>
    </row>
    <row r="4522" spans="14:50" x14ac:dyDescent="0.25">
      <c r="N4522" s="3"/>
      <c r="AW4522" s="7"/>
      <c r="AX4522" s="7"/>
    </row>
    <row r="4523" spans="14:50" x14ac:dyDescent="0.25">
      <c r="N4523" s="3"/>
      <c r="AW4523" s="7"/>
      <c r="AX4523" s="7"/>
    </row>
    <row r="4524" spans="14:50" x14ac:dyDescent="0.25">
      <c r="N4524" s="3"/>
      <c r="AW4524" s="7"/>
      <c r="AX4524" s="7"/>
    </row>
    <row r="4525" spans="14:50" x14ac:dyDescent="0.25">
      <c r="N4525" s="3"/>
      <c r="AW4525" s="7"/>
      <c r="AX4525" s="7"/>
    </row>
    <row r="4526" spans="14:50" x14ac:dyDescent="0.25">
      <c r="N4526" s="3"/>
      <c r="AW4526" s="7"/>
      <c r="AX4526" s="7"/>
    </row>
    <row r="4527" spans="14:50" x14ac:dyDescent="0.25">
      <c r="N4527" s="3"/>
      <c r="AW4527" s="7"/>
      <c r="AX4527" s="7"/>
    </row>
    <row r="4528" spans="14:50" x14ac:dyDescent="0.25">
      <c r="N4528" s="3"/>
      <c r="AW4528" s="7"/>
      <c r="AX4528" s="7"/>
    </row>
    <row r="4529" spans="14:50" x14ac:dyDescent="0.25">
      <c r="N4529" s="3"/>
      <c r="AW4529" s="7"/>
      <c r="AX4529" s="7"/>
    </row>
    <row r="4530" spans="14:50" x14ac:dyDescent="0.25">
      <c r="N4530" s="3"/>
      <c r="AW4530" s="7"/>
      <c r="AX4530" s="7"/>
    </row>
    <row r="4531" spans="14:50" x14ac:dyDescent="0.25">
      <c r="N4531" s="3"/>
      <c r="AW4531" s="7"/>
      <c r="AX4531" s="7"/>
    </row>
    <row r="4532" spans="14:50" x14ac:dyDescent="0.25">
      <c r="N4532" s="3"/>
      <c r="AW4532" s="7"/>
      <c r="AX4532" s="7"/>
    </row>
    <row r="4533" spans="14:50" x14ac:dyDescent="0.25">
      <c r="N4533" s="3"/>
      <c r="AW4533" s="7"/>
      <c r="AX4533" s="7"/>
    </row>
    <row r="4534" spans="14:50" x14ac:dyDescent="0.25">
      <c r="N4534" s="3"/>
      <c r="AW4534" s="7"/>
      <c r="AX4534" s="7"/>
    </row>
    <row r="4535" spans="14:50" x14ac:dyDescent="0.25">
      <c r="N4535" s="3"/>
      <c r="AW4535" s="7"/>
      <c r="AX4535" s="7"/>
    </row>
    <row r="4536" spans="14:50" x14ac:dyDescent="0.25">
      <c r="N4536" s="3"/>
      <c r="AW4536" s="7"/>
      <c r="AX4536" s="7"/>
    </row>
    <row r="4537" spans="14:50" x14ac:dyDescent="0.25">
      <c r="N4537" s="3"/>
      <c r="AW4537" s="7"/>
      <c r="AX4537" s="7"/>
    </row>
    <row r="4538" spans="14:50" x14ac:dyDescent="0.25">
      <c r="N4538" s="3"/>
      <c r="AW4538" s="7"/>
      <c r="AX4538" s="7"/>
    </row>
    <row r="4539" spans="14:50" x14ac:dyDescent="0.25">
      <c r="N4539" s="3"/>
      <c r="AW4539" s="7"/>
      <c r="AX4539" s="7"/>
    </row>
    <row r="4540" spans="14:50" x14ac:dyDescent="0.25">
      <c r="N4540" s="3"/>
      <c r="AW4540" s="7"/>
      <c r="AX4540" s="7"/>
    </row>
    <row r="4541" spans="14:50" x14ac:dyDescent="0.25">
      <c r="N4541" s="3"/>
      <c r="AW4541" s="7"/>
      <c r="AX4541" s="7"/>
    </row>
    <row r="4542" spans="14:50" x14ac:dyDescent="0.25">
      <c r="N4542" s="3"/>
      <c r="AW4542" s="7"/>
      <c r="AX4542" s="7"/>
    </row>
    <row r="4543" spans="14:50" x14ac:dyDescent="0.25">
      <c r="N4543" s="3"/>
      <c r="AW4543" s="7"/>
      <c r="AX4543" s="7"/>
    </row>
    <row r="4544" spans="14:50" x14ac:dyDescent="0.25">
      <c r="N4544" s="3"/>
      <c r="AW4544" s="7"/>
      <c r="AX4544" s="7"/>
    </row>
    <row r="4545" spans="14:50" x14ac:dyDescent="0.25">
      <c r="N4545" s="3"/>
      <c r="AW4545" s="7"/>
      <c r="AX4545" s="7"/>
    </row>
    <row r="4546" spans="14:50" x14ac:dyDescent="0.25">
      <c r="N4546" s="3"/>
      <c r="AW4546" s="7"/>
      <c r="AX4546" s="7"/>
    </row>
    <row r="4547" spans="14:50" x14ac:dyDescent="0.25">
      <c r="N4547" s="3"/>
      <c r="AW4547" s="7"/>
      <c r="AX4547" s="7"/>
    </row>
    <row r="4548" spans="14:50" x14ac:dyDescent="0.25">
      <c r="N4548" s="3"/>
      <c r="AW4548" s="7"/>
      <c r="AX4548" s="7"/>
    </row>
    <row r="4549" spans="14:50" x14ac:dyDescent="0.25">
      <c r="N4549" s="3"/>
      <c r="AW4549" s="7"/>
      <c r="AX4549" s="7"/>
    </row>
    <row r="4550" spans="14:50" x14ac:dyDescent="0.25">
      <c r="N4550" s="3"/>
      <c r="AW4550" s="7"/>
      <c r="AX4550" s="7"/>
    </row>
    <row r="4551" spans="14:50" x14ac:dyDescent="0.25">
      <c r="N4551" s="3"/>
      <c r="AW4551" s="7"/>
      <c r="AX4551" s="7"/>
    </row>
    <row r="4552" spans="14:50" x14ac:dyDescent="0.25">
      <c r="N4552" s="3"/>
      <c r="AW4552" s="7"/>
      <c r="AX4552" s="7"/>
    </row>
    <row r="4553" spans="14:50" x14ac:dyDescent="0.25">
      <c r="N4553" s="3"/>
      <c r="AW4553" s="7"/>
      <c r="AX4553" s="7"/>
    </row>
    <row r="4554" spans="14:50" x14ac:dyDescent="0.25">
      <c r="N4554" s="3"/>
      <c r="AW4554" s="7"/>
      <c r="AX4554" s="7"/>
    </row>
    <row r="4555" spans="14:50" x14ac:dyDescent="0.25">
      <c r="N4555" s="3"/>
      <c r="AW4555" s="7"/>
      <c r="AX4555" s="7"/>
    </row>
    <row r="4556" spans="14:50" x14ac:dyDescent="0.25">
      <c r="N4556" s="3"/>
      <c r="AW4556" s="7"/>
      <c r="AX4556" s="7"/>
    </row>
    <row r="4557" spans="14:50" x14ac:dyDescent="0.25">
      <c r="N4557" s="3"/>
      <c r="AW4557" s="7"/>
      <c r="AX4557" s="7"/>
    </row>
    <row r="4558" spans="14:50" x14ac:dyDescent="0.25">
      <c r="N4558" s="3"/>
      <c r="AW4558" s="7"/>
      <c r="AX4558" s="7"/>
    </row>
    <row r="4559" spans="14:50" x14ac:dyDescent="0.25">
      <c r="N4559" s="3"/>
      <c r="AW4559" s="7"/>
      <c r="AX4559" s="7"/>
    </row>
    <row r="4560" spans="14:50" x14ac:dyDescent="0.25">
      <c r="N4560" s="3"/>
      <c r="AW4560" s="7"/>
      <c r="AX4560" s="7"/>
    </row>
    <row r="4561" spans="14:50" x14ac:dyDescent="0.25">
      <c r="N4561" s="3"/>
      <c r="AW4561" s="7"/>
      <c r="AX4561" s="7"/>
    </row>
    <row r="4562" spans="14:50" x14ac:dyDescent="0.25">
      <c r="N4562" s="3"/>
      <c r="AW4562" s="7"/>
      <c r="AX4562" s="7"/>
    </row>
    <row r="4563" spans="14:50" x14ac:dyDescent="0.25">
      <c r="N4563" s="3"/>
      <c r="AW4563" s="7"/>
      <c r="AX4563" s="7"/>
    </row>
    <row r="4564" spans="14:50" x14ac:dyDescent="0.25">
      <c r="N4564" s="3"/>
      <c r="AW4564" s="7"/>
      <c r="AX4564" s="7"/>
    </row>
    <row r="4565" spans="14:50" x14ac:dyDescent="0.25">
      <c r="N4565" s="3"/>
      <c r="AW4565" s="7"/>
      <c r="AX4565" s="7"/>
    </row>
    <row r="4566" spans="14:50" x14ac:dyDescent="0.25">
      <c r="N4566" s="3"/>
      <c r="AW4566" s="7"/>
      <c r="AX4566" s="7"/>
    </row>
    <row r="4567" spans="14:50" x14ac:dyDescent="0.25">
      <c r="N4567" s="3"/>
      <c r="AW4567" s="7"/>
      <c r="AX4567" s="7"/>
    </row>
    <row r="4568" spans="14:50" x14ac:dyDescent="0.25">
      <c r="N4568" s="3"/>
      <c r="AW4568" s="7"/>
      <c r="AX4568" s="7"/>
    </row>
    <row r="4569" spans="14:50" x14ac:dyDescent="0.25">
      <c r="N4569" s="3"/>
      <c r="AW4569" s="7"/>
      <c r="AX4569" s="7"/>
    </row>
    <row r="4570" spans="14:50" x14ac:dyDescent="0.25">
      <c r="N4570" s="3"/>
      <c r="AW4570" s="7"/>
      <c r="AX4570" s="7"/>
    </row>
    <row r="4571" spans="14:50" x14ac:dyDescent="0.25">
      <c r="N4571" s="3"/>
      <c r="AW4571" s="7"/>
      <c r="AX4571" s="7"/>
    </row>
    <row r="4572" spans="14:50" x14ac:dyDescent="0.25">
      <c r="N4572" s="3"/>
      <c r="AW4572" s="7"/>
      <c r="AX4572" s="7"/>
    </row>
    <row r="4573" spans="14:50" x14ac:dyDescent="0.25">
      <c r="N4573" s="3"/>
      <c r="AW4573" s="7"/>
      <c r="AX4573" s="7"/>
    </row>
    <row r="4574" spans="14:50" x14ac:dyDescent="0.25">
      <c r="N4574" s="3"/>
      <c r="AW4574" s="7"/>
      <c r="AX4574" s="7"/>
    </row>
    <row r="4575" spans="14:50" x14ac:dyDescent="0.25">
      <c r="N4575" s="3"/>
      <c r="AW4575" s="7"/>
      <c r="AX4575" s="7"/>
    </row>
    <row r="4576" spans="14:50" x14ac:dyDescent="0.25">
      <c r="N4576" s="3"/>
      <c r="AW4576" s="7"/>
      <c r="AX4576" s="7"/>
    </row>
    <row r="4577" spans="14:50" x14ac:dyDescent="0.25">
      <c r="N4577" s="3"/>
      <c r="AW4577" s="7"/>
      <c r="AX4577" s="7"/>
    </row>
    <row r="4578" spans="14:50" x14ac:dyDescent="0.25">
      <c r="N4578" s="3"/>
      <c r="AW4578" s="7"/>
      <c r="AX4578" s="7"/>
    </row>
    <row r="4579" spans="14:50" x14ac:dyDescent="0.25">
      <c r="N4579" s="3"/>
      <c r="AW4579" s="7"/>
      <c r="AX4579" s="7"/>
    </row>
    <row r="4580" spans="14:50" x14ac:dyDescent="0.25">
      <c r="N4580" s="3"/>
      <c r="AW4580" s="7"/>
      <c r="AX4580" s="7"/>
    </row>
    <row r="4581" spans="14:50" x14ac:dyDescent="0.25">
      <c r="N4581" s="3"/>
      <c r="AW4581" s="7"/>
      <c r="AX4581" s="7"/>
    </row>
    <row r="4582" spans="14:50" x14ac:dyDescent="0.25">
      <c r="N4582" s="3"/>
      <c r="AW4582" s="7"/>
      <c r="AX4582" s="7"/>
    </row>
    <row r="4583" spans="14:50" x14ac:dyDescent="0.25">
      <c r="N4583" s="3"/>
      <c r="AW4583" s="7"/>
      <c r="AX4583" s="7"/>
    </row>
    <row r="4584" spans="14:50" x14ac:dyDescent="0.25">
      <c r="N4584" s="3"/>
      <c r="AW4584" s="7"/>
      <c r="AX4584" s="7"/>
    </row>
    <row r="4585" spans="14:50" x14ac:dyDescent="0.25">
      <c r="N4585" s="3"/>
      <c r="AW4585" s="7"/>
      <c r="AX4585" s="7"/>
    </row>
    <row r="4586" spans="14:50" x14ac:dyDescent="0.25">
      <c r="N4586" s="3"/>
      <c r="AW4586" s="7"/>
      <c r="AX4586" s="7"/>
    </row>
    <row r="4587" spans="14:50" x14ac:dyDescent="0.25">
      <c r="N4587" s="3"/>
      <c r="AW4587" s="7"/>
      <c r="AX4587" s="7"/>
    </row>
    <row r="4588" spans="14:50" x14ac:dyDescent="0.25">
      <c r="N4588" s="3"/>
      <c r="AW4588" s="7"/>
      <c r="AX4588" s="7"/>
    </row>
    <row r="4589" spans="14:50" x14ac:dyDescent="0.25">
      <c r="N4589" s="3"/>
      <c r="AW4589" s="7"/>
      <c r="AX4589" s="7"/>
    </row>
    <row r="4590" spans="14:50" x14ac:dyDescent="0.25">
      <c r="N4590" s="3"/>
      <c r="AW4590" s="7"/>
      <c r="AX4590" s="7"/>
    </row>
    <row r="4591" spans="14:50" x14ac:dyDescent="0.25">
      <c r="N4591" s="3"/>
      <c r="AW4591" s="7"/>
      <c r="AX4591" s="7"/>
    </row>
    <row r="4592" spans="14:50" x14ac:dyDescent="0.25">
      <c r="N4592" s="3"/>
      <c r="AW4592" s="7"/>
      <c r="AX4592" s="7"/>
    </row>
    <row r="4593" spans="14:50" x14ac:dyDescent="0.25">
      <c r="N4593" s="3"/>
      <c r="AW4593" s="7"/>
      <c r="AX4593" s="7"/>
    </row>
    <row r="4594" spans="14:50" x14ac:dyDescent="0.25">
      <c r="N4594" s="3"/>
      <c r="AW4594" s="7"/>
      <c r="AX4594" s="7"/>
    </row>
    <row r="4595" spans="14:50" x14ac:dyDescent="0.25">
      <c r="N4595" s="3"/>
      <c r="AW4595" s="7"/>
      <c r="AX4595" s="7"/>
    </row>
    <row r="4596" spans="14:50" x14ac:dyDescent="0.25">
      <c r="N4596" s="3"/>
      <c r="AW4596" s="7"/>
      <c r="AX4596" s="7"/>
    </row>
    <row r="4597" spans="14:50" x14ac:dyDescent="0.25">
      <c r="N4597" s="3"/>
      <c r="AW4597" s="7"/>
      <c r="AX4597" s="7"/>
    </row>
    <row r="4598" spans="14:50" x14ac:dyDescent="0.25">
      <c r="N4598" s="3"/>
      <c r="AW4598" s="7"/>
      <c r="AX4598" s="7"/>
    </row>
    <row r="4599" spans="14:50" x14ac:dyDescent="0.25">
      <c r="N4599" s="3"/>
      <c r="AW4599" s="7"/>
      <c r="AX4599" s="7"/>
    </row>
    <row r="4600" spans="14:50" x14ac:dyDescent="0.25">
      <c r="N4600" s="3"/>
      <c r="AW4600" s="7"/>
      <c r="AX4600" s="7"/>
    </row>
    <row r="4601" spans="14:50" x14ac:dyDescent="0.25">
      <c r="N4601" s="3"/>
      <c r="AW4601" s="7"/>
      <c r="AX4601" s="7"/>
    </row>
    <row r="4602" spans="14:50" x14ac:dyDescent="0.25">
      <c r="N4602" s="3"/>
      <c r="AW4602" s="7"/>
      <c r="AX4602" s="7"/>
    </row>
    <row r="4603" spans="14:50" x14ac:dyDescent="0.25">
      <c r="N4603" s="3"/>
      <c r="AW4603" s="7"/>
      <c r="AX4603" s="7"/>
    </row>
    <row r="4604" spans="14:50" x14ac:dyDescent="0.25">
      <c r="N4604" s="3"/>
      <c r="AW4604" s="7"/>
      <c r="AX4604" s="7"/>
    </row>
    <row r="4605" spans="14:50" x14ac:dyDescent="0.25">
      <c r="N4605" s="3"/>
      <c r="AW4605" s="7"/>
      <c r="AX4605" s="7"/>
    </row>
    <row r="4606" spans="14:50" x14ac:dyDescent="0.25">
      <c r="N4606" s="3"/>
      <c r="AW4606" s="7"/>
      <c r="AX4606" s="7"/>
    </row>
    <row r="4607" spans="14:50" x14ac:dyDescent="0.25">
      <c r="N4607" s="3"/>
      <c r="AW4607" s="7"/>
      <c r="AX4607" s="7"/>
    </row>
    <row r="4608" spans="14:50" x14ac:dyDescent="0.25">
      <c r="N4608" s="3"/>
      <c r="AW4608" s="7"/>
      <c r="AX4608" s="7"/>
    </row>
    <row r="4609" spans="14:50" x14ac:dyDescent="0.25">
      <c r="N4609" s="3"/>
      <c r="AW4609" s="7"/>
      <c r="AX4609" s="7"/>
    </row>
    <row r="4610" spans="14:50" x14ac:dyDescent="0.25">
      <c r="N4610" s="3"/>
      <c r="AW4610" s="7"/>
      <c r="AX4610" s="7"/>
    </row>
    <row r="4611" spans="14:50" x14ac:dyDescent="0.25">
      <c r="N4611" s="3"/>
      <c r="AW4611" s="7"/>
      <c r="AX4611" s="7"/>
    </row>
    <row r="4612" spans="14:50" x14ac:dyDescent="0.25">
      <c r="N4612" s="3"/>
      <c r="AW4612" s="7"/>
      <c r="AX4612" s="7"/>
    </row>
    <row r="4613" spans="14:50" x14ac:dyDescent="0.25">
      <c r="N4613" s="3"/>
      <c r="AW4613" s="7"/>
      <c r="AX4613" s="7"/>
    </row>
    <row r="4614" spans="14:50" x14ac:dyDescent="0.25">
      <c r="N4614" s="3"/>
      <c r="AW4614" s="7"/>
      <c r="AX4614" s="7"/>
    </row>
    <row r="4615" spans="14:50" x14ac:dyDescent="0.25">
      <c r="N4615" s="3"/>
      <c r="AW4615" s="7"/>
      <c r="AX4615" s="7"/>
    </row>
    <row r="4616" spans="14:50" x14ac:dyDescent="0.25">
      <c r="N4616" s="3"/>
      <c r="AW4616" s="7"/>
      <c r="AX4616" s="7"/>
    </row>
    <row r="4617" spans="14:50" x14ac:dyDescent="0.25">
      <c r="N4617" s="3"/>
      <c r="AW4617" s="7"/>
      <c r="AX4617" s="7"/>
    </row>
    <row r="4618" spans="14:50" x14ac:dyDescent="0.25">
      <c r="N4618" s="3"/>
      <c r="AW4618" s="7"/>
      <c r="AX4618" s="7"/>
    </row>
    <row r="4619" spans="14:50" x14ac:dyDescent="0.25">
      <c r="N4619" s="3"/>
      <c r="AW4619" s="7"/>
      <c r="AX4619" s="7"/>
    </row>
    <row r="4620" spans="14:50" x14ac:dyDescent="0.25">
      <c r="N4620" s="3"/>
      <c r="AW4620" s="7"/>
      <c r="AX4620" s="7"/>
    </row>
    <row r="4621" spans="14:50" x14ac:dyDescent="0.25">
      <c r="N4621" s="3"/>
      <c r="AW4621" s="7"/>
      <c r="AX4621" s="7"/>
    </row>
    <row r="4622" spans="14:50" x14ac:dyDescent="0.25">
      <c r="N4622" s="3"/>
      <c r="AW4622" s="7"/>
      <c r="AX4622" s="7"/>
    </row>
    <row r="4623" spans="14:50" x14ac:dyDescent="0.25">
      <c r="N4623" s="3"/>
      <c r="AW4623" s="7"/>
      <c r="AX4623" s="7"/>
    </row>
    <row r="4624" spans="14:50" x14ac:dyDescent="0.25">
      <c r="N4624" s="3"/>
      <c r="AW4624" s="7"/>
      <c r="AX4624" s="7"/>
    </row>
    <row r="4625" spans="14:50" x14ac:dyDescent="0.25">
      <c r="N4625" s="3"/>
      <c r="AW4625" s="7"/>
      <c r="AX4625" s="7"/>
    </row>
    <row r="4626" spans="14:50" x14ac:dyDescent="0.25">
      <c r="N4626" s="3"/>
      <c r="AW4626" s="7"/>
      <c r="AX4626" s="7"/>
    </row>
    <row r="4627" spans="14:50" x14ac:dyDescent="0.25">
      <c r="N4627" s="3"/>
      <c r="AW4627" s="7"/>
      <c r="AX4627" s="7"/>
    </row>
    <row r="4628" spans="14:50" x14ac:dyDescent="0.25">
      <c r="N4628" s="3"/>
      <c r="AW4628" s="7"/>
      <c r="AX4628" s="7"/>
    </row>
    <row r="4629" spans="14:50" x14ac:dyDescent="0.25">
      <c r="N4629" s="3"/>
      <c r="AW4629" s="7"/>
      <c r="AX4629" s="7"/>
    </row>
    <row r="4630" spans="14:50" x14ac:dyDescent="0.25">
      <c r="N4630" s="3"/>
      <c r="AW4630" s="7"/>
      <c r="AX4630" s="7"/>
    </row>
    <row r="4631" spans="14:50" x14ac:dyDescent="0.25">
      <c r="N4631" s="3"/>
      <c r="AW4631" s="7"/>
      <c r="AX4631" s="7"/>
    </row>
    <row r="4632" spans="14:50" x14ac:dyDescent="0.25">
      <c r="N4632" s="3"/>
      <c r="AW4632" s="7"/>
      <c r="AX4632" s="7"/>
    </row>
    <row r="4633" spans="14:50" x14ac:dyDescent="0.25">
      <c r="N4633" s="3"/>
      <c r="AW4633" s="7"/>
      <c r="AX4633" s="7"/>
    </row>
    <row r="4634" spans="14:50" x14ac:dyDescent="0.25">
      <c r="N4634" s="3"/>
      <c r="AW4634" s="7"/>
      <c r="AX4634" s="7"/>
    </row>
    <row r="4635" spans="14:50" x14ac:dyDescent="0.25">
      <c r="N4635" s="3"/>
      <c r="AW4635" s="7"/>
      <c r="AX4635" s="7"/>
    </row>
    <row r="4636" spans="14:50" x14ac:dyDescent="0.25">
      <c r="N4636" s="3"/>
      <c r="AW4636" s="7"/>
      <c r="AX4636" s="7"/>
    </row>
    <row r="4637" spans="14:50" x14ac:dyDescent="0.25">
      <c r="N4637" s="3"/>
      <c r="AW4637" s="7"/>
      <c r="AX4637" s="7"/>
    </row>
    <row r="4638" spans="14:50" x14ac:dyDescent="0.25">
      <c r="N4638" s="3"/>
      <c r="AW4638" s="7"/>
      <c r="AX4638" s="7"/>
    </row>
    <row r="4639" spans="14:50" x14ac:dyDescent="0.25">
      <c r="N4639" s="3"/>
      <c r="AW4639" s="7"/>
      <c r="AX4639" s="7"/>
    </row>
    <row r="4640" spans="14:50" x14ac:dyDescent="0.25">
      <c r="N4640" s="3"/>
      <c r="AW4640" s="7"/>
      <c r="AX4640" s="7"/>
    </row>
    <row r="4641" spans="14:50" x14ac:dyDescent="0.25">
      <c r="N4641" s="3"/>
      <c r="AW4641" s="7"/>
      <c r="AX4641" s="7"/>
    </row>
    <row r="4642" spans="14:50" x14ac:dyDescent="0.25">
      <c r="N4642" s="3"/>
      <c r="AW4642" s="7"/>
      <c r="AX4642" s="7"/>
    </row>
    <row r="4643" spans="14:50" x14ac:dyDescent="0.25">
      <c r="N4643" s="3"/>
      <c r="AW4643" s="7"/>
      <c r="AX4643" s="7"/>
    </row>
    <row r="4644" spans="14:50" x14ac:dyDescent="0.25">
      <c r="N4644" s="3"/>
      <c r="AW4644" s="7"/>
      <c r="AX4644" s="7"/>
    </row>
    <row r="4645" spans="14:50" x14ac:dyDescent="0.25">
      <c r="N4645" s="3"/>
      <c r="AW4645" s="7"/>
      <c r="AX4645" s="7"/>
    </row>
    <row r="4646" spans="14:50" x14ac:dyDescent="0.25">
      <c r="N4646" s="3"/>
      <c r="AW4646" s="7"/>
      <c r="AX4646" s="7"/>
    </row>
    <row r="4647" spans="14:50" x14ac:dyDescent="0.25">
      <c r="N4647" s="3"/>
      <c r="AW4647" s="7"/>
      <c r="AX4647" s="7"/>
    </row>
    <row r="4648" spans="14:50" x14ac:dyDescent="0.25">
      <c r="N4648" s="3"/>
      <c r="AW4648" s="7"/>
      <c r="AX4648" s="7"/>
    </row>
    <row r="4649" spans="14:50" x14ac:dyDescent="0.25">
      <c r="N4649" s="3"/>
      <c r="AW4649" s="7"/>
      <c r="AX4649" s="7"/>
    </row>
    <row r="4650" spans="14:50" x14ac:dyDescent="0.25">
      <c r="N4650" s="3"/>
      <c r="AW4650" s="7"/>
      <c r="AX4650" s="7"/>
    </row>
    <row r="4651" spans="14:50" x14ac:dyDescent="0.25">
      <c r="N4651" s="3"/>
      <c r="AW4651" s="7"/>
      <c r="AX4651" s="7"/>
    </row>
    <row r="4652" spans="14:50" x14ac:dyDescent="0.25">
      <c r="N4652" s="3"/>
      <c r="AW4652" s="7"/>
      <c r="AX4652" s="7"/>
    </row>
    <row r="4653" spans="14:50" x14ac:dyDescent="0.25">
      <c r="N4653" s="3"/>
      <c r="AW4653" s="7"/>
      <c r="AX4653" s="7"/>
    </row>
    <row r="4654" spans="14:50" x14ac:dyDescent="0.25">
      <c r="N4654" s="3"/>
      <c r="AW4654" s="7"/>
      <c r="AX4654" s="7"/>
    </row>
    <row r="4655" spans="14:50" x14ac:dyDescent="0.25">
      <c r="N4655" s="3"/>
      <c r="AW4655" s="7"/>
      <c r="AX4655" s="7"/>
    </row>
    <row r="4656" spans="14:50" x14ac:dyDescent="0.25">
      <c r="N4656" s="3"/>
      <c r="AW4656" s="7"/>
      <c r="AX4656" s="7"/>
    </row>
    <row r="4657" spans="14:50" x14ac:dyDescent="0.25">
      <c r="N4657" s="3"/>
      <c r="AW4657" s="7"/>
      <c r="AX4657" s="7"/>
    </row>
    <row r="4658" spans="14:50" x14ac:dyDescent="0.25">
      <c r="N4658" s="3"/>
      <c r="AW4658" s="7"/>
      <c r="AX4658" s="7"/>
    </row>
    <row r="4659" spans="14:50" x14ac:dyDescent="0.25">
      <c r="N4659" s="3"/>
      <c r="AW4659" s="7"/>
      <c r="AX4659" s="7"/>
    </row>
    <row r="4660" spans="14:50" x14ac:dyDescent="0.25">
      <c r="N4660" s="3"/>
      <c r="AW4660" s="7"/>
      <c r="AX4660" s="7"/>
    </row>
    <row r="4661" spans="14:50" x14ac:dyDescent="0.25">
      <c r="N4661" s="3"/>
      <c r="AW4661" s="7"/>
      <c r="AX4661" s="7"/>
    </row>
    <row r="4662" spans="14:50" x14ac:dyDescent="0.25">
      <c r="N4662" s="3"/>
      <c r="AW4662" s="7"/>
      <c r="AX4662" s="7"/>
    </row>
    <row r="4663" spans="14:50" x14ac:dyDescent="0.25">
      <c r="N4663" s="3"/>
      <c r="AW4663" s="7"/>
      <c r="AX4663" s="7"/>
    </row>
    <row r="4664" spans="14:50" x14ac:dyDescent="0.25">
      <c r="N4664" s="3"/>
      <c r="AW4664" s="7"/>
      <c r="AX4664" s="7"/>
    </row>
    <row r="4665" spans="14:50" x14ac:dyDescent="0.25">
      <c r="N4665" s="3"/>
      <c r="AW4665" s="7"/>
      <c r="AX4665" s="7"/>
    </row>
    <row r="4666" spans="14:50" x14ac:dyDescent="0.25">
      <c r="N4666" s="3"/>
      <c r="AW4666" s="7"/>
      <c r="AX4666" s="7"/>
    </row>
    <row r="4667" spans="14:50" x14ac:dyDescent="0.25">
      <c r="N4667" s="3"/>
      <c r="AW4667" s="7"/>
      <c r="AX4667" s="7"/>
    </row>
    <row r="4668" spans="14:50" x14ac:dyDescent="0.25">
      <c r="N4668" s="3"/>
      <c r="AW4668" s="7"/>
      <c r="AX4668" s="7"/>
    </row>
    <row r="4669" spans="14:50" x14ac:dyDescent="0.25">
      <c r="N4669" s="3"/>
      <c r="AW4669" s="7"/>
      <c r="AX4669" s="7"/>
    </row>
    <row r="4670" spans="14:50" x14ac:dyDescent="0.25">
      <c r="N4670" s="3"/>
      <c r="AW4670" s="7"/>
      <c r="AX4670" s="7"/>
    </row>
    <row r="4671" spans="14:50" x14ac:dyDescent="0.25">
      <c r="N4671" s="3"/>
      <c r="AW4671" s="7"/>
      <c r="AX4671" s="7"/>
    </row>
    <row r="4672" spans="14:50" x14ac:dyDescent="0.25">
      <c r="N4672" s="3"/>
      <c r="AW4672" s="7"/>
      <c r="AX4672" s="7"/>
    </row>
    <row r="4673" spans="14:50" x14ac:dyDescent="0.25">
      <c r="N4673" s="3"/>
      <c r="AW4673" s="7"/>
      <c r="AX4673" s="7"/>
    </row>
    <row r="4674" spans="14:50" x14ac:dyDescent="0.25">
      <c r="N4674" s="3"/>
      <c r="AW4674" s="7"/>
      <c r="AX4674" s="7"/>
    </row>
    <row r="4675" spans="14:50" x14ac:dyDescent="0.25">
      <c r="N4675" s="3"/>
      <c r="AW4675" s="7"/>
      <c r="AX4675" s="7"/>
    </row>
    <row r="4676" spans="14:50" x14ac:dyDescent="0.25">
      <c r="N4676" s="3"/>
      <c r="AW4676" s="7"/>
      <c r="AX4676" s="7"/>
    </row>
    <row r="4677" spans="14:50" x14ac:dyDescent="0.25">
      <c r="N4677" s="3"/>
      <c r="AW4677" s="7"/>
      <c r="AX4677" s="7"/>
    </row>
    <row r="4678" spans="14:50" x14ac:dyDescent="0.25">
      <c r="N4678" s="3"/>
      <c r="AW4678" s="7"/>
      <c r="AX4678" s="7"/>
    </row>
    <row r="4679" spans="14:50" x14ac:dyDescent="0.25">
      <c r="N4679" s="3"/>
      <c r="AW4679" s="7"/>
      <c r="AX4679" s="7"/>
    </row>
    <row r="4680" spans="14:50" x14ac:dyDescent="0.25">
      <c r="N4680" s="3"/>
      <c r="AW4680" s="7"/>
      <c r="AX4680" s="7"/>
    </row>
    <row r="4681" spans="14:50" x14ac:dyDescent="0.25">
      <c r="N4681" s="3"/>
      <c r="AW4681" s="7"/>
      <c r="AX4681" s="7"/>
    </row>
    <row r="4682" spans="14:50" x14ac:dyDescent="0.25">
      <c r="N4682" s="3"/>
      <c r="AW4682" s="7"/>
      <c r="AX4682" s="7"/>
    </row>
    <row r="4683" spans="14:50" x14ac:dyDescent="0.25">
      <c r="N4683" s="3"/>
      <c r="AW4683" s="7"/>
      <c r="AX4683" s="7"/>
    </row>
    <row r="4684" spans="14:50" x14ac:dyDescent="0.25">
      <c r="N4684" s="3"/>
      <c r="AW4684" s="7"/>
      <c r="AX4684" s="7"/>
    </row>
    <row r="4685" spans="14:50" x14ac:dyDescent="0.25">
      <c r="N4685" s="3"/>
      <c r="AW4685" s="7"/>
      <c r="AX4685" s="7"/>
    </row>
    <row r="4686" spans="14:50" x14ac:dyDescent="0.25">
      <c r="N4686" s="3"/>
      <c r="AW4686" s="7"/>
      <c r="AX4686" s="7"/>
    </row>
    <row r="4687" spans="14:50" x14ac:dyDescent="0.25">
      <c r="N4687" s="3"/>
      <c r="AW4687" s="7"/>
      <c r="AX4687" s="7"/>
    </row>
    <row r="4688" spans="14:50" x14ac:dyDescent="0.25">
      <c r="N4688" s="3"/>
      <c r="AW4688" s="7"/>
      <c r="AX4688" s="7"/>
    </row>
    <row r="4689" spans="14:50" x14ac:dyDescent="0.25">
      <c r="N4689" s="3"/>
      <c r="AW4689" s="7"/>
      <c r="AX4689" s="7"/>
    </row>
    <row r="4690" spans="14:50" x14ac:dyDescent="0.25">
      <c r="N4690" s="3"/>
      <c r="AW4690" s="7"/>
      <c r="AX4690" s="7"/>
    </row>
    <row r="4691" spans="14:50" x14ac:dyDescent="0.25">
      <c r="N4691" s="3"/>
      <c r="AW4691" s="7"/>
      <c r="AX4691" s="7"/>
    </row>
    <row r="4692" spans="14:50" x14ac:dyDescent="0.25">
      <c r="N4692" s="3"/>
      <c r="AW4692" s="7"/>
      <c r="AX4692" s="7"/>
    </row>
    <row r="4693" spans="14:50" x14ac:dyDescent="0.25">
      <c r="N4693" s="3"/>
      <c r="AW4693" s="7"/>
      <c r="AX4693" s="7"/>
    </row>
    <row r="4694" spans="14:50" x14ac:dyDescent="0.25">
      <c r="N4694" s="3"/>
      <c r="AW4694" s="7"/>
      <c r="AX4694" s="7"/>
    </row>
    <row r="4695" spans="14:50" x14ac:dyDescent="0.25">
      <c r="N4695" s="3"/>
      <c r="AW4695" s="7"/>
      <c r="AX4695" s="7"/>
    </row>
    <row r="4696" spans="14:50" x14ac:dyDescent="0.25">
      <c r="N4696" s="3"/>
      <c r="AW4696" s="7"/>
      <c r="AX4696" s="7"/>
    </row>
    <row r="4697" spans="14:50" x14ac:dyDescent="0.25">
      <c r="N4697" s="3"/>
      <c r="AW4697" s="7"/>
      <c r="AX4697" s="7"/>
    </row>
    <row r="4698" spans="14:50" x14ac:dyDescent="0.25">
      <c r="N4698" s="3"/>
      <c r="AW4698" s="7"/>
      <c r="AX4698" s="7"/>
    </row>
    <row r="4699" spans="14:50" x14ac:dyDescent="0.25">
      <c r="N4699" s="3"/>
      <c r="AW4699" s="7"/>
      <c r="AX4699" s="7"/>
    </row>
    <row r="4700" spans="14:50" x14ac:dyDescent="0.25">
      <c r="N4700" s="3"/>
      <c r="AW4700" s="7"/>
      <c r="AX4700" s="7"/>
    </row>
    <row r="4701" spans="14:50" x14ac:dyDescent="0.25">
      <c r="N4701" s="3"/>
      <c r="AW4701" s="7"/>
      <c r="AX4701" s="7"/>
    </row>
    <row r="4702" spans="14:50" x14ac:dyDescent="0.25">
      <c r="N4702" s="3"/>
      <c r="AW4702" s="7"/>
      <c r="AX4702" s="7"/>
    </row>
    <row r="4703" spans="14:50" x14ac:dyDescent="0.25">
      <c r="N4703" s="3"/>
      <c r="AW4703" s="7"/>
      <c r="AX4703" s="7"/>
    </row>
    <row r="4704" spans="14:50" x14ac:dyDescent="0.25">
      <c r="N4704" s="3"/>
      <c r="AW4704" s="7"/>
      <c r="AX4704" s="7"/>
    </row>
    <row r="4705" spans="14:50" x14ac:dyDescent="0.25">
      <c r="N4705" s="3"/>
      <c r="AW4705" s="7"/>
      <c r="AX4705" s="7"/>
    </row>
    <row r="4706" spans="14:50" x14ac:dyDescent="0.25">
      <c r="N4706" s="3"/>
      <c r="AW4706" s="7"/>
      <c r="AX4706" s="7"/>
    </row>
    <row r="4707" spans="14:50" x14ac:dyDescent="0.25">
      <c r="N4707" s="3"/>
      <c r="AW4707" s="7"/>
      <c r="AX4707" s="7"/>
    </row>
    <row r="4708" spans="14:50" x14ac:dyDescent="0.25">
      <c r="N4708" s="3"/>
      <c r="AW4708" s="7"/>
      <c r="AX4708" s="7"/>
    </row>
    <row r="4709" spans="14:50" x14ac:dyDescent="0.25">
      <c r="N4709" s="3"/>
      <c r="AW4709" s="7"/>
      <c r="AX4709" s="7"/>
    </row>
    <row r="4710" spans="14:50" x14ac:dyDescent="0.25">
      <c r="N4710" s="3"/>
      <c r="AW4710" s="7"/>
      <c r="AX4710" s="7"/>
    </row>
    <row r="4711" spans="14:50" x14ac:dyDescent="0.25">
      <c r="N4711" s="3"/>
      <c r="AW4711" s="7"/>
      <c r="AX4711" s="7"/>
    </row>
    <row r="4712" spans="14:50" x14ac:dyDescent="0.25">
      <c r="N4712" s="3"/>
      <c r="AW4712" s="7"/>
      <c r="AX4712" s="7"/>
    </row>
    <row r="4713" spans="14:50" x14ac:dyDescent="0.25">
      <c r="N4713" s="3"/>
      <c r="AW4713" s="7"/>
      <c r="AX4713" s="7"/>
    </row>
    <row r="4714" spans="14:50" x14ac:dyDescent="0.25">
      <c r="N4714" s="3"/>
      <c r="AW4714" s="7"/>
      <c r="AX4714" s="7"/>
    </row>
    <row r="4715" spans="14:50" x14ac:dyDescent="0.25">
      <c r="N4715" s="3"/>
      <c r="AW4715" s="7"/>
      <c r="AX4715" s="7"/>
    </row>
    <row r="4716" spans="14:50" x14ac:dyDescent="0.25">
      <c r="N4716" s="3"/>
      <c r="AW4716" s="7"/>
      <c r="AX4716" s="7"/>
    </row>
    <row r="4717" spans="14:50" x14ac:dyDescent="0.25">
      <c r="N4717" s="3"/>
      <c r="AW4717" s="7"/>
      <c r="AX4717" s="7"/>
    </row>
    <row r="4718" spans="14:50" x14ac:dyDescent="0.25">
      <c r="N4718" s="3"/>
      <c r="AW4718" s="7"/>
      <c r="AX4718" s="7"/>
    </row>
    <row r="4719" spans="14:50" x14ac:dyDescent="0.25">
      <c r="N4719" s="3"/>
      <c r="AW4719" s="7"/>
      <c r="AX4719" s="7"/>
    </row>
    <row r="4720" spans="14:50" x14ac:dyDescent="0.25">
      <c r="N4720" s="3"/>
      <c r="AW4720" s="7"/>
      <c r="AX4720" s="7"/>
    </row>
    <row r="4721" spans="14:50" x14ac:dyDescent="0.25">
      <c r="N4721" s="3"/>
      <c r="AW4721" s="7"/>
      <c r="AX4721" s="7"/>
    </row>
    <row r="4722" spans="14:50" x14ac:dyDescent="0.25">
      <c r="N4722" s="3"/>
      <c r="AW4722" s="7"/>
      <c r="AX4722" s="7"/>
    </row>
    <row r="4723" spans="14:50" x14ac:dyDescent="0.25">
      <c r="N4723" s="3"/>
      <c r="AW4723" s="7"/>
      <c r="AX4723" s="7"/>
    </row>
    <row r="4724" spans="14:50" x14ac:dyDescent="0.25">
      <c r="N4724" s="3"/>
      <c r="AW4724" s="7"/>
      <c r="AX4724" s="7"/>
    </row>
    <row r="4725" spans="14:50" x14ac:dyDescent="0.25">
      <c r="N4725" s="3"/>
      <c r="AW4725" s="7"/>
      <c r="AX4725" s="7"/>
    </row>
    <row r="4726" spans="14:50" x14ac:dyDescent="0.25">
      <c r="N4726" s="3"/>
      <c r="AW4726" s="7"/>
      <c r="AX4726" s="7"/>
    </row>
    <row r="4727" spans="14:50" x14ac:dyDescent="0.25">
      <c r="N4727" s="3"/>
      <c r="AW4727" s="7"/>
      <c r="AX4727" s="7"/>
    </row>
    <row r="4728" spans="14:50" x14ac:dyDescent="0.25">
      <c r="N4728" s="3"/>
      <c r="AW4728" s="7"/>
      <c r="AX4728" s="7"/>
    </row>
    <row r="4729" spans="14:50" x14ac:dyDescent="0.25">
      <c r="N4729" s="3"/>
      <c r="AW4729" s="7"/>
      <c r="AX4729" s="7"/>
    </row>
    <row r="4730" spans="14:50" x14ac:dyDescent="0.25">
      <c r="N4730" s="3"/>
      <c r="AW4730" s="7"/>
      <c r="AX4730" s="7"/>
    </row>
    <row r="4731" spans="14:50" x14ac:dyDescent="0.25">
      <c r="N4731" s="3"/>
      <c r="AW4731" s="7"/>
      <c r="AX4731" s="7"/>
    </row>
    <row r="4732" spans="14:50" x14ac:dyDescent="0.25">
      <c r="N4732" s="3"/>
      <c r="AW4732" s="7"/>
      <c r="AX4732" s="7"/>
    </row>
    <row r="4733" spans="14:50" x14ac:dyDescent="0.25">
      <c r="N4733" s="3"/>
      <c r="AW4733" s="7"/>
      <c r="AX4733" s="7"/>
    </row>
    <row r="4734" spans="14:50" x14ac:dyDescent="0.25">
      <c r="N4734" s="3"/>
      <c r="AW4734" s="7"/>
      <c r="AX4734" s="7"/>
    </row>
    <row r="4735" spans="14:50" x14ac:dyDescent="0.25">
      <c r="N4735" s="3"/>
      <c r="AW4735" s="7"/>
      <c r="AX4735" s="7"/>
    </row>
    <row r="4736" spans="14:50" x14ac:dyDescent="0.25">
      <c r="N4736" s="3"/>
      <c r="AW4736" s="7"/>
      <c r="AX4736" s="7"/>
    </row>
    <row r="4737" spans="14:50" x14ac:dyDescent="0.25">
      <c r="N4737" s="3"/>
      <c r="AW4737" s="7"/>
      <c r="AX4737" s="7"/>
    </row>
    <row r="4738" spans="14:50" x14ac:dyDescent="0.25">
      <c r="N4738" s="3"/>
      <c r="AW4738" s="7"/>
      <c r="AX4738" s="7"/>
    </row>
    <row r="4739" spans="14:50" x14ac:dyDescent="0.25">
      <c r="N4739" s="3"/>
      <c r="AW4739" s="7"/>
      <c r="AX4739" s="7"/>
    </row>
    <row r="4740" spans="14:50" x14ac:dyDescent="0.25">
      <c r="N4740" s="3"/>
      <c r="AW4740" s="7"/>
      <c r="AX4740" s="7"/>
    </row>
    <row r="4741" spans="14:50" x14ac:dyDescent="0.25">
      <c r="N4741" s="3"/>
      <c r="AW4741" s="7"/>
      <c r="AX4741" s="7"/>
    </row>
    <row r="4742" spans="14:50" x14ac:dyDescent="0.25">
      <c r="N4742" s="3"/>
      <c r="AW4742" s="7"/>
      <c r="AX4742" s="7"/>
    </row>
    <row r="4743" spans="14:50" x14ac:dyDescent="0.25">
      <c r="N4743" s="3"/>
      <c r="AW4743" s="7"/>
      <c r="AX4743" s="7"/>
    </row>
    <row r="4744" spans="14:50" x14ac:dyDescent="0.25">
      <c r="N4744" s="3"/>
      <c r="AW4744" s="7"/>
      <c r="AX4744" s="7"/>
    </row>
    <row r="4745" spans="14:50" x14ac:dyDescent="0.25">
      <c r="N4745" s="3"/>
      <c r="AW4745" s="7"/>
      <c r="AX4745" s="7"/>
    </row>
    <row r="4746" spans="14:50" x14ac:dyDescent="0.25">
      <c r="N4746" s="3"/>
      <c r="AW4746" s="7"/>
      <c r="AX4746" s="7"/>
    </row>
    <row r="4747" spans="14:50" x14ac:dyDescent="0.25">
      <c r="N4747" s="3"/>
      <c r="AW4747" s="7"/>
      <c r="AX4747" s="7"/>
    </row>
    <row r="4748" spans="14:50" x14ac:dyDescent="0.25">
      <c r="N4748" s="3"/>
      <c r="AW4748" s="7"/>
      <c r="AX4748" s="7"/>
    </row>
    <row r="4749" spans="14:50" x14ac:dyDescent="0.25">
      <c r="N4749" s="3"/>
      <c r="AW4749" s="7"/>
      <c r="AX4749" s="7"/>
    </row>
    <row r="4750" spans="14:50" x14ac:dyDescent="0.25">
      <c r="N4750" s="3"/>
      <c r="AW4750" s="7"/>
      <c r="AX4750" s="7"/>
    </row>
    <row r="4751" spans="14:50" x14ac:dyDescent="0.25">
      <c r="N4751" s="3"/>
      <c r="AW4751" s="7"/>
      <c r="AX4751" s="7"/>
    </row>
    <row r="4752" spans="14:50" x14ac:dyDescent="0.25">
      <c r="N4752" s="3"/>
      <c r="AW4752" s="7"/>
      <c r="AX4752" s="7"/>
    </row>
    <row r="4753" spans="14:50" x14ac:dyDescent="0.25">
      <c r="N4753" s="3"/>
      <c r="AW4753" s="7"/>
      <c r="AX4753" s="7"/>
    </row>
    <row r="4754" spans="14:50" x14ac:dyDescent="0.25">
      <c r="N4754" s="3"/>
      <c r="AW4754" s="7"/>
      <c r="AX4754" s="7"/>
    </row>
    <row r="4755" spans="14:50" x14ac:dyDescent="0.25">
      <c r="N4755" s="3"/>
      <c r="AW4755" s="7"/>
      <c r="AX4755" s="7"/>
    </row>
    <row r="4756" spans="14:50" x14ac:dyDescent="0.25">
      <c r="N4756" s="3"/>
      <c r="AW4756" s="7"/>
      <c r="AX4756" s="7"/>
    </row>
    <row r="4757" spans="14:50" x14ac:dyDescent="0.25">
      <c r="N4757" s="3"/>
      <c r="AW4757" s="7"/>
      <c r="AX4757" s="7"/>
    </row>
    <row r="4758" spans="14:50" x14ac:dyDescent="0.25">
      <c r="N4758" s="3"/>
      <c r="AW4758" s="7"/>
      <c r="AX4758" s="7"/>
    </row>
    <row r="4759" spans="14:50" x14ac:dyDescent="0.25">
      <c r="N4759" s="3"/>
      <c r="AW4759" s="7"/>
      <c r="AX4759" s="7"/>
    </row>
    <row r="4760" spans="14:50" x14ac:dyDescent="0.25">
      <c r="N4760" s="3"/>
      <c r="AW4760" s="7"/>
      <c r="AX4760" s="7"/>
    </row>
    <row r="4761" spans="14:50" x14ac:dyDescent="0.25">
      <c r="N4761" s="3"/>
      <c r="AW4761" s="7"/>
      <c r="AX4761" s="7"/>
    </row>
    <row r="4762" spans="14:50" x14ac:dyDescent="0.25">
      <c r="N4762" s="3"/>
      <c r="AW4762" s="7"/>
      <c r="AX4762" s="7"/>
    </row>
    <row r="4763" spans="14:50" x14ac:dyDescent="0.25">
      <c r="N4763" s="3"/>
      <c r="AW4763" s="7"/>
      <c r="AX4763" s="7"/>
    </row>
    <row r="4764" spans="14:50" x14ac:dyDescent="0.25">
      <c r="N4764" s="3"/>
      <c r="AW4764" s="7"/>
      <c r="AX4764" s="7"/>
    </row>
    <row r="4765" spans="14:50" x14ac:dyDescent="0.25">
      <c r="N4765" s="3"/>
      <c r="AW4765" s="7"/>
      <c r="AX4765" s="7"/>
    </row>
    <row r="4766" spans="14:50" x14ac:dyDescent="0.25">
      <c r="N4766" s="3"/>
      <c r="AW4766" s="7"/>
      <c r="AX4766" s="7"/>
    </row>
    <row r="4767" spans="14:50" x14ac:dyDescent="0.25">
      <c r="N4767" s="3"/>
      <c r="AW4767" s="7"/>
      <c r="AX4767" s="7"/>
    </row>
    <row r="4768" spans="14:50" x14ac:dyDescent="0.25">
      <c r="N4768" s="3"/>
      <c r="AW4768" s="7"/>
      <c r="AX4768" s="7"/>
    </row>
    <row r="4769" spans="14:50" x14ac:dyDescent="0.25">
      <c r="N4769" s="3"/>
      <c r="AW4769" s="7"/>
      <c r="AX4769" s="7"/>
    </row>
    <row r="4770" spans="14:50" x14ac:dyDescent="0.25">
      <c r="N4770" s="3"/>
      <c r="AW4770" s="7"/>
      <c r="AX4770" s="7"/>
    </row>
    <row r="4771" spans="14:50" x14ac:dyDescent="0.25">
      <c r="N4771" s="3"/>
      <c r="AW4771" s="7"/>
      <c r="AX4771" s="7"/>
    </row>
    <row r="4772" spans="14:50" x14ac:dyDescent="0.25">
      <c r="N4772" s="3"/>
      <c r="AW4772" s="7"/>
      <c r="AX4772" s="7"/>
    </row>
    <row r="4773" spans="14:50" x14ac:dyDescent="0.25">
      <c r="N4773" s="3"/>
      <c r="AW4773" s="7"/>
      <c r="AX4773" s="7"/>
    </row>
    <row r="4774" spans="14:50" x14ac:dyDescent="0.25">
      <c r="N4774" s="3"/>
      <c r="AW4774" s="7"/>
      <c r="AX4774" s="7"/>
    </row>
    <row r="4775" spans="14:50" x14ac:dyDescent="0.25">
      <c r="N4775" s="3"/>
      <c r="AW4775" s="7"/>
      <c r="AX4775" s="7"/>
    </row>
    <row r="4776" spans="14:50" x14ac:dyDescent="0.25">
      <c r="N4776" s="3"/>
      <c r="AW4776" s="7"/>
      <c r="AX4776" s="7"/>
    </row>
    <row r="4777" spans="14:50" x14ac:dyDescent="0.25">
      <c r="N4777" s="3"/>
      <c r="AW4777" s="7"/>
      <c r="AX4777" s="7"/>
    </row>
    <row r="4778" spans="14:50" x14ac:dyDescent="0.25">
      <c r="N4778" s="3"/>
      <c r="AW4778" s="7"/>
      <c r="AX4778" s="7"/>
    </row>
    <row r="4779" spans="14:50" x14ac:dyDescent="0.25">
      <c r="N4779" s="3"/>
      <c r="AW4779" s="7"/>
      <c r="AX4779" s="7"/>
    </row>
    <row r="4780" spans="14:50" x14ac:dyDescent="0.25">
      <c r="N4780" s="3"/>
      <c r="AW4780" s="7"/>
      <c r="AX4780" s="7"/>
    </row>
    <row r="4781" spans="14:50" x14ac:dyDescent="0.25">
      <c r="N4781" s="3"/>
      <c r="AW4781" s="7"/>
      <c r="AX4781" s="7"/>
    </row>
    <row r="4782" spans="14:50" x14ac:dyDescent="0.25">
      <c r="N4782" s="3"/>
      <c r="AW4782" s="7"/>
      <c r="AX4782" s="7"/>
    </row>
    <row r="4783" spans="14:50" x14ac:dyDescent="0.25">
      <c r="N4783" s="3"/>
      <c r="AW4783" s="7"/>
      <c r="AX4783" s="7"/>
    </row>
    <row r="4784" spans="14:50" x14ac:dyDescent="0.25">
      <c r="N4784" s="3"/>
      <c r="AW4784" s="7"/>
      <c r="AX4784" s="7"/>
    </row>
    <row r="4785" spans="14:50" x14ac:dyDescent="0.25">
      <c r="N4785" s="3"/>
      <c r="AW4785" s="7"/>
      <c r="AX4785" s="7"/>
    </row>
    <row r="4786" spans="14:50" x14ac:dyDescent="0.25">
      <c r="N4786" s="3"/>
      <c r="AW4786" s="7"/>
      <c r="AX4786" s="7"/>
    </row>
    <row r="4787" spans="14:50" x14ac:dyDescent="0.25">
      <c r="N4787" s="3"/>
      <c r="AW4787" s="7"/>
      <c r="AX4787" s="7"/>
    </row>
    <row r="4788" spans="14:50" x14ac:dyDescent="0.25">
      <c r="N4788" s="3"/>
      <c r="AW4788" s="7"/>
      <c r="AX4788" s="7"/>
    </row>
    <row r="4789" spans="14:50" x14ac:dyDescent="0.25">
      <c r="N4789" s="3"/>
      <c r="AW4789" s="7"/>
      <c r="AX4789" s="7"/>
    </row>
    <row r="4790" spans="14:50" x14ac:dyDescent="0.25">
      <c r="N4790" s="3"/>
      <c r="AW4790" s="7"/>
      <c r="AX4790" s="7"/>
    </row>
    <row r="4791" spans="14:50" x14ac:dyDescent="0.25">
      <c r="N4791" s="3"/>
      <c r="AW4791" s="7"/>
      <c r="AX4791" s="7"/>
    </row>
    <row r="4792" spans="14:50" x14ac:dyDescent="0.25">
      <c r="N4792" s="3"/>
      <c r="AW4792" s="7"/>
      <c r="AX4792" s="7"/>
    </row>
    <row r="4793" spans="14:50" x14ac:dyDescent="0.25">
      <c r="N4793" s="3"/>
      <c r="AW4793" s="7"/>
      <c r="AX4793" s="7"/>
    </row>
    <row r="4794" spans="14:50" x14ac:dyDescent="0.25">
      <c r="N4794" s="3"/>
      <c r="AW4794" s="7"/>
      <c r="AX4794" s="7"/>
    </row>
    <row r="4795" spans="14:50" x14ac:dyDescent="0.25">
      <c r="N4795" s="3"/>
      <c r="AW4795" s="7"/>
      <c r="AX4795" s="7"/>
    </row>
    <row r="4796" spans="14:50" x14ac:dyDescent="0.25">
      <c r="N4796" s="3"/>
      <c r="AW4796" s="7"/>
      <c r="AX4796" s="7"/>
    </row>
    <row r="4797" spans="14:50" x14ac:dyDescent="0.25">
      <c r="N4797" s="3"/>
      <c r="AW4797" s="7"/>
      <c r="AX4797" s="7"/>
    </row>
    <row r="4798" spans="14:50" x14ac:dyDescent="0.25">
      <c r="N4798" s="3"/>
      <c r="AW4798" s="7"/>
      <c r="AX4798" s="7"/>
    </row>
    <row r="4799" spans="14:50" x14ac:dyDescent="0.25">
      <c r="N4799" s="3"/>
      <c r="AW4799" s="7"/>
      <c r="AX4799" s="7"/>
    </row>
    <row r="4800" spans="14:50" x14ac:dyDescent="0.25">
      <c r="N4800" s="3"/>
      <c r="AW4800" s="7"/>
      <c r="AX4800" s="7"/>
    </row>
    <row r="4801" spans="14:50" x14ac:dyDescent="0.25">
      <c r="N4801" s="3"/>
      <c r="AW4801" s="7"/>
      <c r="AX4801" s="7"/>
    </row>
    <row r="4802" spans="14:50" x14ac:dyDescent="0.25">
      <c r="N4802" s="3"/>
      <c r="AW4802" s="7"/>
      <c r="AX4802" s="7"/>
    </row>
    <row r="4803" spans="14:50" x14ac:dyDescent="0.25">
      <c r="N4803" s="3"/>
      <c r="AW4803" s="7"/>
      <c r="AX4803" s="7"/>
    </row>
    <row r="4804" spans="14:50" x14ac:dyDescent="0.25">
      <c r="N4804" s="3"/>
      <c r="AW4804" s="7"/>
      <c r="AX4804" s="7"/>
    </row>
    <row r="4805" spans="14:50" x14ac:dyDescent="0.25">
      <c r="N4805" s="3"/>
      <c r="AW4805" s="7"/>
      <c r="AX4805" s="7"/>
    </row>
    <row r="4806" spans="14:50" x14ac:dyDescent="0.25">
      <c r="N4806" s="3"/>
      <c r="AW4806" s="7"/>
      <c r="AX4806" s="7"/>
    </row>
    <row r="4807" spans="14:50" x14ac:dyDescent="0.25">
      <c r="N4807" s="3"/>
      <c r="AW4807" s="7"/>
      <c r="AX4807" s="7"/>
    </row>
    <row r="4808" spans="14:50" x14ac:dyDescent="0.25">
      <c r="N4808" s="3"/>
      <c r="AW4808" s="7"/>
      <c r="AX4808" s="7"/>
    </row>
    <row r="4809" spans="14:50" x14ac:dyDescent="0.25">
      <c r="N4809" s="3"/>
      <c r="AW4809" s="7"/>
      <c r="AX4809" s="7"/>
    </row>
    <row r="4810" spans="14:50" x14ac:dyDescent="0.25">
      <c r="N4810" s="3"/>
      <c r="AW4810" s="7"/>
      <c r="AX4810" s="7"/>
    </row>
    <row r="4811" spans="14:50" x14ac:dyDescent="0.25">
      <c r="N4811" s="3"/>
      <c r="AW4811" s="7"/>
      <c r="AX4811" s="7"/>
    </row>
    <row r="4812" spans="14:50" x14ac:dyDescent="0.25">
      <c r="N4812" s="3"/>
      <c r="AW4812" s="7"/>
      <c r="AX4812" s="7"/>
    </row>
    <row r="4813" spans="14:50" x14ac:dyDescent="0.25">
      <c r="N4813" s="3"/>
      <c r="AW4813" s="7"/>
      <c r="AX4813" s="7"/>
    </row>
    <row r="4814" spans="14:50" x14ac:dyDescent="0.25">
      <c r="N4814" s="3"/>
      <c r="AW4814" s="7"/>
      <c r="AX4814" s="7"/>
    </row>
    <row r="4815" spans="14:50" x14ac:dyDescent="0.25">
      <c r="N4815" s="3"/>
      <c r="AW4815" s="7"/>
      <c r="AX4815" s="7"/>
    </row>
    <row r="4816" spans="14:50" x14ac:dyDescent="0.25">
      <c r="N4816" s="3"/>
      <c r="AW4816" s="7"/>
      <c r="AX4816" s="7"/>
    </row>
    <row r="4817" spans="14:50" x14ac:dyDescent="0.25">
      <c r="N4817" s="3"/>
      <c r="AW4817" s="7"/>
      <c r="AX4817" s="7"/>
    </row>
    <row r="4818" spans="14:50" x14ac:dyDescent="0.25">
      <c r="N4818" s="3"/>
      <c r="AW4818" s="7"/>
      <c r="AX4818" s="7"/>
    </row>
    <row r="4819" spans="14:50" x14ac:dyDescent="0.25">
      <c r="N4819" s="3"/>
      <c r="AW4819" s="7"/>
      <c r="AX4819" s="7"/>
    </row>
    <row r="4820" spans="14:50" x14ac:dyDescent="0.25">
      <c r="N4820" s="3"/>
      <c r="AW4820" s="7"/>
      <c r="AX4820" s="7"/>
    </row>
    <row r="4821" spans="14:50" x14ac:dyDescent="0.25">
      <c r="N4821" s="3"/>
      <c r="AW4821" s="7"/>
      <c r="AX4821" s="7"/>
    </row>
    <row r="4822" spans="14:50" x14ac:dyDescent="0.25">
      <c r="N4822" s="3"/>
      <c r="AW4822" s="7"/>
      <c r="AX4822" s="7"/>
    </row>
    <row r="4823" spans="14:50" x14ac:dyDescent="0.25">
      <c r="N4823" s="3"/>
      <c r="AW4823" s="7"/>
      <c r="AX4823" s="7"/>
    </row>
    <row r="4824" spans="14:50" x14ac:dyDescent="0.25">
      <c r="N4824" s="3"/>
      <c r="AW4824" s="7"/>
      <c r="AX4824" s="7"/>
    </row>
    <row r="4825" spans="14:50" x14ac:dyDescent="0.25">
      <c r="N4825" s="3"/>
      <c r="AW4825" s="7"/>
      <c r="AX4825" s="7"/>
    </row>
    <row r="4826" spans="14:50" x14ac:dyDescent="0.25">
      <c r="N4826" s="3"/>
      <c r="AW4826" s="7"/>
      <c r="AX4826" s="7"/>
    </row>
    <row r="4827" spans="14:50" x14ac:dyDescent="0.25">
      <c r="N4827" s="3"/>
      <c r="AW4827" s="7"/>
      <c r="AX4827" s="7"/>
    </row>
    <row r="4828" spans="14:50" x14ac:dyDescent="0.25">
      <c r="N4828" s="3"/>
      <c r="AW4828" s="7"/>
      <c r="AX4828" s="7"/>
    </row>
    <row r="4829" spans="14:50" x14ac:dyDescent="0.25">
      <c r="N4829" s="3"/>
      <c r="AW4829" s="7"/>
      <c r="AX4829" s="7"/>
    </row>
    <row r="4830" spans="14:50" x14ac:dyDescent="0.25">
      <c r="N4830" s="3"/>
      <c r="AW4830" s="7"/>
      <c r="AX4830" s="7"/>
    </row>
    <row r="4831" spans="14:50" x14ac:dyDescent="0.25">
      <c r="N4831" s="3"/>
      <c r="AW4831" s="7"/>
      <c r="AX4831" s="7"/>
    </row>
    <row r="4832" spans="14:50" x14ac:dyDescent="0.25">
      <c r="N4832" s="3"/>
      <c r="AW4832" s="7"/>
      <c r="AX4832" s="7"/>
    </row>
    <row r="4833" spans="14:50" x14ac:dyDescent="0.25">
      <c r="N4833" s="3"/>
      <c r="AW4833" s="7"/>
      <c r="AX4833" s="7"/>
    </row>
    <row r="4834" spans="14:50" x14ac:dyDescent="0.25">
      <c r="N4834" s="3"/>
      <c r="AW4834" s="7"/>
      <c r="AX4834" s="7"/>
    </row>
    <row r="4835" spans="14:50" x14ac:dyDescent="0.25">
      <c r="N4835" s="3"/>
      <c r="AW4835" s="7"/>
      <c r="AX4835" s="7"/>
    </row>
    <row r="4836" spans="14:50" x14ac:dyDescent="0.25">
      <c r="N4836" s="3"/>
      <c r="AW4836" s="7"/>
      <c r="AX4836" s="7"/>
    </row>
    <row r="4837" spans="14:50" x14ac:dyDescent="0.25">
      <c r="N4837" s="3"/>
      <c r="AW4837" s="7"/>
      <c r="AX4837" s="7"/>
    </row>
    <row r="4838" spans="14:50" x14ac:dyDescent="0.25">
      <c r="N4838" s="3"/>
      <c r="AW4838" s="7"/>
      <c r="AX4838" s="7"/>
    </row>
    <row r="4839" spans="14:50" x14ac:dyDescent="0.25">
      <c r="N4839" s="3"/>
      <c r="AW4839" s="7"/>
      <c r="AX4839" s="7"/>
    </row>
    <row r="4840" spans="14:50" x14ac:dyDescent="0.25">
      <c r="N4840" s="3"/>
      <c r="AW4840" s="7"/>
      <c r="AX4840" s="7"/>
    </row>
    <row r="4841" spans="14:50" x14ac:dyDescent="0.25">
      <c r="N4841" s="3"/>
      <c r="AW4841" s="7"/>
      <c r="AX4841" s="7"/>
    </row>
    <row r="4842" spans="14:50" x14ac:dyDescent="0.25">
      <c r="N4842" s="3"/>
      <c r="AW4842" s="7"/>
      <c r="AX4842" s="7"/>
    </row>
    <row r="4843" spans="14:50" x14ac:dyDescent="0.25">
      <c r="N4843" s="3"/>
      <c r="AW4843" s="7"/>
      <c r="AX4843" s="7"/>
    </row>
    <row r="4844" spans="14:50" x14ac:dyDescent="0.25">
      <c r="N4844" s="3"/>
      <c r="AW4844" s="7"/>
      <c r="AX4844" s="7"/>
    </row>
    <row r="4845" spans="14:50" x14ac:dyDescent="0.25">
      <c r="N4845" s="3"/>
      <c r="AW4845" s="7"/>
      <c r="AX4845" s="7"/>
    </row>
    <row r="4846" spans="14:50" x14ac:dyDescent="0.25">
      <c r="N4846" s="3"/>
      <c r="AW4846" s="7"/>
      <c r="AX4846" s="7"/>
    </row>
    <row r="4847" spans="14:50" x14ac:dyDescent="0.25">
      <c r="N4847" s="3"/>
      <c r="AW4847" s="7"/>
      <c r="AX4847" s="7"/>
    </row>
    <row r="4848" spans="14:50" x14ac:dyDescent="0.25">
      <c r="N4848" s="3"/>
      <c r="AW4848" s="7"/>
      <c r="AX4848" s="7"/>
    </row>
    <row r="4849" spans="14:50" x14ac:dyDescent="0.25">
      <c r="N4849" s="3"/>
      <c r="AW4849" s="7"/>
      <c r="AX4849" s="7"/>
    </row>
    <row r="4850" spans="14:50" x14ac:dyDescent="0.25">
      <c r="N4850" s="3"/>
      <c r="AW4850" s="7"/>
      <c r="AX4850" s="7"/>
    </row>
    <row r="4851" spans="14:50" x14ac:dyDescent="0.25">
      <c r="N4851" s="3"/>
      <c r="AW4851" s="7"/>
      <c r="AX4851" s="7"/>
    </row>
    <row r="4852" spans="14:50" x14ac:dyDescent="0.25">
      <c r="N4852" s="3"/>
      <c r="AW4852" s="7"/>
      <c r="AX4852" s="7"/>
    </row>
    <row r="4853" spans="14:50" x14ac:dyDescent="0.25">
      <c r="N4853" s="3"/>
      <c r="AW4853" s="7"/>
      <c r="AX4853" s="7"/>
    </row>
    <row r="4854" spans="14:50" x14ac:dyDescent="0.25">
      <c r="N4854" s="3"/>
      <c r="AW4854" s="7"/>
      <c r="AX4854" s="7"/>
    </row>
    <row r="4855" spans="14:50" x14ac:dyDescent="0.25">
      <c r="N4855" s="3"/>
      <c r="AW4855" s="7"/>
      <c r="AX4855" s="7"/>
    </row>
    <row r="4856" spans="14:50" x14ac:dyDescent="0.25">
      <c r="N4856" s="3"/>
      <c r="AW4856" s="7"/>
      <c r="AX4856" s="7"/>
    </row>
    <row r="4857" spans="14:50" x14ac:dyDescent="0.25">
      <c r="N4857" s="3"/>
      <c r="AW4857" s="7"/>
      <c r="AX4857" s="7"/>
    </row>
    <row r="4858" spans="14:50" x14ac:dyDescent="0.25">
      <c r="N4858" s="3"/>
      <c r="AW4858" s="7"/>
      <c r="AX4858" s="7"/>
    </row>
    <row r="4859" spans="14:50" x14ac:dyDescent="0.25">
      <c r="N4859" s="3"/>
      <c r="AW4859" s="7"/>
      <c r="AX4859" s="7"/>
    </row>
    <row r="4860" spans="14:50" x14ac:dyDescent="0.25">
      <c r="N4860" s="3"/>
      <c r="AW4860" s="7"/>
      <c r="AX4860" s="7"/>
    </row>
    <row r="4861" spans="14:50" x14ac:dyDescent="0.25">
      <c r="N4861" s="3"/>
      <c r="AW4861" s="7"/>
      <c r="AX4861" s="7"/>
    </row>
    <row r="4862" spans="14:50" x14ac:dyDescent="0.25">
      <c r="N4862" s="3"/>
      <c r="AW4862" s="7"/>
      <c r="AX4862" s="7"/>
    </row>
    <row r="4863" spans="14:50" x14ac:dyDescent="0.25">
      <c r="N4863" s="3"/>
      <c r="AW4863" s="7"/>
      <c r="AX4863" s="7"/>
    </row>
    <row r="4864" spans="14:50" x14ac:dyDescent="0.25">
      <c r="N4864" s="3"/>
      <c r="AW4864" s="7"/>
      <c r="AX4864" s="7"/>
    </row>
    <row r="4865" spans="14:50" x14ac:dyDescent="0.25">
      <c r="N4865" s="3"/>
      <c r="AW4865" s="7"/>
      <c r="AX4865" s="7"/>
    </row>
    <row r="4866" spans="14:50" x14ac:dyDescent="0.25">
      <c r="N4866" s="3"/>
      <c r="AW4866" s="7"/>
      <c r="AX4866" s="7"/>
    </row>
    <row r="4867" spans="14:50" x14ac:dyDescent="0.25">
      <c r="N4867" s="3"/>
      <c r="AW4867" s="7"/>
      <c r="AX4867" s="7"/>
    </row>
    <row r="4868" spans="14:50" x14ac:dyDescent="0.25">
      <c r="N4868" s="3"/>
      <c r="AW4868" s="7"/>
      <c r="AX4868" s="7"/>
    </row>
    <row r="4869" spans="14:50" x14ac:dyDescent="0.25">
      <c r="N4869" s="3"/>
      <c r="AW4869" s="7"/>
      <c r="AX4869" s="7"/>
    </row>
    <row r="4870" spans="14:50" x14ac:dyDescent="0.25">
      <c r="N4870" s="3"/>
      <c r="AW4870" s="7"/>
      <c r="AX4870" s="7"/>
    </row>
    <row r="4871" spans="14:50" x14ac:dyDescent="0.25">
      <c r="N4871" s="3"/>
      <c r="AW4871" s="7"/>
      <c r="AX4871" s="7"/>
    </row>
    <row r="4872" spans="14:50" x14ac:dyDescent="0.25">
      <c r="N4872" s="3"/>
      <c r="AW4872" s="7"/>
      <c r="AX4872" s="7"/>
    </row>
    <row r="4873" spans="14:50" x14ac:dyDescent="0.25">
      <c r="N4873" s="3"/>
      <c r="AW4873" s="7"/>
      <c r="AX4873" s="7"/>
    </row>
    <row r="4874" spans="14:50" x14ac:dyDescent="0.25">
      <c r="N4874" s="3"/>
      <c r="AW4874" s="7"/>
      <c r="AX4874" s="7"/>
    </row>
    <row r="4875" spans="14:50" x14ac:dyDescent="0.25">
      <c r="N4875" s="3"/>
      <c r="AW4875" s="7"/>
      <c r="AX4875" s="7"/>
    </row>
    <row r="4876" spans="14:50" x14ac:dyDescent="0.25">
      <c r="N4876" s="3"/>
      <c r="AW4876" s="7"/>
      <c r="AX4876" s="7"/>
    </row>
    <row r="4877" spans="14:50" x14ac:dyDescent="0.25">
      <c r="N4877" s="3"/>
      <c r="AW4877" s="7"/>
      <c r="AX4877" s="7"/>
    </row>
    <row r="4878" spans="14:50" x14ac:dyDescent="0.25">
      <c r="N4878" s="3"/>
      <c r="AW4878" s="7"/>
      <c r="AX4878" s="7"/>
    </row>
    <row r="4879" spans="14:50" x14ac:dyDescent="0.25">
      <c r="N4879" s="3"/>
      <c r="AW4879" s="7"/>
      <c r="AX4879" s="7"/>
    </row>
    <row r="4880" spans="14:50" x14ac:dyDescent="0.25">
      <c r="N4880" s="3"/>
      <c r="AW4880" s="7"/>
      <c r="AX4880" s="7"/>
    </row>
    <row r="4881" spans="14:50" x14ac:dyDescent="0.25">
      <c r="N4881" s="3"/>
      <c r="AW4881" s="7"/>
      <c r="AX4881" s="7"/>
    </row>
    <row r="4882" spans="14:50" x14ac:dyDescent="0.25">
      <c r="N4882" s="3"/>
      <c r="AW4882" s="7"/>
      <c r="AX4882" s="7"/>
    </row>
    <row r="4883" spans="14:50" x14ac:dyDescent="0.25">
      <c r="N4883" s="3"/>
      <c r="AW4883" s="7"/>
      <c r="AX4883" s="7"/>
    </row>
    <row r="4884" spans="14:50" x14ac:dyDescent="0.25">
      <c r="N4884" s="3"/>
      <c r="AW4884" s="7"/>
      <c r="AX4884" s="7"/>
    </row>
    <row r="4885" spans="14:50" x14ac:dyDescent="0.25">
      <c r="N4885" s="3"/>
      <c r="AW4885" s="7"/>
      <c r="AX4885" s="7"/>
    </row>
    <row r="4886" spans="14:50" x14ac:dyDescent="0.25">
      <c r="N4886" s="3"/>
      <c r="AW4886" s="7"/>
      <c r="AX4886" s="7"/>
    </row>
    <row r="4887" spans="14:50" x14ac:dyDescent="0.25">
      <c r="N4887" s="3"/>
      <c r="AW4887" s="7"/>
      <c r="AX4887" s="7"/>
    </row>
    <row r="4888" spans="14:50" x14ac:dyDescent="0.25">
      <c r="N4888" s="3"/>
      <c r="AW4888" s="7"/>
      <c r="AX4888" s="7"/>
    </row>
    <row r="4889" spans="14:50" x14ac:dyDescent="0.25">
      <c r="N4889" s="3"/>
      <c r="AW4889" s="7"/>
      <c r="AX4889" s="7"/>
    </row>
    <row r="4890" spans="14:50" x14ac:dyDescent="0.25">
      <c r="N4890" s="3"/>
      <c r="AW4890" s="7"/>
      <c r="AX4890" s="7"/>
    </row>
    <row r="4891" spans="14:50" x14ac:dyDescent="0.25">
      <c r="N4891" s="3"/>
      <c r="AW4891" s="7"/>
      <c r="AX4891" s="7"/>
    </row>
    <row r="4892" spans="14:50" x14ac:dyDescent="0.25">
      <c r="N4892" s="3"/>
      <c r="AW4892" s="7"/>
      <c r="AX4892" s="7"/>
    </row>
    <row r="4893" spans="14:50" x14ac:dyDescent="0.25">
      <c r="N4893" s="3"/>
      <c r="AW4893" s="7"/>
      <c r="AX4893" s="7"/>
    </row>
    <row r="4894" spans="14:50" x14ac:dyDescent="0.25">
      <c r="N4894" s="3"/>
      <c r="AW4894" s="7"/>
      <c r="AX4894" s="7"/>
    </row>
    <row r="4895" spans="14:50" x14ac:dyDescent="0.25">
      <c r="N4895" s="3"/>
      <c r="AW4895" s="7"/>
      <c r="AX4895" s="7"/>
    </row>
    <row r="4896" spans="14:50" x14ac:dyDescent="0.25">
      <c r="N4896" s="3"/>
      <c r="AW4896" s="7"/>
      <c r="AX4896" s="7"/>
    </row>
    <row r="4897" spans="14:50" x14ac:dyDescent="0.25">
      <c r="N4897" s="3"/>
      <c r="AW4897" s="7"/>
      <c r="AX4897" s="7"/>
    </row>
    <row r="4898" spans="14:50" x14ac:dyDescent="0.25">
      <c r="N4898" s="3"/>
      <c r="AW4898" s="7"/>
      <c r="AX4898" s="7"/>
    </row>
    <row r="4899" spans="14:50" x14ac:dyDescent="0.25">
      <c r="N4899" s="3"/>
      <c r="AW4899" s="7"/>
      <c r="AX4899" s="7"/>
    </row>
    <row r="4900" spans="14:50" x14ac:dyDescent="0.25">
      <c r="N4900" s="3"/>
      <c r="AW4900" s="7"/>
      <c r="AX4900" s="7"/>
    </row>
    <row r="4901" spans="14:50" x14ac:dyDescent="0.25">
      <c r="N4901" s="3"/>
      <c r="AW4901" s="7"/>
      <c r="AX4901" s="7"/>
    </row>
    <row r="4902" spans="14:50" x14ac:dyDescent="0.25">
      <c r="N4902" s="3"/>
      <c r="AW4902" s="7"/>
      <c r="AX4902" s="7"/>
    </row>
    <row r="4903" spans="14:50" x14ac:dyDescent="0.25">
      <c r="N4903" s="3"/>
      <c r="AW4903" s="7"/>
      <c r="AX4903" s="7"/>
    </row>
    <row r="4904" spans="14:50" x14ac:dyDescent="0.25">
      <c r="N4904" s="3"/>
      <c r="AW4904" s="7"/>
      <c r="AX4904" s="7"/>
    </row>
    <row r="4905" spans="14:50" x14ac:dyDescent="0.25">
      <c r="N4905" s="3"/>
      <c r="AW4905" s="7"/>
      <c r="AX4905" s="7"/>
    </row>
    <row r="4906" spans="14:50" x14ac:dyDescent="0.25">
      <c r="N4906" s="3"/>
      <c r="AW4906" s="7"/>
      <c r="AX4906" s="7"/>
    </row>
    <row r="4907" spans="14:50" x14ac:dyDescent="0.25">
      <c r="N4907" s="3"/>
      <c r="AW4907" s="7"/>
      <c r="AX4907" s="7"/>
    </row>
    <row r="4908" spans="14:50" x14ac:dyDescent="0.25">
      <c r="N4908" s="3"/>
      <c r="AW4908" s="7"/>
      <c r="AX4908" s="7"/>
    </row>
    <row r="4909" spans="14:50" x14ac:dyDescent="0.25">
      <c r="N4909" s="3"/>
      <c r="AW4909" s="7"/>
      <c r="AX4909" s="7"/>
    </row>
    <row r="4910" spans="14:50" x14ac:dyDescent="0.25">
      <c r="N4910" s="3"/>
      <c r="AW4910" s="7"/>
      <c r="AX4910" s="7"/>
    </row>
    <row r="4911" spans="14:50" x14ac:dyDescent="0.25">
      <c r="N4911" s="3"/>
      <c r="AW4911" s="7"/>
      <c r="AX4911" s="7"/>
    </row>
    <row r="4912" spans="14:50" x14ac:dyDescent="0.25">
      <c r="N4912" s="3"/>
      <c r="AW4912" s="7"/>
      <c r="AX4912" s="7"/>
    </row>
    <row r="4913" spans="14:50" x14ac:dyDescent="0.25">
      <c r="N4913" s="3"/>
      <c r="AW4913" s="7"/>
      <c r="AX4913" s="7"/>
    </row>
    <row r="4914" spans="14:50" x14ac:dyDescent="0.25">
      <c r="N4914" s="3"/>
      <c r="AW4914" s="7"/>
      <c r="AX4914" s="7"/>
    </row>
    <row r="4915" spans="14:50" x14ac:dyDescent="0.25">
      <c r="N4915" s="3"/>
      <c r="AW4915" s="7"/>
      <c r="AX4915" s="7"/>
    </row>
    <row r="4916" spans="14:50" x14ac:dyDescent="0.25">
      <c r="N4916" s="3"/>
      <c r="AW4916" s="7"/>
      <c r="AX4916" s="7"/>
    </row>
    <row r="4917" spans="14:50" x14ac:dyDescent="0.25">
      <c r="N4917" s="3"/>
      <c r="AW4917" s="7"/>
      <c r="AX4917" s="7"/>
    </row>
    <row r="4918" spans="14:50" x14ac:dyDescent="0.25">
      <c r="N4918" s="3"/>
      <c r="AW4918" s="7"/>
      <c r="AX4918" s="7"/>
    </row>
    <row r="4919" spans="14:50" x14ac:dyDescent="0.25">
      <c r="N4919" s="3"/>
      <c r="AW4919" s="7"/>
      <c r="AX4919" s="7"/>
    </row>
    <row r="4920" spans="14:50" x14ac:dyDescent="0.25">
      <c r="N4920" s="3"/>
      <c r="AW4920" s="7"/>
      <c r="AX4920" s="7"/>
    </row>
    <row r="4921" spans="14:50" x14ac:dyDescent="0.25">
      <c r="N4921" s="3"/>
      <c r="AW4921" s="7"/>
      <c r="AX4921" s="7"/>
    </row>
    <row r="4922" spans="14:50" x14ac:dyDescent="0.25">
      <c r="N4922" s="3"/>
      <c r="AW4922" s="7"/>
      <c r="AX4922" s="7"/>
    </row>
    <row r="4923" spans="14:50" x14ac:dyDescent="0.25">
      <c r="N4923" s="3"/>
      <c r="AW4923" s="7"/>
      <c r="AX4923" s="7"/>
    </row>
    <row r="4924" spans="14:50" x14ac:dyDescent="0.25">
      <c r="N4924" s="3"/>
      <c r="AW4924" s="7"/>
      <c r="AX4924" s="7"/>
    </row>
    <row r="4925" spans="14:50" x14ac:dyDescent="0.25">
      <c r="N4925" s="3"/>
      <c r="AW4925" s="7"/>
      <c r="AX4925" s="7"/>
    </row>
    <row r="4926" spans="14:50" x14ac:dyDescent="0.25">
      <c r="N4926" s="3"/>
      <c r="AW4926" s="7"/>
      <c r="AX4926" s="7"/>
    </row>
    <row r="4927" spans="14:50" x14ac:dyDescent="0.25">
      <c r="N4927" s="3"/>
      <c r="AW4927" s="7"/>
      <c r="AX4927" s="7"/>
    </row>
    <row r="4928" spans="14:50" x14ac:dyDescent="0.25">
      <c r="N4928" s="3"/>
      <c r="AW4928" s="7"/>
      <c r="AX4928" s="7"/>
    </row>
    <row r="4929" spans="14:50" x14ac:dyDescent="0.25">
      <c r="N4929" s="3"/>
      <c r="AW4929" s="7"/>
      <c r="AX4929" s="7"/>
    </row>
    <row r="4930" spans="14:50" x14ac:dyDescent="0.25">
      <c r="N4930" s="3"/>
      <c r="AW4930" s="7"/>
      <c r="AX4930" s="7"/>
    </row>
    <row r="4931" spans="14:50" x14ac:dyDescent="0.25">
      <c r="N4931" s="3"/>
      <c r="AW4931" s="7"/>
      <c r="AX4931" s="7"/>
    </row>
    <row r="4932" spans="14:50" x14ac:dyDescent="0.25">
      <c r="N4932" s="3"/>
      <c r="AW4932" s="7"/>
      <c r="AX4932" s="7"/>
    </row>
    <row r="4933" spans="14:50" x14ac:dyDescent="0.25">
      <c r="N4933" s="3"/>
      <c r="AW4933" s="7"/>
      <c r="AX4933" s="7"/>
    </row>
    <row r="4934" spans="14:50" x14ac:dyDescent="0.25">
      <c r="N4934" s="3"/>
      <c r="AW4934" s="7"/>
      <c r="AX4934" s="7"/>
    </row>
    <row r="4935" spans="14:50" x14ac:dyDescent="0.25">
      <c r="N4935" s="3"/>
      <c r="AW4935" s="7"/>
      <c r="AX4935" s="7"/>
    </row>
    <row r="4936" spans="14:50" x14ac:dyDescent="0.25">
      <c r="N4936" s="3"/>
      <c r="AW4936" s="7"/>
      <c r="AX4936" s="7"/>
    </row>
    <row r="4937" spans="14:50" x14ac:dyDescent="0.25">
      <c r="N4937" s="3"/>
      <c r="AW4937" s="7"/>
      <c r="AX4937" s="7"/>
    </row>
    <row r="4938" spans="14:50" x14ac:dyDescent="0.25">
      <c r="N4938" s="3"/>
      <c r="AW4938" s="7"/>
      <c r="AX4938" s="7"/>
    </row>
    <row r="4939" spans="14:50" x14ac:dyDescent="0.25">
      <c r="N4939" s="3"/>
      <c r="AW4939" s="7"/>
      <c r="AX4939" s="7"/>
    </row>
    <row r="4940" spans="14:50" x14ac:dyDescent="0.25">
      <c r="N4940" s="3"/>
      <c r="AW4940" s="7"/>
      <c r="AX4940" s="7"/>
    </row>
    <row r="4941" spans="14:50" x14ac:dyDescent="0.25">
      <c r="N4941" s="3"/>
      <c r="AW4941" s="7"/>
      <c r="AX4941" s="7"/>
    </row>
    <row r="4942" spans="14:50" x14ac:dyDescent="0.25">
      <c r="N4942" s="3"/>
      <c r="AW4942" s="7"/>
      <c r="AX4942" s="7"/>
    </row>
    <row r="4943" spans="14:50" x14ac:dyDescent="0.25">
      <c r="N4943" s="3"/>
      <c r="AW4943" s="7"/>
      <c r="AX4943" s="7"/>
    </row>
    <row r="4944" spans="14:50" x14ac:dyDescent="0.25">
      <c r="N4944" s="3"/>
      <c r="AW4944" s="7"/>
      <c r="AX4944" s="7"/>
    </row>
    <row r="4945" spans="14:50" x14ac:dyDescent="0.25">
      <c r="N4945" s="3"/>
      <c r="AW4945" s="7"/>
      <c r="AX4945" s="7"/>
    </row>
    <row r="4946" spans="14:50" x14ac:dyDescent="0.25">
      <c r="N4946" s="3"/>
      <c r="AW4946" s="7"/>
      <c r="AX4946" s="7"/>
    </row>
    <row r="4947" spans="14:50" x14ac:dyDescent="0.25">
      <c r="N4947" s="3"/>
      <c r="AW4947" s="7"/>
      <c r="AX4947" s="7"/>
    </row>
    <row r="4948" spans="14:50" x14ac:dyDescent="0.25">
      <c r="N4948" s="3"/>
      <c r="AW4948" s="7"/>
      <c r="AX4948" s="7"/>
    </row>
    <row r="4949" spans="14:50" x14ac:dyDescent="0.25">
      <c r="N4949" s="3"/>
      <c r="AW4949" s="7"/>
      <c r="AX4949" s="7"/>
    </row>
    <row r="4950" spans="14:50" x14ac:dyDescent="0.25">
      <c r="N4950" s="3"/>
      <c r="AW4950" s="7"/>
      <c r="AX4950" s="7"/>
    </row>
    <row r="4951" spans="14:50" x14ac:dyDescent="0.25">
      <c r="N4951" s="3"/>
      <c r="AW4951" s="7"/>
      <c r="AX4951" s="7"/>
    </row>
    <row r="4952" spans="14:50" x14ac:dyDescent="0.25">
      <c r="N4952" s="3"/>
      <c r="AW4952" s="7"/>
      <c r="AX4952" s="7"/>
    </row>
    <row r="4953" spans="14:50" x14ac:dyDescent="0.25">
      <c r="N4953" s="3"/>
      <c r="AW4953" s="7"/>
      <c r="AX4953" s="7"/>
    </row>
    <row r="4954" spans="14:50" x14ac:dyDescent="0.25">
      <c r="N4954" s="3"/>
      <c r="AW4954" s="7"/>
      <c r="AX4954" s="7"/>
    </row>
    <row r="4955" spans="14:50" x14ac:dyDescent="0.25">
      <c r="N4955" s="3"/>
      <c r="AW4955" s="7"/>
      <c r="AX4955" s="7"/>
    </row>
    <row r="4956" spans="14:50" x14ac:dyDescent="0.25">
      <c r="N4956" s="3"/>
      <c r="AW4956" s="7"/>
      <c r="AX4956" s="7"/>
    </row>
    <row r="4957" spans="14:50" x14ac:dyDescent="0.25">
      <c r="N4957" s="3"/>
      <c r="AW4957" s="7"/>
      <c r="AX4957" s="7"/>
    </row>
    <row r="4958" spans="14:50" x14ac:dyDescent="0.25">
      <c r="N4958" s="3"/>
      <c r="AW4958" s="7"/>
      <c r="AX4958" s="7"/>
    </row>
    <row r="4959" spans="14:50" x14ac:dyDescent="0.25">
      <c r="N4959" s="3"/>
      <c r="AW4959" s="7"/>
      <c r="AX4959" s="7"/>
    </row>
    <row r="4960" spans="14:50" x14ac:dyDescent="0.25">
      <c r="N4960" s="3"/>
      <c r="AW4960" s="7"/>
      <c r="AX4960" s="7"/>
    </row>
    <row r="4961" spans="14:50" x14ac:dyDescent="0.25">
      <c r="N4961" s="3"/>
      <c r="AW4961" s="7"/>
      <c r="AX4961" s="7"/>
    </row>
    <row r="4962" spans="14:50" x14ac:dyDescent="0.25">
      <c r="N4962" s="3"/>
      <c r="AW4962" s="7"/>
      <c r="AX4962" s="7"/>
    </row>
    <row r="4963" spans="14:50" x14ac:dyDescent="0.25">
      <c r="N4963" s="3"/>
      <c r="AW4963" s="7"/>
      <c r="AX4963" s="7"/>
    </row>
    <row r="4964" spans="14:50" x14ac:dyDescent="0.25">
      <c r="N4964" s="3"/>
      <c r="AW4964" s="7"/>
      <c r="AX4964" s="7"/>
    </row>
    <row r="4965" spans="14:50" x14ac:dyDescent="0.25">
      <c r="N4965" s="3"/>
      <c r="AW4965" s="7"/>
      <c r="AX4965" s="7"/>
    </row>
    <row r="4966" spans="14:50" x14ac:dyDescent="0.25">
      <c r="N4966" s="3"/>
      <c r="AW4966" s="7"/>
      <c r="AX4966" s="7"/>
    </row>
    <row r="4967" spans="14:50" x14ac:dyDescent="0.25">
      <c r="N4967" s="3"/>
      <c r="AW4967" s="7"/>
      <c r="AX4967" s="7"/>
    </row>
    <row r="4968" spans="14:50" x14ac:dyDescent="0.25">
      <c r="N4968" s="3"/>
      <c r="AW4968" s="7"/>
      <c r="AX4968" s="7"/>
    </row>
    <row r="4969" spans="14:50" x14ac:dyDescent="0.25">
      <c r="N4969" s="3"/>
      <c r="AW4969" s="7"/>
      <c r="AX4969" s="7"/>
    </row>
    <row r="4970" spans="14:50" x14ac:dyDescent="0.25">
      <c r="N4970" s="3"/>
      <c r="AW4970" s="7"/>
      <c r="AX4970" s="7"/>
    </row>
    <row r="4971" spans="14:50" x14ac:dyDescent="0.25">
      <c r="N4971" s="3"/>
      <c r="AW4971" s="7"/>
      <c r="AX4971" s="7"/>
    </row>
    <row r="4972" spans="14:50" x14ac:dyDescent="0.25">
      <c r="N4972" s="3"/>
      <c r="AW4972" s="7"/>
      <c r="AX4972" s="7"/>
    </row>
    <row r="4973" spans="14:50" x14ac:dyDescent="0.25">
      <c r="N4973" s="3"/>
      <c r="AW4973" s="7"/>
      <c r="AX4973" s="7"/>
    </row>
    <row r="4974" spans="14:50" x14ac:dyDescent="0.25">
      <c r="N4974" s="3"/>
      <c r="AW4974" s="7"/>
      <c r="AX4974" s="7"/>
    </row>
    <row r="4975" spans="14:50" x14ac:dyDescent="0.25">
      <c r="N4975" s="3"/>
      <c r="AW4975" s="7"/>
      <c r="AX4975" s="7"/>
    </row>
    <row r="4976" spans="14:50" x14ac:dyDescent="0.25">
      <c r="N4976" s="3"/>
      <c r="AW4976" s="7"/>
      <c r="AX4976" s="7"/>
    </row>
    <row r="4977" spans="14:50" x14ac:dyDescent="0.25">
      <c r="N4977" s="3"/>
      <c r="AW4977" s="7"/>
      <c r="AX4977" s="7"/>
    </row>
    <row r="4978" spans="14:50" x14ac:dyDescent="0.25">
      <c r="N4978" s="3"/>
      <c r="AW4978" s="7"/>
      <c r="AX4978" s="7"/>
    </row>
    <row r="4979" spans="14:50" x14ac:dyDescent="0.25">
      <c r="N4979" s="3"/>
      <c r="AW4979" s="7"/>
      <c r="AX4979" s="7"/>
    </row>
    <row r="4980" spans="14:50" x14ac:dyDescent="0.25">
      <c r="N4980" s="3"/>
      <c r="AW4980" s="7"/>
      <c r="AX4980" s="7"/>
    </row>
    <row r="4981" spans="14:50" x14ac:dyDescent="0.25">
      <c r="N4981" s="3"/>
      <c r="AW4981" s="7"/>
      <c r="AX4981" s="7"/>
    </row>
    <row r="4982" spans="14:50" x14ac:dyDescent="0.25">
      <c r="N4982" s="3"/>
      <c r="AW4982" s="7"/>
      <c r="AX4982" s="7"/>
    </row>
    <row r="4983" spans="14:50" x14ac:dyDescent="0.25">
      <c r="N4983" s="3"/>
      <c r="AW4983" s="7"/>
      <c r="AX4983" s="7"/>
    </row>
    <row r="4984" spans="14:50" x14ac:dyDescent="0.25">
      <c r="N4984" s="3"/>
      <c r="AW4984" s="7"/>
      <c r="AX4984" s="7"/>
    </row>
    <row r="4985" spans="14:50" x14ac:dyDescent="0.25">
      <c r="N4985" s="3"/>
      <c r="AW4985" s="7"/>
      <c r="AX4985" s="7"/>
    </row>
    <row r="4986" spans="14:50" x14ac:dyDescent="0.25">
      <c r="N4986" s="3"/>
      <c r="AW4986" s="7"/>
      <c r="AX4986" s="7"/>
    </row>
    <row r="4987" spans="14:50" x14ac:dyDescent="0.25">
      <c r="N4987" s="3"/>
      <c r="AW4987" s="7"/>
      <c r="AX4987" s="7"/>
    </row>
    <row r="4988" spans="14:50" x14ac:dyDescent="0.25">
      <c r="N4988" s="3"/>
      <c r="AW4988" s="7"/>
      <c r="AX4988" s="7"/>
    </row>
    <row r="4989" spans="14:50" x14ac:dyDescent="0.25">
      <c r="N4989" s="3"/>
      <c r="AW4989" s="7"/>
      <c r="AX4989" s="7"/>
    </row>
    <row r="4990" spans="14:50" x14ac:dyDescent="0.25">
      <c r="N4990" s="3"/>
      <c r="AW4990" s="7"/>
      <c r="AX4990" s="7"/>
    </row>
    <row r="4991" spans="14:50" x14ac:dyDescent="0.25">
      <c r="N4991" s="3"/>
      <c r="AW4991" s="7"/>
      <c r="AX4991" s="7"/>
    </row>
    <row r="4992" spans="14:50" x14ac:dyDescent="0.25">
      <c r="N4992" s="3"/>
      <c r="AW4992" s="7"/>
      <c r="AX4992" s="7"/>
    </row>
    <row r="4993" spans="14:50" x14ac:dyDescent="0.25">
      <c r="N4993" s="3"/>
      <c r="AW4993" s="7"/>
      <c r="AX4993" s="7"/>
    </row>
    <row r="4994" spans="14:50" x14ac:dyDescent="0.25">
      <c r="N4994" s="3"/>
      <c r="AW4994" s="7"/>
      <c r="AX4994" s="7"/>
    </row>
    <row r="4995" spans="14:50" x14ac:dyDescent="0.25">
      <c r="N4995" s="3"/>
      <c r="AW4995" s="7"/>
      <c r="AX4995" s="7"/>
    </row>
    <row r="4996" spans="14:50" x14ac:dyDescent="0.25">
      <c r="N4996" s="3"/>
      <c r="AW4996" s="7"/>
      <c r="AX4996" s="7"/>
    </row>
    <row r="4997" spans="14:50" x14ac:dyDescent="0.25">
      <c r="N4997" s="3"/>
      <c r="AW4997" s="7"/>
      <c r="AX4997" s="7"/>
    </row>
    <row r="4998" spans="14:50" x14ac:dyDescent="0.25">
      <c r="N4998" s="3"/>
      <c r="AW4998" s="7"/>
      <c r="AX4998" s="7"/>
    </row>
    <row r="4999" spans="14:50" x14ac:dyDescent="0.25">
      <c r="N4999" s="3"/>
      <c r="AW4999" s="7"/>
      <c r="AX4999" s="7"/>
    </row>
    <row r="5000" spans="14:50" x14ac:dyDescent="0.25">
      <c r="N5000" s="3"/>
      <c r="AW5000" s="7"/>
      <c r="AX5000" s="7"/>
    </row>
    <row r="5001" spans="14:50" x14ac:dyDescent="0.25">
      <c r="N5001" s="3"/>
      <c r="AW5001" s="7"/>
      <c r="AX5001" s="7"/>
    </row>
    <row r="5002" spans="14:50" x14ac:dyDescent="0.25">
      <c r="N5002" s="3"/>
      <c r="AW5002" s="7"/>
      <c r="AX5002" s="7"/>
    </row>
    <row r="5003" spans="14:50" x14ac:dyDescent="0.25">
      <c r="N5003" s="3"/>
      <c r="AW5003" s="7"/>
      <c r="AX5003" s="7"/>
    </row>
    <row r="5004" spans="14:50" x14ac:dyDescent="0.25">
      <c r="N5004" s="3"/>
      <c r="AW5004" s="7"/>
      <c r="AX5004" s="7"/>
    </row>
    <row r="5005" spans="14:50" x14ac:dyDescent="0.25">
      <c r="N5005" s="3"/>
      <c r="AW5005" s="7"/>
      <c r="AX5005" s="7"/>
    </row>
    <row r="5006" spans="14:50" x14ac:dyDescent="0.25">
      <c r="N5006" s="3"/>
      <c r="AW5006" s="7"/>
      <c r="AX5006" s="7"/>
    </row>
    <row r="5007" spans="14:50" x14ac:dyDescent="0.25">
      <c r="N5007" s="3"/>
      <c r="AW5007" s="7"/>
      <c r="AX5007" s="7"/>
    </row>
    <row r="5008" spans="14:50" x14ac:dyDescent="0.25">
      <c r="N5008" s="3"/>
      <c r="AW5008" s="7"/>
      <c r="AX5008" s="7"/>
    </row>
    <row r="5009" spans="14:50" x14ac:dyDescent="0.25">
      <c r="N5009" s="3"/>
      <c r="AW5009" s="7"/>
      <c r="AX5009" s="7"/>
    </row>
    <row r="5010" spans="14:50" x14ac:dyDescent="0.25">
      <c r="N5010" s="3"/>
      <c r="AW5010" s="7"/>
      <c r="AX5010" s="7"/>
    </row>
    <row r="5011" spans="14:50" x14ac:dyDescent="0.25">
      <c r="N5011" s="3"/>
      <c r="AW5011" s="7"/>
      <c r="AX5011" s="7"/>
    </row>
    <row r="5012" spans="14:50" x14ac:dyDescent="0.25">
      <c r="N5012" s="3"/>
      <c r="AW5012" s="7"/>
      <c r="AX5012" s="7"/>
    </row>
    <row r="5013" spans="14:50" x14ac:dyDescent="0.25">
      <c r="N5013" s="3"/>
      <c r="AW5013" s="7"/>
      <c r="AX5013" s="7"/>
    </row>
    <row r="5014" spans="14:50" x14ac:dyDescent="0.25">
      <c r="N5014" s="3"/>
      <c r="AW5014" s="7"/>
      <c r="AX5014" s="7"/>
    </row>
    <row r="5015" spans="14:50" x14ac:dyDescent="0.25">
      <c r="N5015" s="3"/>
      <c r="AW5015" s="7"/>
      <c r="AX5015" s="7"/>
    </row>
    <row r="5016" spans="14:50" x14ac:dyDescent="0.25">
      <c r="N5016" s="3"/>
      <c r="AW5016" s="7"/>
      <c r="AX5016" s="7"/>
    </row>
    <row r="5017" spans="14:50" x14ac:dyDescent="0.25">
      <c r="N5017" s="3"/>
      <c r="AW5017" s="7"/>
      <c r="AX5017" s="7"/>
    </row>
    <row r="5018" spans="14:50" x14ac:dyDescent="0.25">
      <c r="N5018" s="3"/>
      <c r="AW5018" s="7"/>
      <c r="AX5018" s="7"/>
    </row>
    <row r="5019" spans="14:50" x14ac:dyDescent="0.25">
      <c r="N5019" s="3"/>
      <c r="AW5019" s="7"/>
      <c r="AX5019" s="7"/>
    </row>
    <row r="5020" spans="14:50" x14ac:dyDescent="0.25">
      <c r="N5020" s="3"/>
      <c r="AW5020" s="7"/>
      <c r="AX5020" s="7"/>
    </row>
    <row r="5021" spans="14:50" x14ac:dyDescent="0.25">
      <c r="N5021" s="3"/>
      <c r="AW5021" s="7"/>
      <c r="AX5021" s="7"/>
    </row>
    <row r="5022" spans="14:50" x14ac:dyDescent="0.25">
      <c r="N5022" s="3"/>
      <c r="AW5022" s="7"/>
      <c r="AX5022" s="7"/>
    </row>
    <row r="5023" spans="14:50" x14ac:dyDescent="0.25">
      <c r="N5023" s="3"/>
      <c r="AW5023" s="7"/>
      <c r="AX5023" s="7"/>
    </row>
    <row r="5024" spans="14:50" x14ac:dyDescent="0.25">
      <c r="N5024" s="3"/>
      <c r="AW5024" s="7"/>
      <c r="AX5024" s="7"/>
    </row>
    <row r="5025" spans="14:50" x14ac:dyDescent="0.25">
      <c r="N5025" s="3"/>
      <c r="AW5025" s="7"/>
      <c r="AX5025" s="7"/>
    </row>
    <row r="5026" spans="14:50" x14ac:dyDescent="0.25">
      <c r="N5026" s="3"/>
      <c r="AW5026" s="7"/>
      <c r="AX5026" s="7"/>
    </row>
    <row r="5027" spans="14:50" x14ac:dyDescent="0.25">
      <c r="N5027" s="3"/>
      <c r="AW5027" s="7"/>
      <c r="AX5027" s="7"/>
    </row>
    <row r="5028" spans="14:50" x14ac:dyDescent="0.25">
      <c r="N5028" s="3"/>
      <c r="AW5028" s="7"/>
      <c r="AX5028" s="7"/>
    </row>
    <row r="5029" spans="14:50" x14ac:dyDescent="0.25">
      <c r="N5029" s="3"/>
      <c r="AW5029" s="7"/>
      <c r="AX5029" s="7"/>
    </row>
    <row r="5030" spans="14:50" x14ac:dyDescent="0.25">
      <c r="N5030" s="3"/>
      <c r="AW5030" s="7"/>
      <c r="AX5030" s="7"/>
    </row>
    <row r="5031" spans="14:50" x14ac:dyDescent="0.25">
      <c r="N5031" s="3"/>
      <c r="AW5031" s="7"/>
      <c r="AX5031" s="7"/>
    </row>
    <row r="5032" spans="14:50" x14ac:dyDescent="0.25">
      <c r="N5032" s="3"/>
      <c r="AW5032" s="7"/>
      <c r="AX5032" s="7"/>
    </row>
    <row r="5033" spans="14:50" x14ac:dyDescent="0.25">
      <c r="N5033" s="3"/>
      <c r="AW5033" s="7"/>
      <c r="AX5033" s="7"/>
    </row>
    <row r="5034" spans="14:50" x14ac:dyDescent="0.25">
      <c r="N5034" s="3"/>
      <c r="AW5034" s="7"/>
      <c r="AX5034" s="7"/>
    </row>
    <row r="5035" spans="14:50" x14ac:dyDescent="0.25">
      <c r="N5035" s="3"/>
      <c r="AW5035" s="7"/>
      <c r="AX5035" s="7"/>
    </row>
    <row r="5036" spans="14:50" x14ac:dyDescent="0.25">
      <c r="N5036" s="3"/>
      <c r="AW5036" s="7"/>
      <c r="AX5036" s="7"/>
    </row>
    <row r="5037" spans="14:50" x14ac:dyDescent="0.25">
      <c r="N5037" s="3"/>
      <c r="AW5037" s="7"/>
      <c r="AX5037" s="7"/>
    </row>
    <row r="5038" spans="14:50" x14ac:dyDescent="0.25">
      <c r="N5038" s="3"/>
      <c r="AW5038" s="7"/>
      <c r="AX5038" s="7"/>
    </row>
    <row r="5039" spans="14:50" x14ac:dyDescent="0.25">
      <c r="N5039" s="3"/>
      <c r="AW5039" s="7"/>
      <c r="AX5039" s="7"/>
    </row>
    <row r="5040" spans="14:50" x14ac:dyDescent="0.25">
      <c r="N5040" s="3"/>
      <c r="AW5040" s="7"/>
      <c r="AX5040" s="7"/>
    </row>
    <row r="5041" spans="14:50" x14ac:dyDescent="0.25">
      <c r="N5041" s="3"/>
      <c r="AW5041" s="7"/>
      <c r="AX5041" s="7"/>
    </row>
    <row r="5042" spans="14:50" x14ac:dyDescent="0.25">
      <c r="N5042" s="3"/>
      <c r="AW5042" s="7"/>
      <c r="AX5042" s="7"/>
    </row>
    <row r="5043" spans="14:50" x14ac:dyDescent="0.25">
      <c r="N5043" s="3"/>
      <c r="AW5043" s="7"/>
      <c r="AX5043" s="7"/>
    </row>
    <row r="5044" spans="14:50" x14ac:dyDescent="0.25">
      <c r="N5044" s="3"/>
      <c r="AW5044" s="7"/>
      <c r="AX5044" s="7"/>
    </row>
    <row r="5045" spans="14:50" x14ac:dyDescent="0.25">
      <c r="N5045" s="3"/>
      <c r="AW5045" s="7"/>
      <c r="AX5045" s="7"/>
    </row>
    <row r="5046" spans="14:50" x14ac:dyDescent="0.25">
      <c r="N5046" s="3"/>
      <c r="AW5046" s="7"/>
      <c r="AX5046" s="7"/>
    </row>
    <row r="5047" spans="14:50" x14ac:dyDescent="0.25">
      <c r="N5047" s="3"/>
      <c r="AW5047" s="7"/>
      <c r="AX5047" s="7"/>
    </row>
    <row r="5048" spans="14:50" x14ac:dyDescent="0.25">
      <c r="N5048" s="3"/>
      <c r="AW5048" s="7"/>
      <c r="AX5048" s="7"/>
    </row>
    <row r="5049" spans="14:50" x14ac:dyDescent="0.25">
      <c r="N5049" s="3"/>
      <c r="AW5049" s="7"/>
      <c r="AX5049" s="7"/>
    </row>
    <row r="5050" spans="14:50" x14ac:dyDescent="0.25">
      <c r="N5050" s="3"/>
      <c r="AW5050" s="7"/>
      <c r="AX5050" s="7"/>
    </row>
    <row r="5051" spans="14:50" x14ac:dyDescent="0.25">
      <c r="N5051" s="3"/>
      <c r="AW5051" s="7"/>
      <c r="AX5051" s="7"/>
    </row>
    <row r="5052" spans="14:50" x14ac:dyDescent="0.25">
      <c r="N5052" s="3"/>
      <c r="AW5052" s="7"/>
      <c r="AX5052" s="7"/>
    </row>
    <row r="5053" spans="14:50" x14ac:dyDescent="0.25">
      <c r="N5053" s="3"/>
      <c r="AW5053" s="7"/>
      <c r="AX5053" s="7"/>
    </row>
    <row r="5054" spans="14:50" x14ac:dyDescent="0.25">
      <c r="N5054" s="3"/>
      <c r="AW5054" s="7"/>
      <c r="AX5054" s="7"/>
    </row>
    <row r="5055" spans="14:50" x14ac:dyDescent="0.25">
      <c r="N5055" s="3"/>
      <c r="AW5055" s="7"/>
      <c r="AX5055" s="7"/>
    </row>
    <row r="5056" spans="14:50" x14ac:dyDescent="0.25">
      <c r="N5056" s="3"/>
      <c r="AW5056" s="7"/>
      <c r="AX5056" s="7"/>
    </row>
    <row r="5057" spans="14:50" x14ac:dyDescent="0.25">
      <c r="N5057" s="3"/>
      <c r="AW5057" s="7"/>
      <c r="AX5057" s="7"/>
    </row>
    <row r="5058" spans="14:50" x14ac:dyDescent="0.25">
      <c r="N5058" s="3"/>
      <c r="AW5058" s="7"/>
      <c r="AX5058" s="7"/>
    </row>
    <row r="5059" spans="14:50" x14ac:dyDescent="0.25">
      <c r="N5059" s="3"/>
      <c r="AW5059" s="7"/>
      <c r="AX5059" s="7"/>
    </row>
    <row r="5060" spans="14:50" x14ac:dyDescent="0.25">
      <c r="N5060" s="3"/>
      <c r="AW5060" s="7"/>
      <c r="AX5060" s="7"/>
    </row>
    <row r="5061" spans="14:50" x14ac:dyDescent="0.25">
      <c r="N5061" s="3"/>
      <c r="AW5061" s="7"/>
      <c r="AX5061" s="7"/>
    </row>
    <row r="5062" spans="14:50" x14ac:dyDescent="0.25">
      <c r="N5062" s="3"/>
      <c r="AW5062" s="7"/>
      <c r="AX5062" s="7"/>
    </row>
    <row r="5063" spans="14:50" x14ac:dyDescent="0.25">
      <c r="N5063" s="3"/>
      <c r="AW5063" s="7"/>
      <c r="AX5063" s="7"/>
    </row>
    <row r="5064" spans="14:50" x14ac:dyDescent="0.25">
      <c r="N5064" s="3"/>
      <c r="AW5064" s="7"/>
      <c r="AX5064" s="7"/>
    </row>
    <row r="5065" spans="14:50" x14ac:dyDescent="0.25">
      <c r="N5065" s="3"/>
      <c r="AW5065" s="7"/>
      <c r="AX5065" s="7"/>
    </row>
    <row r="5066" spans="14:50" x14ac:dyDescent="0.25">
      <c r="N5066" s="3"/>
      <c r="AW5066" s="7"/>
      <c r="AX5066" s="7"/>
    </row>
    <row r="5067" spans="14:50" x14ac:dyDescent="0.25">
      <c r="N5067" s="3"/>
      <c r="AW5067" s="7"/>
      <c r="AX5067" s="7"/>
    </row>
    <row r="5068" spans="14:50" x14ac:dyDescent="0.25">
      <c r="N5068" s="3"/>
      <c r="AW5068" s="7"/>
      <c r="AX5068" s="7"/>
    </row>
    <row r="5069" spans="14:50" x14ac:dyDescent="0.25">
      <c r="N5069" s="3"/>
      <c r="AW5069" s="7"/>
      <c r="AX5069" s="7"/>
    </row>
    <row r="5070" spans="14:50" x14ac:dyDescent="0.25">
      <c r="N5070" s="3"/>
      <c r="AW5070" s="7"/>
      <c r="AX5070" s="7"/>
    </row>
    <row r="5071" spans="14:50" x14ac:dyDescent="0.25">
      <c r="N5071" s="3"/>
      <c r="AW5071" s="7"/>
      <c r="AX5071" s="7"/>
    </row>
    <row r="5072" spans="14:50" x14ac:dyDescent="0.25">
      <c r="N5072" s="3"/>
      <c r="AW5072" s="7"/>
      <c r="AX5072" s="7"/>
    </row>
    <row r="5073" spans="14:50" x14ac:dyDescent="0.25">
      <c r="N5073" s="3"/>
      <c r="AW5073" s="7"/>
      <c r="AX5073" s="7"/>
    </row>
    <row r="5074" spans="14:50" x14ac:dyDescent="0.25">
      <c r="N5074" s="3"/>
      <c r="AW5074" s="7"/>
      <c r="AX5074" s="7"/>
    </row>
    <row r="5075" spans="14:50" x14ac:dyDescent="0.25">
      <c r="N5075" s="3"/>
      <c r="AW5075" s="7"/>
      <c r="AX5075" s="7"/>
    </row>
    <row r="5076" spans="14:50" x14ac:dyDescent="0.25">
      <c r="N5076" s="3"/>
      <c r="AW5076" s="7"/>
      <c r="AX5076" s="7"/>
    </row>
    <row r="5077" spans="14:50" x14ac:dyDescent="0.25">
      <c r="N5077" s="3"/>
      <c r="AW5077" s="7"/>
      <c r="AX5077" s="7"/>
    </row>
    <row r="5078" spans="14:50" x14ac:dyDescent="0.25">
      <c r="N5078" s="3"/>
      <c r="AW5078" s="7"/>
      <c r="AX5078" s="7"/>
    </row>
    <row r="5079" spans="14:50" x14ac:dyDescent="0.25">
      <c r="N5079" s="3"/>
      <c r="AW5079" s="7"/>
      <c r="AX5079" s="7"/>
    </row>
    <row r="5080" spans="14:50" x14ac:dyDescent="0.25">
      <c r="N5080" s="3"/>
      <c r="AW5080" s="7"/>
      <c r="AX5080" s="7"/>
    </row>
    <row r="5081" spans="14:50" x14ac:dyDescent="0.25">
      <c r="N5081" s="3"/>
      <c r="AW5081" s="7"/>
      <c r="AX5081" s="7"/>
    </row>
    <row r="5082" spans="14:50" x14ac:dyDescent="0.25">
      <c r="N5082" s="3"/>
      <c r="AW5082" s="7"/>
      <c r="AX5082" s="7"/>
    </row>
    <row r="5083" spans="14:50" x14ac:dyDescent="0.25">
      <c r="N5083" s="3"/>
      <c r="AW5083" s="7"/>
      <c r="AX5083" s="7"/>
    </row>
    <row r="5084" spans="14:50" x14ac:dyDescent="0.25">
      <c r="N5084" s="3"/>
      <c r="AW5084" s="7"/>
      <c r="AX5084" s="7"/>
    </row>
    <row r="5085" spans="14:50" x14ac:dyDescent="0.25">
      <c r="N5085" s="3"/>
      <c r="AW5085" s="7"/>
      <c r="AX5085" s="7"/>
    </row>
    <row r="5086" spans="14:50" x14ac:dyDescent="0.25">
      <c r="N5086" s="3"/>
      <c r="AW5086" s="7"/>
      <c r="AX5086" s="7"/>
    </row>
    <row r="5087" spans="14:50" x14ac:dyDescent="0.25">
      <c r="N5087" s="3"/>
      <c r="AW5087" s="7"/>
      <c r="AX5087" s="7"/>
    </row>
    <row r="5088" spans="14:50" x14ac:dyDescent="0.25">
      <c r="N5088" s="3"/>
      <c r="AW5088" s="7"/>
      <c r="AX5088" s="7"/>
    </row>
    <row r="5089" spans="14:50" x14ac:dyDescent="0.25">
      <c r="N5089" s="3"/>
      <c r="AW5089" s="7"/>
      <c r="AX5089" s="7"/>
    </row>
    <row r="5090" spans="14:50" x14ac:dyDescent="0.25">
      <c r="N5090" s="3"/>
      <c r="AW5090" s="7"/>
      <c r="AX5090" s="7"/>
    </row>
    <row r="5091" spans="14:50" x14ac:dyDescent="0.25">
      <c r="N5091" s="3"/>
      <c r="AW5091" s="7"/>
      <c r="AX5091" s="7"/>
    </row>
    <row r="5092" spans="14:50" x14ac:dyDescent="0.25">
      <c r="N5092" s="3"/>
      <c r="AW5092" s="7"/>
      <c r="AX5092" s="7"/>
    </row>
    <row r="5093" spans="14:50" x14ac:dyDescent="0.25">
      <c r="N5093" s="3"/>
      <c r="AW5093" s="7"/>
      <c r="AX5093" s="7"/>
    </row>
    <row r="5094" spans="14:50" x14ac:dyDescent="0.25">
      <c r="N5094" s="3"/>
      <c r="AW5094" s="7"/>
      <c r="AX5094" s="7"/>
    </row>
    <row r="5095" spans="14:50" x14ac:dyDescent="0.25">
      <c r="N5095" s="3"/>
      <c r="AW5095" s="7"/>
      <c r="AX5095" s="7"/>
    </row>
    <row r="5096" spans="14:50" x14ac:dyDescent="0.25">
      <c r="N5096" s="3"/>
      <c r="AW5096" s="7"/>
      <c r="AX5096" s="7"/>
    </row>
    <row r="5097" spans="14:50" x14ac:dyDescent="0.25">
      <c r="N5097" s="3"/>
      <c r="AW5097" s="7"/>
      <c r="AX5097" s="7"/>
    </row>
    <row r="5098" spans="14:50" x14ac:dyDescent="0.25">
      <c r="N5098" s="3"/>
      <c r="AW5098" s="7"/>
      <c r="AX5098" s="7"/>
    </row>
    <row r="5099" spans="14:50" x14ac:dyDescent="0.25">
      <c r="N5099" s="3"/>
      <c r="AW5099" s="7"/>
      <c r="AX5099" s="7"/>
    </row>
    <row r="5100" spans="14:50" x14ac:dyDescent="0.25">
      <c r="N5100" s="3"/>
      <c r="AW5100" s="7"/>
      <c r="AX5100" s="7"/>
    </row>
    <row r="5101" spans="14:50" x14ac:dyDescent="0.25">
      <c r="N5101" s="3"/>
      <c r="AW5101" s="7"/>
      <c r="AX5101" s="7"/>
    </row>
    <row r="5102" spans="14:50" x14ac:dyDescent="0.25">
      <c r="N5102" s="3"/>
      <c r="AW5102" s="7"/>
      <c r="AX5102" s="7"/>
    </row>
    <row r="5103" spans="14:50" x14ac:dyDescent="0.25">
      <c r="N5103" s="3"/>
      <c r="AW5103" s="7"/>
      <c r="AX5103" s="7"/>
    </row>
    <row r="5104" spans="14:50" x14ac:dyDescent="0.25">
      <c r="N5104" s="3"/>
      <c r="AW5104" s="7"/>
      <c r="AX5104" s="7"/>
    </row>
    <row r="5105" spans="14:50" x14ac:dyDescent="0.25">
      <c r="N5105" s="3"/>
      <c r="AW5105" s="7"/>
      <c r="AX5105" s="7"/>
    </row>
    <row r="5106" spans="14:50" x14ac:dyDescent="0.25">
      <c r="N5106" s="3"/>
      <c r="AW5106" s="7"/>
      <c r="AX5106" s="7"/>
    </row>
    <row r="5107" spans="14:50" x14ac:dyDescent="0.25">
      <c r="N5107" s="3"/>
      <c r="AW5107" s="7"/>
      <c r="AX5107" s="7"/>
    </row>
    <row r="5108" spans="14:50" x14ac:dyDescent="0.25">
      <c r="N5108" s="3"/>
      <c r="AW5108" s="7"/>
      <c r="AX5108" s="7"/>
    </row>
    <row r="5109" spans="14:50" x14ac:dyDescent="0.25">
      <c r="N5109" s="3"/>
      <c r="AW5109" s="7"/>
      <c r="AX5109" s="7"/>
    </row>
    <row r="5110" spans="14:50" x14ac:dyDescent="0.25">
      <c r="N5110" s="3"/>
      <c r="AW5110" s="7"/>
      <c r="AX5110" s="7"/>
    </row>
    <row r="5111" spans="14:50" x14ac:dyDescent="0.25">
      <c r="N5111" s="3"/>
      <c r="AW5111" s="7"/>
      <c r="AX5111" s="7"/>
    </row>
    <row r="5112" spans="14:50" x14ac:dyDescent="0.25">
      <c r="N5112" s="3"/>
      <c r="AW5112" s="7"/>
      <c r="AX5112" s="7"/>
    </row>
    <row r="5113" spans="14:50" x14ac:dyDescent="0.25">
      <c r="N5113" s="3"/>
      <c r="AW5113" s="7"/>
      <c r="AX5113" s="7"/>
    </row>
    <row r="5114" spans="14:50" x14ac:dyDescent="0.25">
      <c r="N5114" s="3"/>
      <c r="AW5114" s="7"/>
      <c r="AX5114" s="7"/>
    </row>
    <row r="5115" spans="14:50" x14ac:dyDescent="0.25">
      <c r="N5115" s="3"/>
      <c r="AW5115" s="7"/>
      <c r="AX5115" s="7"/>
    </row>
    <row r="5116" spans="14:50" x14ac:dyDescent="0.25">
      <c r="N5116" s="3"/>
      <c r="AW5116" s="7"/>
      <c r="AX5116" s="7"/>
    </row>
    <row r="5117" spans="14:50" x14ac:dyDescent="0.25">
      <c r="N5117" s="3"/>
      <c r="AW5117" s="7"/>
      <c r="AX5117" s="7"/>
    </row>
    <row r="5118" spans="14:50" x14ac:dyDescent="0.25">
      <c r="N5118" s="3"/>
      <c r="AW5118" s="7"/>
      <c r="AX5118" s="7"/>
    </row>
    <row r="5119" spans="14:50" x14ac:dyDescent="0.25">
      <c r="N5119" s="3"/>
      <c r="AW5119" s="7"/>
      <c r="AX5119" s="7"/>
    </row>
    <row r="5120" spans="14:50" x14ac:dyDescent="0.25">
      <c r="N5120" s="3"/>
      <c r="AW5120" s="7"/>
      <c r="AX5120" s="7"/>
    </row>
    <row r="5121" spans="14:50" x14ac:dyDescent="0.25">
      <c r="N5121" s="3"/>
      <c r="AW5121" s="7"/>
      <c r="AX5121" s="7"/>
    </row>
    <row r="5122" spans="14:50" x14ac:dyDescent="0.25">
      <c r="N5122" s="3"/>
      <c r="AW5122" s="7"/>
      <c r="AX5122" s="7"/>
    </row>
    <row r="5123" spans="14:50" x14ac:dyDescent="0.25">
      <c r="N5123" s="3"/>
      <c r="AW5123" s="7"/>
      <c r="AX5123" s="7"/>
    </row>
    <row r="5124" spans="14:50" x14ac:dyDescent="0.25">
      <c r="N5124" s="3"/>
      <c r="AW5124" s="7"/>
      <c r="AX5124" s="7"/>
    </row>
    <row r="5125" spans="14:50" x14ac:dyDescent="0.25">
      <c r="N5125" s="3"/>
      <c r="AW5125" s="7"/>
      <c r="AX5125" s="7"/>
    </row>
    <row r="5126" spans="14:50" x14ac:dyDescent="0.25">
      <c r="N5126" s="3"/>
      <c r="AW5126" s="7"/>
      <c r="AX5126" s="7"/>
    </row>
    <row r="5127" spans="14:50" x14ac:dyDescent="0.25">
      <c r="N5127" s="3"/>
      <c r="AW5127" s="7"/>
      <c r="AX5127" s="7"/>
    </row>
    <row r="5128" spans="14:50" x14ac:dyDescent="0.25">
      <c r="N5128" s="3"/>
      <c r="AW5128" s="7"/>
      <c r="AX5128" s="7"/>
    </row>
    <row r="5129" spans="14:50" x14ac:dyDescent="0.25">
      <c r="N5129" s="3"/>
      <c r="AW5129" s="7"/>
      <c r="AX5129" s="7"/>
    </row>
    <row r="5130" spans="14:50" x14ac:dyDescent="0.25">
      <c r="N5130" s="3"/>
      <c r="AW5130" s="7"/>
      <c r="AX5130" s="7"/>
    </row>
    <row r="5131" spans="14:50" x14ac:dyDescent="0.25">
      <c r="N5131" s="3"/>
      <c r="AW5131" s="7"/>
      <c r="AX5131" s="7"/>
    </row>
    <row r="5132" spans="14:50" x14ac:dyDescent="0.25">
      <c r="N5132" s="3"/>
      <c r="AW5132" s="7"/>
      <c r="AX5132" s="7"/>
    </row>
    <row r="5133" spans="14:50" x14ac:dyDescent="0.25">
      <c r="N5133" s="3"/>
      <c r="AW5133" s="7"/>
      <c r="AX5133" s="7"/>
    </row>
    <row r="5134" spans="14:50" x14ac:dyDescent="0.25">
      <c r="N5134" s="3"/>
      <c r="AW5134" s="7"/>
      <c r="AX5134" s="7"/>
    </row>
    <row r="5135" spans="14:50" x14ac:dyDescent="0.25">
      <c r="N5135" s="3"/>
      <c r="AW5135" s="7"/>
      <c r="AX5135" s="7"/>
    </row>
    <row r="5136" spans="14:50" x14ac:dyDescent="0.25">
      <c r="N5136" s="3"/>
      <c r="AW5136" s="7"/>
      <c r="AX5136" s="7"/>
    </row>
    <row r="5137" spans="14:50" x14ac:dyDescent="0.25">
      <c r="N5137" s="3"/>
      <c r="AW5137" s="7"/>
      <c r="AX5137" s="7"/>
    </row>
    <row r="5138" spans="14:50" x14ac:dyDescent="0.25">
      <c r="N5138" s="3"/>
      <c r="AW5138" s="7"/>
      <c r="AX5138" s="7"/>
    </row>
    <row r="5139" spans="14:50" x14ac:dyDescent="0.25">
      <c r="N5139" s="3"/>
      <c r="AW5139" s="7"/>
      <c r="AX5139" s="7"/>
    </row>
    <row r="5140" spans="14:50" x14ac:dyDescent="0.25">
      <c r="N5140" s="3"/>
      <c r="AW5140" s="7"/>
      <c r="AX5140" s="7"/>
    </row>
    <row r="5141" spans="14:50" x14ac:dyDescent="0.25">
      <c r="N5141" s="3"/>
      <c r="AW5141" s="7"/>
      <c r="AX5141" s="7"/>
    </row>
    <row r="5142" spans="14:50" x14ac:dyDescent="0.25">
      <c r="N5142" s="3"/>
      <c r="AW5142" s="7"/>
      <c r="AX5142" s="7"/>
    </row>
    <row r="5143" spans="14:50" x14ac:dyDescent="0.25">
      <c r="N5143" s="3"/>
      <c r="AW5143" s="7"/>
      <c r="AX5143" s="7"/>
    </row>
    <row r="5144" spans="14:50" x14ac:dyDescent="0.25">
      <c r="N5144" s="3"/>
      <c r="AW5144" s="7"/>
      <c r="AX5144" s="7"/>
    </row>
    <row r="5145" spans="14:50" x14ac:dyDescent="0.25">
      <c r="N5145" s="3"/>
      <c r="AW5145" s="7"/>
      <c r="AX5145" s="7"/>
    </row>
    <row r="5146" spans="14:50" x14ac:dyDescent="0.25">
      <c r="N5146" s="3"/>
      <c r="AW5146" s="7"/>
      <c r="AX5146" s="7"/>
    </row>
    <row r="5147" spans="14:50" x14ac:dyDescent="0.25">
      <c r="N5147" s="3"/>
      <c r="AW5147" s="7"/>
      <c r="AX5147" s="7"/>
    </row>
    <row r="5148" spans="14:50" x14ac:dyDescent="0.25">
      <c r="N5148" s="3"/>
      <c r="AW5148" s="7"/>
      <c r="AX5148" s="7"/>
    </row>
    <row r="5149" spans="14:50" x14ac:dyDescent="0.25">
      <c r="N5149" s="3"/>
      <c r="AW5149" s="7"/>
      <c r="AX5149" s="7"/>
    </row>
    <row r="5150" spans="14:50" x14ac:dyDescent="0.25">
      <c r="N5150" s="3"/>
      <c r="AW5150" s="7"/>
      <c r="AX5150" s="7"/>
    </row>
    <row r="5151" spans="14:50" x14ac:dyDescent="0.25">
      <c r="N5151" s="3"/>
      <c r="AW5151" s="7"/>
      <c r="AX5151" s="7"/>
    </row>
    <row r="5152" spans="14:50" x14ac:dyDescent="0.25">
      <c r="N5152" s="3"/>
      <c r="AW5152" s="7"/>
      <c r="AX5152" s="7"/>
    </row>
    <row r="5153" spans="14:50" x14ac:dyDescent="0.25">
      <c r="N5153" s="3"/>
      <c r="AW5153" s="7"/>
      <c r="AX5153" s="7"/>
    </row>
    <row r="5154" spans="14:50" x14ac:dyDescent="0.25">
      <c r="N5154" s="3"/>
      <c r="AW5154" s="7"/>
      <c r="AX5154" s="7"/>
    </row>
    <row r="5155" spans="14:50" x14ac:dyDescent="0.25">
      <c r="N5155" s="3"/>
      <c r="AW5155" s="7"/>
      <c r="AX5155" s="7"/>
    </row>
    <row r="5156" spans="14:50" x14ac:dyDescent="0.25">
      <c r="N5156" s="3"/>
      <c r="AW5156" s="7"/>
      <c r="AX5156" s="7"/>
    </row>
    <row r="5157" spans="14:50" x14ac:dyDescent="0.25">
      <c r="N5157" s="3"/>
      <c r="AW5157" s="7"/>
      <c r="AX5157" s="7"/>
    </row>
    <row r="5158" spans="14:50" x14ac:dyDescent="0.25">
      <c r="N5158" s="3"/>
      <c r="AW5158" s="7"/>
      <c r="AX5158" s="7"/>
    </row>
    <row r="5159" spans="14:50" x14ac:dyDescent="0.25">
      <c r="N5159" s="3"/>
      <c r="AW5159" s="7"/>
      <c r="AX5159" s="7"/>
    </row>
    <row r="5160" spans="14:50" x14ac:dyDescent="0.25">
      <c r="N5160" s="3"/>
      <c r="AW5160" s="7"/>
      <c r="AX5160" s="7"/>
    </row>
    <row r="5161" spans="14:50" x14ac:dyDescent="0.25">
      <c r="N5161" s="3"/>
      <c r="AW5161" s="7"/>
      <c r="AX5161" s="7"/>
    </row>
    <row r="5162" spans="14:50" x14ac:dyDescent="0.25">
      <c r="N5162" s="3"/>
      <c r="AW5162" s="7"/>
      <c r="AX5162" s="7"/>
    </row>
    <row r="5163" spans="14:50" x14ac:dyDescent="0.25">
      <c r="N5163" s="3"/>
      <c r="AW5163" s="7"/>
      <c r="AX5163" s="7"/>
    </row>
    <row r="5164" spans="14:50" x14ac:dyDescent="0.25">
      <c r="N5164" s="3"/>
      <c r="AW5164" s="7"/>
      <c r="AX5164" s="7"/>
    </row>
    <row r="5165" spans="14:50" x14ac:dyDescent="0.25">
      <c r="N5165" s="3"/>
      <c r="AW5165" s="7"/>
      <c r="AX5165" s="7"/>
    </row>
    <row r="5166" spans="14:50" x14ac:dyDescent="0.25">
      <c r="N5166" s="3"/>
      <c r="AW5166" s="7"/>
      <c r="AX5166" s="7"/>
    </row>
    <row r="5167" spans="14:50" x14ac:dyDescent="0.25">
      <c r="N5167" s="3"/>
      <c r="AW5167" s="7"/>
      <c r="AX5167" s="7"/>
    </row>
    <row r="5168" spans="14:50" x14ac:dyDescent="0.25">
      <c r="N5168" s="3"/>
      <c r="AW5168" s="7"/>
      <c r="AX5168" s="7"/>
    </row>
    <row r="5169" spans="14:50" x14ac:dyDescent="0.25">
      <c r="N5169" s="3"/>
      <c r="AW5169" s="7"/>
      <c r="AX5169" s="7"/>
    </row>
    <row r="5170" spans="14:50" x14ac:dyDescent="0.25">
      <c r="N5170" s="3"/>
      <c r="AW5170" s="7"/>
      <c r="AX5170" s="7"/>
    </row>
    <row r="5171" spans="14:50" x14ac:dyDescent="0.25">
      <c r="N5171" s="3"/>
      <c r="AW5171" s="7"/>
      <c r="AX5171" s="7"/>
    </row>
    <row r="5172" spans="14:50" x14ac:dyDescent="0.25">
      <c r="N5172" s="3"/>
      <c r="AW5172" s="7"/>
      <c r="AX5172" s="7"/>
    </row>
    <row r="5173" spans="14:50" x14ac:dyDescent="0.25">
      <c r="N5173" s="3"/>
      <c r="AW5173" s="7"/>
      <c r="AX5173" s="7"/>
    </row>
    <row r="5174" spans="14:50" x14ac:dyDescent="0.25">
      <c r="N5174" s="3"/>
      <c r="AW5174" s="7"/>
      <c r="AX5174" s="7"/>
    </row>
    <row r="5175" spans="14:50" x14ac:dyDescent="0.25">
      <c r="N5175" s="3"/>
      <c r="AW5175" s="7"/>
      <c r="AX5175" s="7"/>
    </row>
    <row r="5176" spans="14:50" x14ac:dyDescent="0.25">
      <c r="N5176" s="3"/>
      <c r="AW5176" s="7"/>
      <c r="AX5176" s="7"/>
    </row>
    <row r="5177" spans="14:50" x14ac:dyDescent="0.25">
      <c r="N5177" s="3"/>
      <c r="AW5177" s="7"/>
      <c r="AX5177" s="7"/>
    </row>
    <row r="5178" spans="14:50" x14ac:dyDescent="0.25">
      <c r="N5178" s="3"/>
      <c r="AW5178" s="7"/>
      <c r="AX5178" s="7"/>
    </row>
    <row r="5179" spans="14:50" x14ac:dyDescent="0.25">
      <c r="N5179" s="3"/>
      <c r="AW5179" s="7"/>
      <c r="AX5179" s="7"/>
    </row>
    <row r="5180" spans="14:50" x14ac:dyDescent="0.25">
      <c r="N5180" s="3"/>
      <c r="AW5180" s="7"/>
      <c r="AX5180" s="7"/>
    </row>
    <row r="5181" spans="14:50" x14ac:dyDescent="0.25">
      <c r="N5181" s="3"/>
      <c r="AW5181" s="7"/>
      <c r="AX5181" s="7"/>
    </row>
    <row r="5182" spans="14:50" x14ac:dyDescent="0.25">
      <c r="N5182" s="3"/>
      <c r="AW5182" s="7"/>
      <c r="AX5182" s="7"/>
    </row>
    <row r="5183" spans="14:50" x14ac:dyDescent="0.25">
      <c r="N5183" s="3"/>
      <c r="AW5183" s="7"/>
      <c r="AX5183" s="7"/>
    </row>
    <row r="5184" spans="14:50" x14ac:dyDescent="0.25">
      <c r="N5184" s="3"/>
      <c r="AW5184" s="7"/>
      <c r="AX5184" s="7"/>
    </row>
    <row r="5185" spans="14:50" x14ac:dyDescent="0.25">
      <c r="N5185" s="3"/>
      <c r="AW5185" s="7"/>
      <c r="AX5185" s="7"/>
    </row>
    <row r="5186" spans="14:50" x14ac:dyDescent="0.25">
      <c r="N5186" s="3"/>
      <c r="AW5186" s="7"/>
      <c r="AX5186" s="7"/>
    </row>
    <row r="5187" spans="14:50" x14ac:dyDescent="0.25">
      <c r="N5187" s="3"/>
      <c r="AW5187" s="7"/>
      <c r="AX5187" s="7"/>
    </row>
    <row r="5188" spans="14:50" x14ac:dyDescent="0.25">
      <c r="N5188" s="3"/>
      <c r="AW5188" s="7"/>
      <c r="AX5188" s="7"/>
    </row>
    <row r="5189" spans="14:50" x14ac:dyDescent="0.25">
      <c r="N5189" s="3"/>
      <c r="AW5189" s="7"/>
      <c r="AX5189" s="7"/>
    </row>
    <row r="5190" spans="14:50" x14ac:dyDescent="0.25">
      <c r="N5190" s="3"/>
      <c r="AW5190" s="7"/>
      <c r="AX5190" s="7"/>
    </row>
    <row r="5191" spans="14:50" x14ac:dyDescent="0.25">
      <c r="N5191" s="3"/>
      <c r="AW5191" s="7"/>
      <c r="AX5191" s="7"/>
    </row>
    <row r="5192" spans="14:50" x14ac:dyDescent="0.25">
      <c r="N5192" s="3"/>
      <c r="AW5192" s="7"/>
      <c r="AX5192" s="7"/>
    </row>
    <row r="5193" spans="14:50" x14ac:dyDescent="0.25">
      <c r="N5193" s="3"/>
      <c r="AW5193" s="7"/>
      <c r="AX5193" s="7"/>
    </row>
    <row r="5194" spans="14:50" x14ac:dyDescent="0.25">
      <c r="N5194" s="3"/>
      <c r="AW5194" s="7"/>
      <c r="AX5194" s="7"/>
    </row>
    <row r="5195" spans="14:50" x14ac:dyDescent="0.25">
      <c r="N5195" s="3"/>
      <c r="AW5195" s="7"/>
      <c r="AX5195" s="7"/>
    </row>
    <row r="5196" spans="14:50" x14ac:dyDescent="0.25">
      <c r="N5196" s="3"/>
      <c r="AW5196" s="7"/>
      <c r="AX5196" s="7"/>
    </row>
    <row r="5197" spans="14:50" x14ac:dyDescent="0.25">
      <c r="N5197" s="3"/>
      <c r="AW5197" s="7"/>
      <c r="AX5197" s="7"/>
    </row>
    <row r="5198" spans="14:50" x14ac:dyDescent="0.25">
      <c r="N5198" s="3"/>
      <c r="AW5198" s="7"/>
      <c r="AX5198" s="7"/>
    </row>
    <row r="5199" spans="14:50" x14ac:dyDescent="0.25">
      <c r="N5199" s="3"/>
      <c r="AW5199" s="7"/>
      <c r="AX5199" s="7"/>
    </row>
    <row r="5200" spans="14:50" x14ac:dyDescent="0.25">
      <c r="N5200" s="3"/>
      <c r="AW5200" s="7"/>
      <c r="AX5200" s="7"/>
    </row>
    <row r="5201" spans="14:50" x14ac:dyDescent="0.25">
      <c r="N5201" s="3"/>
      <c r="AW5201" s="7"/>
      <c r="AX5201" s="7"/>
    </row>
    <row r="5202" spans="14:50" x14ac:dyDescent="0.25">
      <c r="N5202" s="3"/>
      <c r="AW5202" s="7"/>
      <c r="AX5202" s="7"/>
    </row>
    <row r="5203" spans="14:50" x14ac:dyDescent="0.25">
      <c r="N5203" s="3"/>
      <c r="AW5203" s="7"/>
      <c r="AX5203" s="7"/>
    </row>
    <row r="5204" spans="14:50" x14ac:dyDescent="0.25">
      <c r="N5204" s="3"/>
      <c r="AW5204" s="7"/>
      <c r="AX5204" s="7"/>
    </row>
    <row r="5205" spans="14:50" x14ac:dyDescent="0.25">
      <c r="N5205" s="3"/>
      <c r="AW5205" s="7"/>
      <c r="AX5205" s="7"/>
    </row>
    <row r="5206" spans="14:50" x14ac:dyDescent="0.25">
      <c r="N5206" s="3"/>
      <c r="AW5206" s="7"/>
      <c r="AX5206" s="7"/>
    </row>
    <row r="5207" spans="14:50" x14ac:dyDescent="0.25">
      <c r="N5207" s="3"/>
      <c r="AW5207" s="7"/>
      <c r="AX5207" s="7"/>
    </row>
    <row r="5208" spans="14:50" x14ac:dyDescent="0.25">
      <c r="N5208" s="3"/>
      <c r="AW5208" s="7"/>
      <c r="AX5208" s="7"/>
    </row>
    <row r="5209" spans="14:50" x14ac:dyDescent="0.25">
      <c r="N5209" s="3"/>
      <c r="AW5209" s="7"/>
      <c r="AX5209" s="7"/>
    </row>
    <row r="5210" spans="14:50" x14ac:dyDescent="0.25">
      <c r="N5210" s="3"/>
      <c r="AW5210" s="7"/>
      <c r="AX5210" s="7"/>
    </row>
    <row r="5211" spans="14:50" x14ac:dyDescent="0.25">
      <c r="N5211" s="3"/>
      <c r="AW5211" s="7"/>
      <c r="AX5211" s="7"/>
    </row>
    <row r="5212" spans="14:50" x14ac:dyDescent="0.25">
      <c r="N5212" s="3"/>
      <c r="AW5212" s="7"/>
      <c r="AX5212" s="7"/>
    </row>
    <row r="5213" spans="14:50" x14ac:dyDescent="0.25">
      <c r="N5213" s="3"/>
      <c r="AW5213" s="7"/>
      <c r="AX5213" s="7"/>
    </row>
    <row r="5214" spans="14:50" x14ac:dyDescent="0.25">
      <c r="N5214" s="3"/>
      <c r="AW5214" s="7"/>
      <c r="AX5214" s="7"/>
    </row>
    <row r="5215" spans="14:50" x14ac:dyDescent="0.25">
      <c r="N5215" s="3"/>
      <c r="AW5215" s="7"/>
      <c r="AX5215" s="7"/>
    </row>
    <row r="5216" spans="14:50" x14ac:dyDescent="0.25">
      <c r="N5216" s="3"/>
      <c r="AW5216" s="7"/>
      <c r="AX5216" s="7"/>
    </row>
    <row r="5217" spans="14:50" x14ac:dyDescent="0.25">
      <c r="N5217" s="3"/>
      <c r="AW5217" s="7"/>
      <c r="AX5217" s="7"/>
    </row>
    <row r="5218" spans="14:50" x14ac:dyDescent="0.25">
      <c r="N5218" s="3"/>
      <c r="AW5218" s="7"/>
      <c r="AX5218" s="7"/>
    </row>
    <row r="5219" spans="14:50" x14ac:dyDescent="0.25">
      <c r="N5219" s="3"/>
      <c r="AW5219" s="7"/>
      <c r="AX5219" s="7"/>
    </row>
    <row r="5220" spans="14:50" x14ac:dyDescent="0.25">
      <c r="N5220" s="3"/>
      <c r="AW5220" s="7"/>
      <c r="AX5220" s="7"/>
    </row>
    <row r="5221" spans="14:50" x14ac:dyDescent="0.25">
      <c r="N5221" s="3"/>
      <c r="AW5221" s="7"/>
      <c r="AX5221" s="7"/>
    </row>
    <row r="5222" spans="14:50" x14ac:dyDescent="0.25">
      <c r="N5222" s="3"/>
      <c r="AW5222" s="7"/>
      <c r="AX5222" s="7"/>
    </row>
    <row r="5223" spans="14:50" x14ac:dyDescent="0.25">
      <c r="N5223" s="3"/>
      <c r="AW5223" s="7"/>
      <c r="AX5223" s="7"/>
    </row>
    <row r="5224" spans="14:50" x14ac:dyDescent="0.25">
      <c r="N5224" s="3"/>
      <c r="AW5224" s="7"/>
      <c r="AX5224" s="7"/>
    </row>
    <row r="5225" spans="14:50" x14ac:dyDescent="0.25">
      <c r="N5225" s="3"/>
      <c r="AW5225" s="7"/>
      <c r="AX5225" s="7"/>
    </row>
    <row r="5226" spans="14:50" x14ac:dyDescent="0.25">
      <c r="N5226" s="3"/>
      <c r="AW5226" s="7"/>
      <c r="AX5226" s="7"/>
    </row>
    <row r="5227" spans="14:50" x14ac:dyDescent="0.25">
      <c r="N5227" s="3"/>
      <c r="AW5227" s="7"/>
      <c r="AX5227" s="7"/>
    </row>
    <row r="5228" spans="14:50" x14ac:dyDescent="0.25">
      <c r="N5228" s="3"/>
      <c r="AW5228" s="7"/>
      <c r="AX5228" s="7"/>
    </row>
    <row r="5229" spans="14:50" x14ac:dyDescent="0.25">
      <c r="N5229" s="3"/>
      <c r="AW5229" s="7"/>
      <c r="AX5229" s="7"/>
    </row>
    <row r="5230" spans="14:50" x14ac:dyDescent="0.25">
      <c r="N5230" s="3"/>
      <c r="AW5230" s="7"/>
      <c r="AX5230" s="7"/>
    </row>
    <row r="5231" spans="14:50" x14ac:dyDescent="0.25">
      <c r="N5231" s="3"/>
      <c r="AW5231" s="7"/>
      <c r="AX5231" s="7"/>
    </row>
    <row r="5232" spans="14:50" x14ac:dyDescent="0.25">
      <c r="N5232" s="3"/>
      <c r="AW5232" s="7"/>
      <c r="AX5232" s="7"/>
    </row>
    <row r="5233" spans="14:50" x14ac:dyDescent="0.25">
      <c r="N5233" s="3"/>
      <c r="AW5233" s="7"/>
      <c r="AX5233" s="7"/>
    </row>
    <row r="5234" spans="14:50" x14ac:dyDescent="0.25">
      <c r="N5234" s="3"/>
      <c r="AW5234" s="7"/>
      <c r="AX5234" s="7"/>
    </row>
    <row r="5235" spans="14:50" x14ac:dyDescent="0.25">
      <c r="N5235" s="3"/>
      <c r="AW5235" s="7"/>
      <c r="AX5235" s="7"/>
    </row>
    <row r="5236" spans="14:50" x14ac:dyDescent="0.25">
      <c r="N5236" s="3"/>
      <c r="AW5236" s="7"/>
      <c r="AX5236" s="7"/>
    </row>
    <row r="5237" spans="14:50" x14ac:dyDescent="0.25">
      <c r="N5237" s="3"/>
      <c r="AW5237" s="7"/>
      <c r="AX5237" s="7"/>
    </row>
    <row r="5238" spans="14:50" x14ac:dyDescent="0.25">
      <c r="N5238" s="3"/>
      <c r="AW5238" s="7"/>
      <c r="AX5238" s="7"/>
    </row>
    <row r="5239" spans="14:50" x14ac:dyDescent="0.25">
      <c r="N5239" s="3"/>
      <c r="AW5239" s="7"/>
      <c r="AX5239" s="7"/>
    </row>
    <row r="5240" spans="14:50" x14ac:dyDescent="0.25">
      <c r="N5240" s="3"/>
      <c r="AW5240" s="7"/>
      <c r="AX5240" s="7"/>
    </row>
    <row r="5241" spans="14:50" x14ac:dyDescent="0.25">
      <c r="N5241" s="3"/>
      <c r="AW5241" s="7"/>
      <c r="AX5241" s="7"/>
    </row>
    <row r="5242" spans="14:50" x14ac:dyDescent="0.25">
      <c r="N5242" s="3"/>
      <c r="AW5242" s="7"/>
      <c r="AX5242" s="7"/>
    </row>
    <row r="5243" spans="14:50" x14ac:dyDescent="0.25">
      <c r="N5243" s="3"/>
      <c r="AW5243" s="7"/>
      <c r="AX5243" s="7"/>
    </row>
    <row r="5244" spans="14:50" x14ac:dyDescent="0.25">
      <c r="N5244" s="3"/>
      <c r="AW5244" s="7"/>
      <c r="AX5244" s="7"/>
    </row>
    <row r="5245" spans="14:50" x14ac:dyDescent="0.25">
      <c r="N5245" s="3"/>
      <c r="AW5245" s="7"/>
      <c r="AX5245" s="7"/>
    </row>
    <row r="5246" spans="14:50" x14ac:dyDescent="0.25">
      <c r="N5246" s="3"/>
      <c r="AW5246" s="7"/>
      <c r="AX5246" s="7"/>
    </row>
    <row r="5247" spans="14:50" x14ac:dyDescent="0.25">
      <c r="N5247" s="3"/>
      <c r="AW5247" s="7"/>
      <c r="AX5247" s="7"/>
    </row>
    <row r="5248" spans="14:50" x14ac:dyDescent="0.25">
      <c r="N5248" s="3"/>
      <c r="AW5248" s="7"/>
      <c r="AX5248" s="7"/>
    </row>
    <row r="5249" spans="14:50" x14ac:dyDescent="0.25">
      <c r="N5249" s="3"/>
      <c r="AW5249" s="7"/>
      <c r="AX5249" s="7"/>
    </row>
    <row r="5250" spans="14:50" x14ac:dyDescent="0.25">
      <c r="N5250" s="3"/>
      <c r="AW5250" s="7"/>
      <c r="AX5250" s="7"/>
    </row>
    <row r="5251" spans="14:50" x14ac:dyDescent="0.25">
      <c r="N5251" s="3"/>
      <c r="AW5251" s="7"/>
      <c r="AX5251" s="7"/>
    </row>
    <row r="5252" spans="14:50" x14ac:dyDescent="0.25">
      <c r="N5252" s="3"/>
      <c r="AW5252" s="7"/>
      <c r="AX5252" s="7"/>
    </row>
    <row r="5253" spans="14:50" x14ac:dyDescent="0.25">
      <c r="N5253" s="3"/>
      <c r="AW5253" s="7"/>
      <c r="AX5253" s="7"/>
    </row>
    <row r="5254" spans="14:50" x14ac:dyDescent="0.25">
      <c r="N5254" s="3"/>
      <c r="AW5254" s="7"/>
      <c r="AX5254" s="7"/>
    </row>
    <row r="5255" spans="14:50" x14ac:dyDescent="0.25">
      <c r="N5255" s="3"/>
      <c r="AW5255" s="7"/>
      <c r="AX5255" s="7"/>
    </row>
    <row r="5256" spans="14:50" x14ac:dyDescent="0.25">
      <c r="N5256" s="3"/>
      <c r="AW5256" s="7"/>
      <c r="AX5256" s="7"/>
    </row>
    <row r="5257" spans="14:50" x14ac:dyDescent="0.25">
      <c r="N5257" s="3"/>
      <c r="AW5257" s="7"/>
      <c r="AX5257" s="7"/>
    </row>
    <row r="5258" spans="14:50" x14ac:dyDescent="0.25">
      <c r="N5258" s="3"/>
      <c r="AW5258" s="7"/>
      <c r="AX5258" s="7"/>
    </row>
    <row r="5259" spans="14:50" x14ac:dyDescent="0.25">
      <c r="N5259" s="3"/>
      <c r="AW5259" s="7"/>
      <c r="AX5259" s="7"/>
    </row>
    <row r="5260" spans="14:50" x14ac:dyDescent="0.25">
      <c r="N5260" s="3"/>
      <c r="AW5260" s="7"/>
      <c r="AX5260" s="7"/>
    </row>
    <row r="5261" spans="14:50" x14ac:dyDescent="0.25">
      <c r="N5261" s="3"/>
      <c r="AW5261" s="7"/>
      <c r="AX5261" s="7"/>
    </row>
    <row r="5262" spans="14:50" x14ac:dyDescent="0.25">
      <c r="N5262" s="3"/>
      <c r="AW5262" s="7"/>
      <c r="AX5262" s="7"/>
    </row>
    <row r="5263" spans="14:50" x14ac:dyDescent="0.25">
      <c r="N5263" s="3"/>
      <c r="AW5263" s="7"/>
      <c r="AX5263" s="7"/>
    </row>
    <row r="5264" spans="14:50" x14ac:dyDescent="0.25">
      <c r="N5264" s="3"/>
      <c r="AW5264" s="7"/>
      <c r="AX5264" s="7"/>
    </row>
    <row r="5265" spans="14:50" x14ac:dyDescent="0.25">
      <c r="N5265" s="3"/>
      <c r="AW5265" s="7"/>
      <c r="AX5265" s="7"/>
    </row>
    <row r="5266" spans="14:50" x14ac:dyDescent="0.25">
      <c r="N5266" s="3"/>
      <c r="AW5266" s="7"/>
      <c r="AX5266" s="7"/>
    </row>
    <row r="5267" spans="14:50" x14ac:dyDescent="0.25">
      <c r="N5267" s="3"/>
      <c r="AW5267" s="7"/>
      <c r="AX5267" s="7"/>
    </row>
    <row r="5268" spans="14:50" x14ac:dyDescent="0.25">
      <c r="N5268" s="3"/>
      <c r="AW5268" s="7"/>
      <c r="AX5268" s="7"/>
    </row>
    <row r="5269" spans="14:50" x14ac:dyDescent="0.25">
      <c r="N5269" s="3"/>
      <c r="AW5269" s="7"/>
      <c r="AX5269" s="7"/>
    </row>
    <row r="5270" spans="14:50" x14ac:dyDescent="0.25">
      <c r="N5270" s="3"/>
      <c r="AW5270" s="7"/>
      <c r="AX5270" s="7"/>
    </row>
    <row r="5271" spans="14:50" x14ac:dyDescent="0.25">
      <c r="N5271" s="3"/>
      <c r="AW5271" s="7"/>
      <c r="AX5271" s="7"/>
    </row>
    <row r="5272" spans="14:50" x14ac:dyDescent="0.25">
      <c r="N5272" s="3"/>
      <c r="AW5272" s="7"/>
      <c r="AX5272" s="7"/>
    </row>
    <row r="5273" spans="14:50" x14ac:dyDescent="0.25">
      <c r="N5273" s="3"/>
      <c r="AW5273" s="7"/>
      <c r="AX5273" s="7"/>
    </row>
    <row r="5274" spans="14:50" x14ac:dyDescent="0.25">
      <c r="N5274" s="3"/>
      <c r="AW5274" s="7"/>
      <c r="AX5274" s="7"/>
    </row>
    <row r="5275" spans="14:50" x14ac:dyDescent="0.25">
      <c r="N5275" s="3"/>
      <c r="AW5275" s="7"/>
      <c r="AX5275" s="7"/>
    </row>
    <row r="5276" spans="14:50" x14ac:dyDescent="0.25">
      <c r="N5276" s="3"/>
      <c r="AW5276" s="7"/>
      <c r="AX5276" s="7"/>
    </row>
    <row r="5277" spans="14:50" x14ac:dyDescent="0.25">
      <c r="N5277" s="3"/>
      <c r="AW5277" s="7"/>
      <c r="AX5277" s="7"/>
    </row>
    <row r="5278" spans="14:50" x14ac:dyDescent="0.25">
      <c r="N5278" s="3"/>
      <c r="AW5278" s="7"/>
      <c r="AX5278" s="7"/>
    </row>
    <row r="5279" spans="14:50" x14ac:dyDescent="0.25">
      <c r="N5279" s="3"/>
      <c r="AW5279" s="7"/>
      <c r="AX5279" s="7"/>
    </row>
    <row r="5280" spans="14:50" x14ac:dyDescent="0.25">
      <c r="N5280" s="3"/>
      <c r="AW5280" s="7"/>
      <c r="AX5280" s="7"/>
    </row>
    <row r="5281" spans="14:50" x14ac:dyDescent="0.25">
      <c r="N5281" s="3"/>
      <c r="AW5281" s="7"/>
      <c r="AX5281" s="7"/>
    </row>
    <row r="5282" spans="14:50" x14ac:dyDescent="0.25">
      <c r="N5282" s="3"/>
      <c r="AW5282" s="7"/>
      <c r="AX5282" s="7"/>
    </row>
    <row r="5283" spans="14:50" x14ac:dyDescent="0.25">
      <c r="N5283" s="3"/>
      <c r="AW5283" s="7"/>
      <c r="AX5283" s="7"/>
    </row>
    <row r="5284" spans="14:50" x14ac:dyDescent="0.25">
      <c r="N5284" s="3"/>
      <c r="AW5284" s="7"/>
      <c r="AX5284" s="7"/>
    </row>
    <row r="5285" spans="14:50" x14ac:dyDescent="0.25">
      <c r="N5285" s="3"/>
      <c r="AW5285" s="7"/>
      <c r="AX5285" s="7"/>
    </row>
    <row r="5286" spans="14:50" x14ac:dyDescent="0.25">
      <c r="N5286" s="3"/>
      <c r="AW5286" s="7"/>
      <c r="AX5286" s="7"/>
    </row>
    <row r="5287" spans="14:50" x14ac:dyDescent="0.25">
      <c r="N5287" s="3"/>
      <c r="AW5287" s="7"/>
      <c r="AX5287" s="7"/>
    </row>
    <row r="5288" spans="14:50" x14ac:dyDescent="0.25">
      <c r="N5288" s="3"/>
      <c r="AW5288" s="7"/>
      <c r="AX5288" s="7"/>
    </row>
    <row r="5289" spans="14:50" x14ac:dyDescent="0.25">
      <c r="N5289" s="3"/>
      <c r="AW5289" s="7"/>
      <c r="AX5289" s="7"/>
    </row>
    <row r="5290" spans="14:50" x14ac:dyDescent="0.25">
      <c r="N5290" s="3"/>
      <c r="AW5290" s="7"/>
      <c r="AX5290" s="7"/>
    </row>
    <row r="5291" spans="14:50" x14ac:dyDescent="0.25">
      <c r="N5291" s="3"/>
      <c r="AW5291" s="7"/>
      <c r="AX5291" s="7"/>
    </row>
    <row r="5292" spans="14:50" x14ac:dyDescent="0.25">
      <c r="N5292" s="3"/>
      <c r="AW5292" s="7"/>
      <c r="AX5292" s="7"/>
    </row>
    <row r="5293" spans="14:50" x14ac:dyDescent="0.25">
      <c r="N5293" s="3"/>
      <c r="AW5293" s="7"/>
      <c r="AX5293" s="7"/>
    </row>
    <row r="5294" spans="14:50" x14ac:dyDescent="0.25">
      <c r="N5294" s="3"/>
      <c r="AW5294" s="7"/>
      <c r="AX5294" s="7"/>
    </row>
    <row r="5295" spans="14:50" x14ac:dyDescent="0.25">
      <c r="N5295" s="3"/>
      <c r="AW5295" s="7"/>
      <c r="AX5295" s="7"/>
    </row>
    <row r="5296" spans="14:50" x14ac:dyDescent="0.25">
      <c r="N5296" s="3"/>
      <c r="AW5296" s="7"/>
      <c r="AX5296" s="7"/>
    </row>
    <row r="5297" spans="14:50" x14ac:dyDescent="0.25">
      <c r="N5297" s="3"/>
      <c r="AW5297" s="7"/>
      <c r="AX5297" s="7"/>
    </row>
    <row r="5298" spans="14:50" x14ac:dyDescent="0.25">
      <c r="N5298" s="3"/>
      <c r="AW5298" s="7"/>
      <c r="AX5298" s="7"/>
    </row>
    <row r="5299" spans="14:50" x14ac:dyDescent="0.25">
      <c r="N5299" s="3"/>
      <c r="AW5299" s="7"/>
      <c r="AX5299" s="7"/>
    </row>
    <row r="5300" spans="14:50" x14ac:dyDescent="0.25">
      <c r="N5300" s="3"/>
      <c r="AW5300" s="7"/>
      <c r="AX5300" s="7"/>
    </row>
    <row r="5301" spans="14:50" x14ac:dyDescent="0.25">
      <c r="N5301" s="3"/>
      <c r="AW5301" s="7"/>
      <c r="AX5301" s="7"/>
    </row>
    <row r="5302" spans="14:50" x14ac:dyDescent="0.25">
      <c r="N5302" s="3"/>
      <c r="AW5302" s="7"/>
      <c r="AX5302" s="7"/>
    </row>
    <row r="5303" spans="14:50" x14ac:dyDescent="0.25">
      <c r="N5303" s="3"/>
      <c r="AW5303" s="7"/>
      <c r="AX5303" s="7"/>
    </row>
    <row r="5304" spans="14:50" x14ac:dyDescent="0.25">
      <c r="N5304" s="3"/>
      <c r="AW5304" s="7"/>
      <c r="AX5304" s="7"/>
    </row>
    <row r="5305" spans="14:50" x14ac:dyDescent="0.25">
      <c r="N5305" s="3"/>
      <c r="AW5305" s="7"/>
      <c r="AX5305" s="7"/>
    </row>
    <row r="5306" spans="14:50" x14ac:dyDescent="0.25">
      <c r="N5306" s="3"/>
      <c r="AW5306" s="7"/>
      <c r="AX5306" s="7"/>
    </row>
    <row r="5307" spans="14:50" x14ac:dyDescent="0.25">
      <c r="N5307" s="3"/>
      <c r="AW5307" s="7"/>
      <c r="AX5307" s="7"/>
    </row>
    <row r="5308" spans="14:50" x14ac:dyDescent="0.25">
      <c r="N5308" s="3"/>
      <c r="AW5308" s="7"/>
      <c r="AX5308" s="7"/>
    </row>
    <row r="5309" spans="14:50" x14ac:dyDescent="0.25">
      <c r="N5309" s="3"/>
      <c r="AW5309" s="7"/>
      <c r="AX5309" s="7"/>
    </row>
    <row r="5310" spans="14:50" x14ac:dyDescent="0.25">
      <c r="N5310" s="3"/>
      <c r="AW5310" s="7"/>
      <c r="AX5310" s="7"/>
    </row>
    <row r="5311" spans="14:50" x14ac:dyDescent="0.25">
      <c r="N5311" s="3"/>
      <c r="AW5311" s="7"/>
      <c r="AX5311" s="7"/>
    </row>
    <row r="5312" spans="14:50" x14ac:dyDescent="0.25">
      <c r="N5312" s="3"/>
      <c r="AW5312" s="7"/>
      <c r="AX5312" s="7"/>
    </row>
    <row r="5313" spans="14:50" x14ac:dyDescent="0.25">
      <c r="N5313" s="3"/>
      <c r="AW5313" s="7"/>
      <c r="AX5313" s="7"/>
    </row>
    <row r="5314" spans="14:50" x14ac:dyDescent="0.25">
      <c r="N5314" s="3"/>
      <c r="AW5314" s="7"/>
      <c r="AX5314" s="7"/>
    </row>
    <row r="5315" spans="14:50" x14ac:dyDescent="0.25">
      <c r="N5315" s="3"/>
      <c r="AW5315" s="7"/>
      <c r="AX5315" s="7"/>
    </row>
    <row r="5316" spans="14:50" x14ac:dyDescent="0.25">
      <c r="N5316" s="3"/>
      <c r="AW5316" s="7"/>
      <c r="AX5316" s="7"/>
    </row>
    <row r="5317" spans="14:50" x14ac:dyDescent="0.25">
      <c r="N5317" s="3"/>
      <c r="AW5317" s="7"/>
      <c r="AX5317" s="7"/>
    </row>
    <row r="5318" spans="14:50" x14ac:dyDescent="0.25">
      <c r="N5318" s="3"/>
      <c r="AW5318" s="7"/>
      <c r="AX5318" s="7"/>
    </row>
    <row r="5319" spans="14:50" x14ac:dyDescent="0.25">
      <c r="N5319" s="3"/>
      <c r="AW5319" s="7"/>
      <c r="AX5319" s="7"/>
    </row>
    <row r="5320" spans="14:50" x14ac:dyDescent="0.25">
      <c r="N5320" s="3"/>
      <c r="AW5320" s="7"/>
      <c r="AX5320" s="7"/>
    </row>
    <row r="5321" spans="14:50" x14ac:dyDescent="0.25">
      <c r="N5321" s="3"/>
      <c r="AW5321" s="7"/>
      <c r="AX5321" s="7"/>
    </row>
    <row r="5322" spans="14:50" x14ac:dyDescent="0.25">
      <c r="N5322" s="3"/>
      <c r="AW5322" s="7"/>
      <c r="AX5322" s="7"/>
    </row>
    <row r="5323" spans="14:50" x14ac:dyDescent="0.25">
      <c r="N5323" s="3"/>
      <c r="AW5323" s="7"/>
      <c r="AX5323" s="7"/>
    </row>
    <row r="5324" spans="14:50" x14ac:dyDescent="0.25">
      <c r="N5324" s="3"/>
      <c r="AW5324" s="7"/>
      <c r="AX5324" s="7"/>
    </row>
    <row r="5325" spans="14:50" x14ac:dyDescent="0.25">
      <c r="N5325" s="3"/>
      <c r="AW5325" s="7"/>
      <c r="AX5325" s="7"/>
    </row>
    <row r="5326" spans="14:50" x14ac:dyDescent="0.25">
      <c r="N5326" s="3"/>
      <c r="AW5326" s="7"/>
      <c r="AX5326" s="7"/>
    </row>
    <row r="5327" spans="14:50" x14ac:dyDescent="0.25">
      <c r="N5327" s="3"/>
      <c r="AW5327" s="7"/>
      <c r="AX5327" s="7"/>
    </row>
    <row r="5328" spans="14:50" x14ac:dyDescent="0.25">
      <c r="N5328" s="3"/>
      <c r="AW5328" s="7"/>
      <c r="AX5328" s="7"/>
    </row>
    <row r="5329" spans="14:50" x14ac:dyDescent="0.25">
      <c r="N5329" s="3"/>
      <c r="AW5329" s="7"/>
      <c r="AX5329" s="7"/>
    </row>
    <row r="5330" spans="14:50" x14ac:dyDescent="0.25">
      <c r="N5330" s="3"/>
      <c r="AW5330" s="7"/>
      <c r="AX5330" s="7"/>
    </row>
    <row r="5331" spans="14:50" x14ac:dyDescent="0.25">
      <c r="N5331" s="3"/>
      <c r="AW5331" s="7"/>
      <c r="AX5331" s="7"/>
    </row>
    <row r="5332" spans="14:50" x14ac:dyDescent="0.25">
      <c r="N5332" s="3"/>
      <c r="AW5332" s="7"/>
      <c r="AX5332" s="7"/>
    </row>
    <row r="5333" spans="14:50" x14ac:dyDescent="0.25">
      <c r="N5333" s="3"/>
      <c r="AW5333" s="7"/>
      <c r="AX5333" s="7"/>
    </row>
    <row r="5334" spans="14:50" x14ac:dyDescent="0.25">
      <c r="N5334" s="3"/>
      <c r="AW5334" s="7"/>
      <c r="AX5334" s="7"/>
    </row>
    <row r="5335" spans="14:50" x14ac:dyDescent="0.25">
      <c r="N5335" s="3"/>
      <c r="AW5335" s="7"/>
      <c r="AX5335" s="7"/>
    </row>
    <row r="5336" spans="14:50" x14ac:dyDescent="0.25">
      <c r="N5336" s="3"/>
      <c r="AW5336" s="7"/>
      <c r="AX5336" s="7"/>
    </row>
    <row r="5337" spans="14:50" x14ac:dyDescent="0.25">
      <c r="N5337" s="3"/>
      <c r="AW5337" s="7"/>
      <c r="AX5337" s="7"/>
    </row>
    <row r="5338" spans="14:50" x14ac:dyDescent="0.25">
      <c r="N5338" s="3"/>
      <c r="AW5338" s="7"/>
      <c r="AX5338" s="7"/>
    </row>
    <row r="5339" spans="14:50" x14ac:dyDescent="0.25">
      <c r="N5339" s="3"/>
      <c r="AW5339" s="7"/>
      <c r="AX5339" s="7"/>
    </row>
    <row r="5340" spans="14:50" x14ac:dyDescent="0.25">
      <c r="N5340" s="3"/>
      <c r="AW5340" s="7"/>
      <c r="AX5340" s="7"/>
    </row>
    <row r="5341" spans="14:50" x14ac:dyDescent="0.25">
      <c r="N5341" s="3"/>
      <c r="AW5341" s="7"/>
      <c r="AX5341" s="7"/>
    </row>
    <row r="5342" spans="14:50" x14ac:dyDescent="0.25">
      <c r="N5342" s="3"/>
      <c r="AW5342" s="7"/>
      <c r="AX5342" s="7"/>
    </row>
    <row r="5343" spans="14:50" x14ac:dyDescent="0.25">
      <c r="N5343" s="3"/>
      <c r="AW5343" s="7"/>
      <c r="AX5343" s="7"/>
    </row>
    <row r="5344" spans="14:50" x14ac:dyDescent="0.25">
      <c r="N5344" s="3"/>
      <c r="AW5344" s="7"/>
      <c r="AX5344" s="7"/>
    </row>
    <row r="5345" spans="14:50" x14ac:dyDescent="0.25">
      <c r="N5345" s="3"/>
      <c r="AW5345" s="7"/>
      <c r="AX5345" s="7"/>
    </row>
    <row r="5346" spans="14:50" x14ac:dyDescent="0.25">
      <c r="N5346" s="3"/>
      <c r="AW5346" s="7"/>
      <c r="AX5346" s="7"/>
    </row>
    <row r="5347" spans="14:50" x14ac:dyDescent="0.25">
      <c r="N5347" s="3"/>
      <c r="AW5347" s="7"/>
      <c r="AX5347" s="7"/>
    </row>
    <row r="5348" spans="14:50" x14ac:dyDescent="0.25">
      <c r="N5348" s="3"/>
      <c r="AW5348" s="7"/>
      <c r="AX5348" s="7"/>
    </row>
    <row r="5349" spans="14:50" x14ac:dyDescent="0.25">
      <c r="N5349" s="3"/>
      <c r="AW5349" s="7"/>
      <c r="AX5349" s="7"/>
    </row>
    <row r="5350" spans="14:50" x14ac:dyDescent="0.25">
      <c r="N5350" s="3"/>
      <c r="AW5350" s="7"/>
      <c r="AX5350" s="7"/>
    </row>
    <row r="5351" spans="14:50" x14ac:dyDescent="0.25">
      <c r="N5351" s="3"/>
      <c r="AW5351" s="7"/>
      <c r="AX5351" s="7"/>
    </row>
    <row r="5352" spans="14:50" x14ac:dyDescent="0.25">
      <c r="N5352" s="3"/>
      <c r="AW5352" s="7"/>
      <c r="AX5352" s="7"/>
    </row>
    <row r="5353" spans="14:50" x14ac:dyDescent="0.25">
      <c r="N5353" s="3"/>
      <c r="AW5353" s="7"/>
      <c r="AX5353" s="7"/>
    </row>
    <row r="5354" spans="14:50" x14ac:dyDescent="0.25">
      <c r="N5354" s="3"/>
      <c r="AW5354" s="7"/>
      <c r="AX5354" s="7"/>
    </row>
    <row r="5355" spans="14:50" x14ac:dyDescent="0.25">
      <c r="N5355" s="3"/>
      <c r="AW5355" s="7"/>
      <c r="AX5355" s="7"/>
    </row>
    <row r="5356" spans="14:50" x14ac:dyDescent="0.25">
      <c r="N5356" s="3"/>
      <c r="AW5356" s="7"/>
      <c r="AX5356" s="7"/>
    </row>
    <row r="5357" spans="14:50" x14ac:dyDescent="0.25">
      <c r="N5357" s="3"/>
      <c r="AW5357" s="7"/>
      <c r="AX5357" s="7"/>
    </row>
    <row r="5358" spans="14:50" x14ac:dyDescent="0.25">
      <c r="N5358" s="3"/>
      <c r="AW5358" s="7"/>
      <c r="AX5358" s="7"/>
    </row>
    <row r="5359" spans="14:50" x14ac:dyDescent="0.25">
      <c r="N5359" s="3"/>
      <c r="AW5359" s="7"/>
      <c r="AX5359" s="7"/>
    </row>
    <row r="5360" spans="14:50" x14ac:dyDescent="0.25">
      <c r="N5360" s="3"/>
      <c r="AW5360" s="7"/>
      <c r="AX5360" s="7"/>
    </row>
    <row r="5361" spans="14:50" x14ac:dyDescent="0.25">
      <c r="N5361" s="3"/>
      <c r="AW5361" s="7"/>
      <c r="AX5361" s="7"/>
    </row>
    <row r="5362" spans="14:50" x14ac:dyDescent="0.25">
      <c r="N5362" s="3"/>
      <c r="AW5362" s="7"/>
      <c r="AX5362" s="7"/>
    </row>
    <row r="5363" spans="14:50" x14ac:dyDescent="0.25">
      <c r="N5363" s="3"/>
      <c r="AW5363" s="7"/>
      <c r="AX5363" s="7"/>
    </row>
    <row r="5364" spans="14:50" x14ac:dyDescent="0.25">
      <c r="N5364" s="3"/>
      <c r="AW5364" s="7"/>
      <c r="AX5364" s="7"/>
    </row>
    <row r="5365" spans="14:50" x14ac:dyDescent="0.25">
      <c r="N5365" s="3"/>
      <c r="AW5365" s="7"/>
      <c r="AX5365" s="7"/>
    </row>
    <row r="5366" spans="14:50" x14ac:dyDescent="0.25">
      <c r="N5366" s="3"/>
      <c r="AW5366" s="7"/>
      <c r="AX5366" s="7"/>
    </row>
    <row r="5367" spans="14:50" x14ac:dyDescent="0.25">
      <c r="N5367" s="3"/>
      <c r="AW5367" s="7"/>
      <c r="AX5367" s="7"/>
    </row>
    <row r="5368" spans="14:50" x14ac:dyDescent="0.25">
      <c r="N5368" s="3"/>
      <c r="AW5368" s="7"/>
      <c r="AX5368" s="7"/>
    </row>
    <row r="5369" spans="14:50" x14ac:dyDescent="0.25">
      <c r="N5369" s="3"/>
      <c r="AW5369" s="7"/>
      <c r="AX5369" s="7"/>
    </row>
    <row r="5370" spans="14:50" x14ac:dyDescent="0.25">
      <c r="N5370" s="3"/>
      <c r="AW5370" s="7"/>
      <c r="AX5370" s="7"/>
    </row>
    <row r="5371" spans="14:50" x14ac:dyDescent="0.25">
      <c r="N5371" s="3"/>
      <c r="AW5371" s="7"/>
      <c r="AX5371" s="7"/>
    </row>
    <row r="5372" spans="14:50" x14ac:dyDescent="0.25">
      <c r="N5372" s="3"/>
      <c r="AW5372" s="7"/>
      <c r="AX5372" s="7"/>
    </row>
    <row r="5373" spans="14:50" x14ac:dyDescent="0.25">
      <c r="N5373" s="3"/>
      <c r="AW5373" s="7"/>
      <c r="AX5373" s="7"/>
    </row>
    <row r="5374" spans="14:50" x14ac:dyDescent="0.25">
      <c r="N5374" s="3"/>
      <c r="AW5374" s="7"/>
      <c r="AX5374" s="7"/>
    </row>
    <row r="5375" spans="14:50" x14ac:dyDescent="0.25">
      <c r="N5375" s="3"/>
      <c r="AW5375" s="7"/>
      <c r="AX5375" s="7"/>
    </row>
    <row r="5376" spans="14:50" x14ac:dyDescent="0.25">
      <c r="N5376" s="3"/>
      <c r="AW5376" s="7"/>
      <c r="AX5376" s="7"/>
    </row>
    <row r="5377" spans="14:50" x14ac:dyDescent="0.25">
      <c r="N5377" s="3"/>
      <c r="AW5377" s="7"/>
      <c r="AX5377" s="7"/>
    </row>
    <row r="5378" spans="14:50" x14ac:dyDescent="0.25">
      <c r="N5378" s="3"/>
      <c r="AW5378" s="7"/>
      <c r="AX5378" s="7"/>
    </row>
    <row r="5379" spans="14:50" x14ac:dyDescent="0.25">
      <c r="N5379" s="3"/>
      <c r="AW5379" s="7"/>
      <c r="AX5379" s="7"/>
    </row>
    <row r="5380" spans="14:50" x14ac:dyDescent="0.25">
      <c r="N5380" s="3"/>
      <c r="AW5380" s="7"/>
      <c r="AX5380" s="7"/>
    </row>
    <row r="5381" spans="14:50" x14ac:dyDescent="0.25">
      <c r="N5381" s="3"/>
      <c r="AW5381" s="7"/>
      <c r="AX5381" s="7"/>
    </row>
    <row r="5382" spans="14:50" x14ac:dyDescent="0.25">
      <c r="N5382" s="3"/>
      <c r="AW5382" s="7"/>
      <c r="AX5382" s="7"/>
    </row>
    <row r="5383" spans="14:50" x14ac:dyDescent="0.25">
      <c r="N5383" s="3"/>
      <c r="AW5383" s="7"/>
      <c r="AX5383" s="7"/>
    </row>
    <row r="5384" spans="14:50" x14ac:dyDescent="0.25">
      <c r="N5384" s="3"/>
      <c r="AW5384" s="7"/>
      <c r="AX5384" s="7"/>
    </row>
    <row r="5385" spans="14:50" x14ac:dyDescent="0.25">
      <c r="N5385" s="3"/>
      <c r="AW5385" s="7"/>
      <c r="AX5385" s="7"/>
    </row>
    <row r="5386" spans="14:50" x14ac:dyDescent="0.25">
      <c r="N5386" s="3"/>
      <c r="AW5386" s="7"/>
      <c r="AX5386" s="7"/>
    </row>
    <row r="5387" spans="14:50" x14ac:dyDescent="0.25">
      <c r="N5387" s="3"/>
      <c r="AW5387" s="7"/>
      <c r="AX5387" s="7"/>
    </row>
    <row r="5388" spans="14:50" x14ac:dyDescent="0.25">
      <c r="N5388" s="3"/>
      <c r="AW5388" s="7"/>
      <c r="AX5388" s="7"/>
    </row>
    <row r="5389" spans="14:50" x14ac:dyDescent="0.25">
      <c r="N5389" s="3"/>
      <c r="AW5389" s="7"/>
      <c r="AX5389" s="7"/>
    </row>
    <row r="5390" spans="14:50" x14ac:dyDescent="0.25">
      <c r="N5390" s="3"/>
      <c r="AW5390" s="7"/>
      <c r="AX5390" s="7"/>
    </row>
    <row r="5391" spans="14:50" x14ac:dyDescent="0.25">
      <c r="N5391" s="3"/>
      <c r="AW5391" s="7"/>
      <c r="AX5391" s="7"/>
    </row>
    <row r="5392" spans="14:50" x14ac:dyDescent="0.25">
      <c r="N5392" s="3"/>
      <c r="AW5392" s="7"/>
      <c r="AX5392" s="7"/>
    </row>
    <row r="5393" spans="14:50" x14ac:dyDescent="0.25">
      <c r="N5393" s="3"/>
      <c r="AW5393" s="7"/>
      <c r="AX5393" s="7"/>
    </row>
    <row r="5394" spans="14:50" x14ac:dyDescent="0.25">
      <c r="N5394" s="3"/>
      <c r="AW5394" s="7"/>
      <c r="AX5394" s="7"/>
    </row>
    <row r="5395" spans="14:50" x14ac:dyDescent="0.25">
      <c r="N5395" s="3"/>
      <c r="AW5395" s="7"/>
      <c r="AX5395" s="7"/>
    </row>
    <row r="5396" spans="14:50" x14ac:dyDescent="0.25">
      <c r="N5396" s="3"/>
      <c r="AW5396" s="7"/>
      <c r="AX5396" s="7"/>
    </row>
    <row r="5397" spans="14:50" x14ac:dyDescent="0.25">
      <c r="N5397" s="3"/>
      <c r="AW5397" s="7"/>
      <c r="AX5397" s="7"/>
    </row>
    <row r="5398" spans="14:50" x14ac:dyDescent="0.25">
      <c r="N5398" s="3"/>
      <c r="AW5398" s="7"/>
      <c r="AX5398" s="7"/>
    </row>
    <row r="5399" spans="14:50" x14ac:dyDescent="0.25">
      <c r="N5399" s="3"/>
      <c r="AW5399" s="7"/>
      <c r="AX5399" s="7"/>
    </row>
    <row r="5400" spans="14:50" x14ac:dyDescent="0.25">
      <c r="N5400" s="3"/>
      <c r="AW5400" s="7"/>
      <c r="AX5400" s="7"/>
    </row>
    <row r="5401" spans="14:50" x14ac:dyDescent="0.25">
      <c r="N5401" s="3"/>
      <c r="AW5401" s="7"/>
      <c r="AX5401" s="7"/>
    </row>
    <row r="5402" spans="14:50" x14ac:dyDescent="0.25">
      <c r="N5402" s="3"/>
      <c r="AW5402" s="7"/>
      <c r="AX5402" s="7"/>
    </row>
    <row r="5403" spans="14:50" x14ac:dyDescent="0.25">
      <c r="N5403" s="3"/>
      <c r="AW5403" s="7"/>
      <c r="AX5403" s="7"/>
    </row>
    <row r="5404" spans="14:50" x14ac:dyDescent="0.25">
      <c r="N5404" s="3"/>
      <c r="AW5404" s="7"/>
      <c r="AX5404" s="7"/>
    </row>
    <row r="5405" spans="14:50" x14ac:dyDescent="0.25">
      <c r="N5405" s="3"/>
      <c r="AW5405" s="7"/>
      <c r="AX5405" s="7"/>
    </row>
    <row r="5406" spans="14:50" x14ac:dyDescent="0.25">
      <c r="N5406" s="3"/>
      <c r="AW5406" s="7"/>
      <c r="AX5406" s="7"/>
    </row>
    <row r="5407" spans="14:50" x14ac:dyDescent="0.25">
      <c r="N5407" s="3"/>
      <c r="AW5407" s="7"/>
      <c r="AX5407" s="7"/>
    </row>
    <row r="5408" spans="14:50" x14ac:dyDescent="0.25">
      <c r="N5408" s="3"/>
      <c r="AW5408" s="7"/>
      <c r="AX5408" s="7"/>
    </row>
    <row r="5409" spans="14:50" x14ac:dyDescent="0.25">
      <c r="N5409" s="3"/>
      <c r="AW5409" s="7"/>
      <c r="AX5409" s="7"/>
    </row>
    <row r="5410" spans="14:50" x14ac:dyDescent="0.25">
      <c r="N5410" s="3"/>
      <c r="AW5410" s="7"/>
      <c r="AX5410" s="7"/>
    </row>
    <row r="5411" spans="14:50" x14ac:dyDescent="0.25">
      <c r="N5411" s="3"/>
      <c r="AW5411" s="7"/>
      <c r="AX5411" s="7"/>
    </row>
    <row r="5412" spans="14:50" x14ac:dyDescent="0.25">
      <c r="N5412" s="3"/>
      <c r="AW5412" s="7"/>
      <c r="AX5412" s="7"/>
    </row>
    <row r="5413" spans="14:50" x14ac:dyDescent="0.25">
      <c r="N5413" s="3"/>
      <c r="AW5413" s="7"/>
      <c r="AX5413" s="7"/>
    </row>
    <row r="5414" spans="14:50" x14ac:dyDescent="0.25">
      <c r="N5414" s="3"/>
      <c r="AW5414" s="7"/>
      <c r="AX5414" s="7"/>
    </row>
    <row r="5415" spans="14:50" x14ac:dyDescent="0.25">
      <c r="N5415" s="3"/>
      <c r="AW5415" s="7"/>
      <c r="AX5415" s="7"/>
    </row>
    <row r="5416" spans="14:50" x14ac:dyDescent="0.25">
      <c r="N5416" s="3"/>
      <c r="AW5416" s="7"/>
      <c r="AX5416" s="7"/>
    </row>
    <row r="5417" spans="14:50" x14ac:dyDescent="0.25">
      <c r="N5417" s="3"/>
      <c r="AW5417" s="7"/>
      <c r="AX5417" s="7"/>
    </row>
    <row r="5418" spans="14:50" x14ac:dyDescent="0.25">
      <c r="N5418" s="3"/>
      <c r="AW5418" s="7"/>
      <c r="AX5418" s="7"/>
    </row>
    <row r="5419" spans="14:50" x14ac:dyDescent="0.25">
      <c r="N5419" s="3"/>
      <c r="AW5419" s="7"/>
      <c r="AX5419" s="7"/>
    </row>
    <row r="5420" spans="14:50" x14ac:dyDescent="0.25">
      <c r="N5420" s="3"/>
      <c r="AW5420" s="7"/>
      <c r="AX5420" s="7"/>
    </row>
    <row r="5421" spans="14:50" x14ac:dyDescent="0.25">
      <c r="N5421" s="3"/>
      <c r="AW5421" s="7"/>
      <c r="AX5421" s="7"/>
    </row>
    <row r="5422" spans="14:50" x14ac:dyDescent="0.25">
      <c r="N5422" s="3"/>
      <c r="AW5422" s="7"/>
      <c r="AX5422" s="7"/>
    </row>
    <row r="5423" spans="14:50" x14ac:dyDescent="0.25">
      <c r="N5423" s="3"/>
      <c r="AW5423" s="7"/>
      <c r="AX5423" s="7"/>
    </row>
    <row r="5424" spans="14:50" x14ac:dyDescent="0.25">
      <c r="N5424" s="3"/>
      <c r="AW5424" s="7"/>
      <c r="AX5424" s="7"/>
    </row>
    <row r="5425" spans="14:50" x14ac:dyDescent="0.25">
      <c r="N5425" s="3"/>
      <c r="AW5425" s="7"/>
      <c r="AX5425" s="7"/>
    </row>
    <row r="5426" spans="14:50" x14ac:dyDescent="0.25">
      <c r="N5426" s="3"/>
      <c r="AW5426" s="7"/>
      <c r="AX5426" s="7"/>
    </row>
    <row r="5427" spans="14:50" x14ac:dyDescent="0.25">
      <c r="N5427" s="3"/>
      <c r="AW5427" s="7"/>
      <c r="AX5427" s="7"/>
    </row>
    <row r="5428" spans="14:50" x14ac:dyDescent="0.25">
      <c r="N5428" s="3"/>
      <c r="AW5428" s="7"/>
      <c r="AX5428" s="7"/>
    </row>
    <row r="5429" spans="14:50" x14ac:dyDescent="0.25">
      <c r="N5429" s="3"/>
      <c r="AW5429" s="7"/>
      <c r="AX5429" s="7"/>
    </row>
    <row r="5430" spans="14:50" x14ac:dyDescent="0.25">
      <c r="N5430" s="3"/>
      <c r="AW5430" s="7"/>
      <c r="AX5430" s="7"/>
    </row>
    <row r="5431" spans="14:50" x14ac:dyDescent="0.25">
      <c r="N5431" s="3"/>
      <c r="AW5431" s="7"/>
      <c r="AX5431" s="7"/>
    </row>
    <row r="5432" spans="14:50" x14ac:dyDescent="0.25">
      <c r="N5432" s="3"/>
      <c r="AW5432" s="7"/>
      <c r="AX5432" s="7"/>
    </row>
    <row r="5433" spans="14:50" x14ac:dyDescent="0.25">
      <c r="N5433" s="3"/>
      <c r="AW5433" s="7"/>
      <c r="AX5433" s="7"/>
    </row>
    <row r="5434" spans="14:50" x14ac:dyDescent="0.25">
      <c r="N5434" s="3"/>
      <c r="AW5434" s="7"/>
      <c r="AX5434" s="7"/>
    </row>
    <row r="5435" spans="14:50" x14ac:dyDescent="0.25">
      <c r="N5435" s="3"/>
      <c r="AW5435" s="7"/>
      <c r="AX5435" s="7"/>
    </row>
    <row r="5436" spans="14:50" x14ac:dyDescent="0.25">
      <c r="N5436" s="3"/>
      <c r="AW5436" s="7"/>
      <c r="AX5436" s="7"/>
    </row>
    <row r="5437" spans="14:50" x14ac:dyDescent="0.25">
      <c r="N5437" s="3"/>
      <c r="AW5437" s="7"/>
      <c r="AX5437" s="7"/>
    </row>
    <row r="5438" spans="14:50" x14ac:dyDescent="0.25">
      <c r="N5438" s="3"/>
      <c r="AW5438" s="7"/>
      <c r="AX5438" s="7"/>
    </row>
    <row r="5439" spans="14:50" x14ac:dyDescent="0.25">
      <c r="N5439" s="3"/>
      <c r="AW5439" s="7"/>
      <c r="AX5439" s="7"/>
    </row>
    <row r="5440" spans="14:50" x14ac:dyDescent="0.25">
      <c r="N5440" s="3"/>
      <c r="AW5440" s="7"/>
      <c r="AX5440" s="7"/>
    </row>
    <row r="5441" spans="14:50" x14ac:dyDescent="0.25">
      <c r="N5441" s="3"/>
      <c r="AW5441" s="7"/>
      <c r="AX5441" s="7"/>
    </row>
    <row r="5442" spans="14:50" x14ac:dyDescent="0.25">
      <c r="N5442" s="3"/>
      <c r="AW5442" s="7"/>
      <c r="AX5442" s="7"/>
    </row>
    <row r="5443" spans="14:50" x14ac:dyDescent="0.25">
      <c r="N5443" s="3"/>
      <c r="AW5443" s="7"/>
      <c r="AX5443" s="7"/>
    </row>
    <row r="5444" spans="14:50" x14ac:dyDescent="0.25">
      <c r="N5444" s="3"/>
      <c r="AW5444" s="7"/>
      <c r="AX5444" s="7"/>
    </row>
    <row r="5445" spans="14:50" x14ac:dyDescent="0.25">
      <c r="N5445" s="3"/>
      <c r="AW5445" s="7"/>
      <c r="AX5445" s="7"/>
    </row>
    <row r="5446" spans="14:50" x14ac:dyDescent="0.25">
      <c r="N5446" s="3"/>
      <c r="AW5446" s="7"/>
      <c r="AX5446" s="7"/>
    </row>
    <row r="5447" spans="14:50" x14ac:dyDescent="0.25">
      <c r="N5447" s="3"/>
      <c r="AW5447" s="7"/>
      <c r="AX5447" s="7"/>
    </row>
    <row r="5448" spans="14:50" x14ac:dyDescent="0.25">
      <c r="N5448" s="3"/>
      <c r="AW5448" s="7"/>
      <c r="AX5448" s="7"/>
    </row>
    <row r="5449" spans="14:50" x14ac:dyDescent="0.25">
      <c r="N5449" s="3"/>
      <c r="AW5449" s="7"/>
      <c r="AX5449" s="7"/>
    </row>
    <row r="5450" spans="14:50" x14ac:dyDescent="0.25">
      <c r="N5450" s="3"/>
      <c r="AW5450" s="7"/>
      <c r="AX5450" s="7"/>
    </row>
    <row r="5451" spans="14:50" x14ac:dyDescent="0.25">
      <c r="N5451" s="3"/>
      <c r="AW5451" s="7"/>
      <c r="AX5451" s="7"/>
    </row>
    <row r="5452" spans="14:50" x14ac:dyDescent="0.25">
      <c r="N5452" s="3"/>
      <c r="AW5452" s="7"/>
      <c r="AX5452" s="7"/>
    </row>
    <row r="5453" spans="14:50" x14ac:dyDescent="0.25">
      <c r="N5453" s="3"/>
      <c r="AW5453" s="7"/>
      <c r="AX5453" s="7"/>
    </row>
    <row r="5454" spans="14:50" x14ac:dyDescent="0.25">
      <c r="N5454" s="3"/>
      <c r="AW5454" s="7"/>
      <c r="AX5454" s="7"/>
    </row>
    <row r="5455" spans="14:50" x14ac:dyDescent="0.25">
      <c r="N5455" s="3"/>
      <c r="AW5455" s="7"/>
      <c r="AX5455" s="7"/>
    </row>
    <row r="5456" spans="14:50" x14ac:dyDescent="0.25">
      <c r="N5456" s="3"/>
      <c r="AW5456" s="7"/>
      <c r="AX5456" s="7"/>
    </row>
    <row r="5457" spans="14:50" x14ac:dyDescent="0.25">
      <c r="N5457" s="3"/>
      <c r="AW5457" s="7"/>
      <c r="AX5457" s="7"/>
    </row>
    <row r="5458" spans="14:50" x14ac:dyDescent="0.25">
      <c r="N5458" s="3"/>
      <c r="AW5458" s="7"/>
      <c r="AX5458" s="7"/>
    </row>
    <row r="5459" spans="14:50" x14ac:dyDescent="0.25">
      <c r="N5459" s="3"/>
      <c r="AW5459" s="7"/>
      <c r="AX5459" s="7"/>
    </row>
    <row r="5460" spans="14:50" x14ac:dyDescent="0.25">
      <c r="N5460" s="3"/>
      <c r="AW5460" s="7"/>
      <c r="AX5460" s="7"/>
    </row>
    <row r="5461" spans="14:50" x14ac:dyDescent="0.25">
      <c r="N5461" s="3"/>
      <c r="AW5461" s="7"/>
      <c r="AX5461" s="7"/>
    </row>
    <row r="5462" spans="14:50" x14ac:dyDescent="0.25">
      <c r="N5462" s="3"/>
      <c r="AW5462" s="7"/>
      <c r="AX5462" s="7"/>
    </row>
    <row r="5463" spans="14:50" x14ac:dyDescent="0.25">
      <c r="N5463" s="3"/>
      <c r="AW5463" s="7"/>
      <c r="AX5463" s="7"/>
    </row>
    <row r="5464" spans="14:50" x14ac:dyDescent="0.25">
      <c r="N5464" s="3"/>
      <c r="AW5464" s="7"/>
      <c r="AX5464" s="7"/>
    </row>
    <row r="5465" spans="14:50" x14ac:dyDescent="0.25">
      <c r="N5465" s="3"/>
      <c r="AW5465" s="7"/>
      <c r="AX5465" s="7"/>
    </row>
    <row r="5466" spans="14:50" x14ac:dyDescent="0.25">
      <c r="N5466" s="3"/>
      <c r="AW5466" s="7"/>
      <c r="AX5466" s="7"/>
    </row>
    <row r="5467" spans="14:50" x14ac:dyDescent="0.25">
      <c r="N5467" s="3"/>
      <c r="AW5467" s="7"/>
      <c r="AX5467" s="7"/>
    </row>
    <row r="5468" spans="14:50" x14ac:dyDescent="0.25">
      <c r="N5468" s="3"/>
      <c r="AW5468" s="7"/>
      <c r="AX5468" s="7"/>
    </row>
    <row r="5469" spans="14:50" x14ac:dyDescent="0.25">
      <c r="N5469" s="3"/>
      <c r="AW5469" s="7"/>
      <c r="AX5469" s="7"/>
    </row>
    <row r="5470" spans="14:50" x14ac:dyDescent="0.25">
      <c r="N5470" s="3"/>
      <c r="AW5470" s="7"/>
      <c r="AX5470" s="7"/>
    </row>
    <row r="5471" spans="14:50" x14ac:dyDescent="0.25">
      <c r="N5471" s="3"/>
      <c r="AW5471" s="7"/>
      <c r="AX5471" s="7"/>
    </row>
    <row r="5472" spans="14:50" x14ac:dyDescent="0.25">
      <c r="N5472" s="3"/>
      <c r="AW5472" s="7"/>
      <c r="AX5472" s="7"/>
    </row>
    <row r="5473" spans="14:50" x14ac:dyDescent="0.25">
      <c r="N5473" s="3"/>
      <c r="AW5473" s="7"/>
      <c r="AX5473" s="7"/>
    </row>
    <row r="5474" spans="14:50" x14ac:dyDescent="0.25">
      <c r="N5474" s="3"/>
      <c r="AW5474" s="7"/>
      <c r="AX5474" s="7"/>
    </row>
    <row r="5475" spans="14:50" x14ac:dyDescent="0.25">
      <c r="N5475" s="3"/>
      <c r="AW5475" s="7"/>
      <c r="AX5475" s="7"/>
    </row>
    <row r="5476" spans="14:50" x14ac:dyDescent="0.25">
      <c r="N5476" s="3"/>
      <c r="AW5476" s="7"/>
      <c r="AX5476" s="7"/>
    </row>
    <row r="5477" spans="14:50" x14ac:dyDescent="0.25">
      <c r="N5477" s="3"/>
      <c r="AW5477" s="7"/>
      <c r="AX5477" s="7"/>
    </row>
    <row r="5478" spans="14:50" x14ac:dyDescent="0.25">
      <c r="N5478" s="3"/>
      <c r="AW5478" s="7"/>
      <c r="AX5478" s="7"/>
    </row>
    <row r="5479" spans="14:50" x14ac:dyDescent="0.25">
      <c r="N5479" s="3"/>
      <c r="AW5479" s="7"/>
      <c r="AX5479" s="7"/>
    </row>
    <row r="5480" spans="14:50" x14ac:dyDescent="0.25">
      <c r="N5480" s="3"/>
      <c r="AW5480" s="7"/>
      <c r="AX5480" s="7"/>
    </row>
    <row r="5481" spans="14:50" x14ac:dyDescent="0.25">
      <c r="N5481" s="3"/>
      <c r="AW5481" s="7"/>
      <c r="AX5481" s="7"/>
    </row>
    <row r="5482" spans="14:50" x14ac:dyDescent="0.25">
      <c r="N5482" s="3"/>
      <c r="AW5482" s="7"/>
      <c r="AX5482" s="7"/>
    </row>
    <row r="5483" spans="14:50" x14ac:dyDescent="0.25">
      <c r="N5483" s="3"/>
      <c r="AW5483" s="7"/>
      <c r="AX5483" s="7"/>
    </row>
    <row r="5484" spans="14:50" x14ac:dyDescent="0.25">
      <c r="N5484" s="3"/>
      <c r="AW5484" s="7"/>
      <c r="AX5484" s="7"/>
    </row>
    <row r="5485" spans="14:50" x14ac:dyDescent="0.25">
      <c r="N5485" s="3"/>
      <c r="AW5485" s="7"/>
      <c r="AX5485" s="7"/>
    </row>
    <row r="5486" spans="14:50" x14ac:dyDescent="0.25">
      <c r="N5486" s="3"/>
      <c r="AW5486" s="7"/>
      <c r="AX5486" s="7"/>
    </row>
    <row r="5487" spans="14:50" x14ac:dyDescent="0.25">
      <c r="N5487" s="3"/>
      <c r="AW5487" s="7"/>
      <c r="AX5487" s="7"/>
    </row>
    <row r="5488" spans="14:50" x14ac:dyDescent="0.25">
      <c r="N5488" s="3"/>
      <c r="AW5488" s="7"/>
      <c r="AX5488" s="7"/>
    </row>
    <row r="5489" spans="14:50" x14ac:dyDescent="0.25">
      <c r="N5489" s="3"/>
      <c r="AW5489" s="7"/>
      <c r="AX5489" s="7"/>
    </row>
    <row r="5490" spans="14:50" x14ac:dyDescent="0.25">
      <c r="N5490" s="3"/>
      <c r="AW5490" s="7"/>
      <c r="AX5490" s="7"/>
    </row>
    <row r="5491" spans="14:50" x14ac:dyDescent="0.25">
      <c r="N5491" s="3"/>
      <c r="AW5491" s="7"/>
      <c r="AX5491" s="7"/>
    </row>
    <row r="5492" spans="14:50" x14ac:dyDescent="0.25">
      <c r="N5492" s="3"/>
      <c r="AW5492" s="7"/>
      <c r="AX5492" s="7"/>
    </row>
    <row r="5493" spans="14:50" x14ac:dyDescent="0.25">
      <c r="N5493" s="3"/>
      <c r="AW5493" s="7"/>
      <c r="AX5493" s="7"/>
    </row>
    <row r="5494" spans="14:50" x14ac:dyDescent="0.25">
      <c r="N5494" s="3"/>
      <c r="AW5494" s="7"/>
      <c r="AX5494" s="7"/>
    </row>
    <row r="5495" spans="14:50" x14ac:dyDescent="0.25">
      <c r="N5495" s="3"/>
      <c r="AW5495" s="7"/>
      <c r="AX5495" s="7"/>
    </row>
    <row r="5496" spans="14:50" x14ac:dyDescent="0.25">
      <c r="N5496" s="3"/>
      <c r="AW5496" s="7"/>
      <c r="AX5496" s="7"/>
    </row>
    <row r="5497" spans="14:50" x14ac:dyDescent="0.25">
      <c r="N5497" s="3"/>
      <c r="AW5497" s="7"/>
      <c r="AX5497" s="7"/>
    </row>
    <row r="5498" spans="14:50" x14ac:dyDescent="0.25">
      <c r="N5498" s="3"/>
      <c r="AW5498" s="7"/>
      <c r="AX5498" s="7"/>
    </row>
    <row r="5499" spans="14:50" x14ac:dyDescent="0.25">
      <c r="N5499" s="3"/>
      <c r="AW5499" s="7"/>
      <c r="AX5499" s="7"/>
    </row>
    <row r="5500" spans="14:50" x14ac:dyDescent="0.25">
      <c r="N5500" s="3"/>
      <c r="AW5500" s="7"/>
      <c r="AX5500" s="7"/>
    </row>
    <row r="5501" spans="14:50" x14ac:dyDescent="0.25">
      <c r="N5501" s="3"/>
      <c r="AW5501" s="7"/>
      <c r="AX5501" s="7"/>
    </row>
    <row r="5502" spans="14:50" x14ac:dyDescent="0.25">
      <c r="N5502" s="3"/>
      <c r="AW5502" s="7"/>
      <c r="AX5502" s="7"/>
    </row>
    <row r="5503" spans="14:50" x14ac:dyDescent="0.25">
      <c r="N5503" s="3"/>
      <c r="AW5503" s="7"/>
      <c r="AX5503" s="7"/>
    </row>
    <row r="5504" spans="14:50" x14ac:dyDescent="0.25">
      <c r="N5504" s="3"/>
      <c r="AW5504" s="7"/>
      <c r="AX5504" s="7"/>
    </row>
    <row r="5505" spans="14:50" x14ac:dyDescent="0.25">
      <c r="N5505" s="3"/>
      <c r="AW5505" s="7"/>
      <c r="AX5505" s="7"/>
    </row>
    <row r="5506" spans="14:50" x14ac:dyDescent="0.25">
      <c r="N5506" s="3"/>
      <c r="AW5506" s="7"/>
      <c r="AX5506" s="7"/>
    </row>
    <row r="5507" spans="14:50" x14ac:dyDescent="0.25">
      <c r="N5507" s="3"/>
      <c r="AW5507" s="7"/>
      <c r="AX5507" s="7"/>
    </row>
    <row r="5508" spans="14:50" x14ac:dyDescent="0.25">
      <c r="N5508" s="3"/>
      <c r="AW5508" s="7"/>
      <c r="AX5508" s="7"/>
    </row>
    <row r="5509" spans="14:50" x14ac:dyDescent="0.25">
      <c r="N5509" s="3"/>
      <c r="AW5509" s="7"/>
      <c r="AX5509" s="7"/>
    </row>
    <row r="5510" spans="14:50" x14ac:dyDescent="0.25">
      <c r="N5510" s="3"/>
      <c r="AW5510" s="7"/>
      <c r="AX5510" s="7"/>
    </row>
    <row r="5511" spans="14:50" x14ac:dyDescent="0.25">
      <c r="N5511" s="3"/>
      <c r="AW5511" s="7"/>
      <c r="AX5511" s="7"/>
    </row>
    <row r="5512" spans="14:50" x14ac:dyDescent="0.25">
      <c r="N5512" s="3"/>
      <c r="AW5512" s="7"/>
      <c r="AX5512" s="7"/>
    </row>
    <row r="5513" spans="14:50" x14ac:dyDescent="0.25">
      <c r="N5513" s="3"/>
      <c r="AW5513" s="7"/>
      <c r="AX5513" s="7"/>
    </row>
    <row r="5514" spans="14:50" x14ac:dyDescent="0.25">
      <c r="N5514" s="3"/>
      <c r="AW5514" s="7"/>
      <c r="AX5514" s="7"/>
    </row>
    <row r="5515" spans="14:50" x14ac:dyDescent="0.25">
      <c r="N5515" s="3"/>
      <c r="AW5515" s="7"/>
      <c r="AX5515" s="7"/>
    </row>
    <row r="5516" spans="14:50" x14ac:dyDescent="0.25">
      <c r="N5516" s="3"/>
      <c r="AW5516" s="7"/>
      <c r="AX5516" s="7"/>
    </row>
    <row r="5517" spans="14:50" x14ac:dyDescent="0.25">
      <c r="N5517" s="3"/>
      <c r="AW5517" s="7"/>
      <c r="AX5517" s="7"/>
    </row>
    <row r="5518" spans="14:50" x14ac:dyDescent="0.25">
      <c r="N5518" s="3"/>
      <c r="AW5518" s="7"/>
      <c r="AX5518" s="7"/>
    </row>
    <row r="5519" spans="14:50" x14ac:dyDescent="0.25">
      <c r="N5519" s="3"/>
      <c r="AW5519" s="7"/>
      <c r="AX5519" s="7"/>
    </row>
    <row r="5520" spans="14:50" x14ac:dyDescent="0.25">
      <c r="N5520" s="3"/>
      <c r="AW5520" s="7"/>
      <c r="AX5520" s="7"/>
    </row>
    <row r="5521" spans="14:50" x14ac:dyDescent="0.25">
      <c r="N5521" s="3"/>
      <c r="AW5521" s="7"/>
      <c r="AX5521" s="7"/>
    </row>
    <row r="5522" spans="14:50" x14ac:dyDescent="0.25">
      <c r="N5522" s="3"/>
      <c r="AW5522" s="7"/>
      <c r="AX5522" s="7"/>
    </row>
    <row r="5523" spans="14:50" x14ac:dyDescent="0.25">
      <c r="N5523" s="3"/>
      <c r="AW5523" s="7"/>
      <c r="AX5523" s="7"/>
    </row>
    <row r="5524" spans="14:50" x14ac:dyDescent="0.25">
      <c r="N5524" s="3"/>
      <c r="AW5524" s="7"/>
      <c r="AX5524" s="7"/>
    </row>
    <row r="5525" spans="14:50" x14ac:dyDescent="0.25">
      <c r="N5525" s="3"/>
      <c r="AW5525" s="7"/>
      <c r="AX5525" s="7"/>
    </row>
    <row r="5526" spans="14:50" x14ac:dyDescent="0.25">
      <c r="N5526" s="3"/>
      <c r="AW5526" s="7"/>
      <c r="AX5526" s="7"/>
    </row>
    <row r="5527" spans="14:50" x14ac:dyDescent="0.25">
      <c r="N5527" s="3"/>
      <c r="AW5527" s="7"/>
      <c r="AX5527" s="7"/>
    </row>
    <row r="5528" spans="14:50" x14ac:dyDescent="0.25">
      <c r="N5528" s="3"/>
      <c r="AW5528" s="7"/>
      <c r="AX5528" s="7"/>
    </row>
    <row r="5529" spans="14:50" x14ac:dyDescent="0.25">
      <c r="N5529" s="3"/>
      <c r="AW5529" s="7"/>
      <c r="AX5529" s="7"/>
    </row>
    <row r="5530" spans="14:50" x14ac:dyDescent="0.25">
      <c r="N5530" s="3"/>
      <c r="AW5530" s="7"/>
      <c r="AX5530" s="7"/>
    </row>
    <row r="5531" spans="14:50" x14ac:dyDescent="0.25">
      <c r="N5531" s="3"/>
      <c r="AW5531" s="7"/>
      <c r="AX5531" s="7"/>
    </row>
    <row r="5532" spans="14:50" x14ac:dyDescent="0.25">
      <c r="N5532" s="3"/>
      <c r="AW5532" s="7"/>
      <c r="AX5532" s="7"/>
    </row>
    <row r="5533" spans="14:50" x14ac:dyDescent="0.25">
      <c r="N5533" s="3"/>
      <c r="AW5533" s="7"/>
      <c r="AX5533" s="7"/>
    </row>
    <row r="5534" spans="14:50" x14ac:dyDescent="0.25">
      <c r="N5534" s="3"/>
      <c r="AW5534" s="7"/>
      <c r="AX5534" s="7"/>
    </row>
    <row r="5535" spans="14:50" x14ac:dyDescent="0.25">
      <c r="N5535" s="3"/>
      <c r="AW5535" s="7"/>
      <c r="AX5535" s="7"/>
    </row>
    <row r="5536" spans="14:50" x14ac:dyDescent="0.25">
      <c r="N5536" s="3"/>
      <c r="AW5536" s="7"/>
      <c r="AX5536" s="7"/>
    </row>
    <row r="5537" spans="14:50" x14ac:dyDescent="0.25">
      <c r="N5537" s="3"/>
      <c r="AW5537" s="7"/>
      <c r="AX5537" s="7"/>
    </row>
    <row r="5538" spans="14:50" x14ac:dyDescent="0.25">
      <c r="N5538" s="3"/>
      <c r="AW5538" s="7"/>
      <c r="AX5538" s="7"/>
    </row>
    <row r="5539" spans="14:50" x14ac:dyDescent="0.25">
      <c r="N5539" s="3"/>
      <c r="AW5539" s="7"/>
      <c r="AX5539" s="7"/>
    </row>
    <row r="5540" spans="14:50" x14ac:dyDescent="0.25">
      <c r="N5540" s="3"/>
      <c r="AW5540" s="7"/>
      <c r="AX5540" s="7"/>
    </row>
    <row r="5541" spans="14:50" x14ac:dyDescent="0.25">
      <c r="N5541" s="3"/>
      <c r="AW5541" s="7"/>
      <c r="AX5541" s="7"/>
    </row>
    <row r="5542" spans="14:50" x14ac:dyDescent="0.25">
      <c r="N5542" s="3"/>
      <c r="AW5542" s="7"/>
      <c r="AX5542" s="7"/>
    </row>
    <row r="5543" spans="14:50" x14ac:dyDescent="0.25">
      <c r="N5543" s="3"/>
      <c r="AW5543" s="7"/>
      <c r="AX5543" s="7"/>
    </row>
    <row r="5544" spans="14:50" x14ac:dyDescent="0.25">
      <c r="N5544" s="3"/>
      <c r="AW5544" s="7"/>
      <c r="AX5544" s="7"/>
    </row>
    <row r="5545" spans="14:50" x14ac:dyDescent="0.25">
      <c r="N5545" s="3"/>
      <c r="AW5545" s="7"/>
      <c r="AX5545" s="7"/>
    </row>
    <row r="5546" spans="14:50" x14ac:dyDescent="0.25">
      <c r="N5546" s="3"/>
      <c r="AW5546" s="7"/>
      <c r="AX5546" s="7"/>
    </row>
    <row r="5547" spans="14:50" x14ac:dyDescent="0.25">
      <c r="N5547" s="3"/>
      <c r="AW5547" s="7"/>
      <c r="AX5547" s="7"/>
    </row>
    <row r="5548" spans="14:50" x14ac:dyDescent="0.25">
      <c r="N5548" s="3"/>
      <c r="AW5548" s="7"/>
      <c r="AX5548" s="7"/>
    </row>
    <row r="5549" spans="14:50" x14ac:dyDescent="0.25">
      <c r="N5549" s="3"/>
      <c r="AW5549" s="7"/>
      <c r="AX5549" s="7"/>
    </row>
    <row r="5550" spans="14:50" x14ac:dyDescent="0.25">
      <c r="N5550" s="3"/>
      <c r="AW5550" s="7"/>
      <c r="AX5550" s="7"/>
    </row>
    <row r="5551" spans="14:50" x14ac:dyDescent="0.25">
      <c r="N5551" s="3"/>
      <c r="AW5551" s="7"/>
      <c r="AX5551" s="7"/>
    </row>
    <row r="5552" spans="14:50" x14ac:dyDescent="0.25">
      <c r="N5552" s="3"/>
      <c r="AW5552" s="7"/>
      <c r="AX5552" s="7"/>
    </row>
    <row r="5553" spans="14:50" x14ac:dyDescent="0.25">
      <c r="N5553" s="3"/>
      <c r="AW5553" s="7"/>
      <c r="AX5553" s="7"/>
    </row>
    <row r="5554" spans="14:50" x14ac:dyDescent="0.25">
      <c r="N5554" s="3"/>
      <c r="AW5554" s="7"/>
      <c r="AX5554" s="7"/>
    </row>
    <row r="5555" spans="14:50" x14ac:dyDescent="0.25">
      <c r="N5555" s="3"/>
      <c r="AW5555" s="7"/>
      <c r="AX5555" s="7"/>
    </row>
    <row r="5556" spans="14:50" x14ac:dyDescent="0.25">
      <c r="N5556" s="3"/>
      <c r="AW5556" s="7"/>
      <c r="AX5556" s="7"/>
    </row>
    <row r="5557" spans="14:50" x14ac:dyDescent="0.25">
      <c r="N5557" s="3"/>
      <c r="AW5557" s="7"/>
      <c r="AX5557" s="7"/>
    </row>
    <row r="5558" spans="14:50" x14ac:dyDescent="0.25">
      <c r="N5558" s="3"/>
      <c r="AW5558" s="7"/>
      <c r="AX5558" s="7"/>
    </row>
    <row r="5559" spans="14:50" x14ac:dyDescent="0.25">
      <c r="N5559" s="3"/>
      <c r="AW5559" s="7"/>
      <c r="AX5559" s="7"/>
    </row>
    <row r="5560" spans="14:50" x14ac:dyDescent="0.25">
      <c r="N5560" s="3"/>
      <c r="AW5560" s="7"/>
      <c r="AX5560" s="7"/>
    </row>
    <row r="5561" spans="14:50" x14ac:dyDescent="0.25">
      <c r="N5561" s="3"/>
      <c r="AW5561" s="7"/>
      <c r="AX5561" s="7"/>
    </row>
    <row r="5562" spans="14:50" x14ac:dyDescent="0.25">
      <c r="N5562" s="3"/>
      <c r="AW5562" s="7"/>
      <c r="AX5562" s="7"/>
    </row>
    <row r="5563" spans="14:50" x14ac:dyDescent="0.25">
      <c r="N5563" s="3"/>
      <c r="AW5563" s="7"/>
      <c r="AX5563" s="7"/>
    </row>
    <row r="5564" spans="14:50" x14ac:dyDescent="0.25">
      <c r="N5564" s="3"/>
      <c r="AW5564" s="7"/>
      <c r="AX5564" s="7"/>
    </row>
    <row r="5565" spans="14:50" x14ac:dyDescent="0.25">
      <c r="N5565" s="3"/>
      <c r="AW5565" s="7"/>
      <c r="AX5565" s="7"/>
    </row>
    <row r="5566" spans="14:50" x14ac:dyDescent="0.25">
      <c r="N5566" s="3"/>
      <c r="AW5566" s="7"/>
      <c r="AX5566" s="7"/>
    </row>
    <row r="5567" spans="14:50" x14ac:dyDescent="0.25">
      <c r="N5567" s="3"/>
      <c r="AW5567" s="7"/>
      <c r="AX5567" s="7"/>
    </row>
    <row r="5568" spans="14:50" x14ac:dyDescent="0.25">
      <c r="N5568" s="3"/>
      <c r="AW5568" s="7"/>
      <c r="AX5568" s="7"/>
    </row>
    <row r="5569" spans="14:50" x14ac:dyDescent="0.25">
      <c r="N5569" s="3"/>
      <c r="AW5569" s="7"/>
      <c r="AX5569" s="7"/>
    </row>
    <row r="5570" spans="14:50" x14ac:dyDescent="0.25">
      <c r="N5570" s="3"/>
      <c r="AW5570" s="7"/>
      <c r="AX5570" s="7"/>
    </row>
    <row r="5571" spans="14:50" x14ac:dyDescent="0.25">
      <c r="N5571" s="3"/>
      <c r="AW5571" s="7"/>
      <c r="AX5571" s="7"/>
    </row>
    <row r="5572" spans="14:50" x14ac:dyDescent="0.25">
      <c r="N5572" s="3"/>
      <c r="AW5572" s="7"/>
      <c r="AX5572" s="7"/>
    </row>
    <row r="5573" spans="14:50" x14ac:dyDescent="0.25">
      <c r="N5573" s="3"/>
      <c r="AW5573" s="7"/>
      <c r="AX5573" s="7"/>
    </row>
    <row r="5574" spans="14:50" x14ac:dyDescent="0.25">
      <c r="N5574" s="3"/>
      <c r="AW5574" s="7"/>
      <c r="AX5574" s="7"/>
    </row>
    <row r="5575" spans="14:50" x14ac:dyDescent="0.25">
      <c r="N5575" s="3"/>
      <c r="AW5575" s="7"/>
      <c r="AX5575" s="7"/>
    </row>
    <row r="5576" spans="14:50" x14ac:dyDescent="0.25">
      <c r="N5576" s="3"/>
      <c r="AW5576" s="7"/>
      <c r="AX5576" s="7"/>
    </row>
    <row r="5577" spans="14:50" x14ac:dyDescent="0.25">
      <c r="N5577" s="3"/>
      <c r="AW5577" s="7"/>
      <c r="AX5577" s="7"/>
    </row>
    <row r="5578" spans="14:50" x14ac:dyDescent="0.25">
      <c r="N5578" s="3"/>
      <c r="AW5578" s="7"/>
      <c r="AX5578" s="7"/>
    </row>
    <row r="5579" spans="14:50" x14ac:dyDescent="0.25">
      <c r="N5579" s="3"/>
      <c r="AW5579" s="7"/>
      <c r="AX5579" s="7"/>
    </row>
    <row r="5580" spans="14:50" x14ac:dyDescent="0.25">
      <c r="N5580" s="3"/>
      <c r="AW5580" s="7"/>
      <c r="AX5580" s="7"/>
    </row>
    <row r="5581" spans="14:50" x14ac:dyDescent="0.25">
      <c r="N5581" s="3"/>
      <c r="AW5581" s="7"/>
      <c r="AX5581" s="7"/>
    </row>
    <row r="5582" spans="14:50" x14ac:dyDescent="0.25">
      <c r="N5582" s="3"/>
      <c r="AW5582" s="7"/>
      <c r="AX5582" s="7"/>
    </row>
    <row r="5583" spans="14:50" x14ac:dyDescent="0.25">
      <c r="N5583" s="3"/>
      <c r="AW5583" s="7"/>
      <c r="AX5583" s="7"/>
    </row>
    <row r="5584" spans="14:50" x14ac:dyDescent="0.25">
      <c r="N5584" s="3"/>
      <c r="AW5584" s="7"/>
      <c r="AX5584" s="7"/>
    </row>
    <row r="5585" spans="14:50" x14ac:dyDescent="0.25">
      <c r="N5585" s="3"/>
      <c r="AW5585" s="7"/>
      <c r="AX5585" s="7"/>
    </row>
    <row r="5586" spans="14:50" x14ac:dyDescent="0.25">
      <c r="N5586" s="3"/>
      <c r="AW5586" s="7"/>
      <c r="AX5586" s="7"/>
    </row>
    <row r="5587" spans="14:50" x14ac:dyDescent="0.25">
      <c r="N5587" s="3"/>
      <c r="AW5587" s="7"/>
      <c r="AX5587" s="7"/>
    </row>
    <row r="5588" spans="14:50" x14ac:dyDescent="0.25">
      <c r="N5588" s="3"/>
      <c r="AW5588" s="7"/>
      <c r="AX5588" s="7"/>
    </row>
    <row r="5589" spans="14:50" x14ac:dyDescent="0.25">
      <c r="N5589" s="3"/>
      <c r="AW5589" s="7"/>
      <c r="AX5589" s="7"/>
    </row>
    <row r="5590" spans="14:50" x14ac:dyDescent="0.25">
      <c r="N5590" s="3"/>
      <c r="AW5590" s="7"/>
      <c r="AX5590" s="7"/>
    </row>
    <row r="5591" spans="14:50" x14ac:dyDescent="0.25">
      <c r="N5591" s="3"/>
      <c r="AW5591" s="7"/>
      <c r="AX5591" s="7"/>
    </row>
    <row r="5592" spans="14:50" x14ac:dyDescent="0.25">
      <c r="N5592" s="3"/>
      <c r="AW5592" s="7"/>
      <c r="AX5592" s="7"/>
    </row>
    <row r="5593" spans="14:50" x14ac:dyDescent="0.25">
      <c r="N5593" s="3"/>
      <c r="AW5593" s="7"/>
      <c r="AX5593" s="7"/>
    </row>
    <row r="5594" spans="14:50" x14ac:dyDescent="0.25">
      <c r="N5594" s="3"/>
      <c r="AW5594" s="7"/>
      <c r="AX5594" s="7"/>
    </row>
    <row r="5595" spans="14:50" x14ac:dyDescent="0.25">
      <c r="N5595" s="3"/>
      <c r="AW5595" s="7"/>
      <c r="AX5595" s="7"/>
    </row>
    <row r="5596" spans="14:50" x14ac:dyDescent="0.25">
      <c r="N5596" s="3"/>
      <c r="AW5596" s="7"/>
      <c r="AX5596" s="7"/>
    </row>
    <row r="5597" spans="14:50" x14ac:dyDescent="0.25">
      <c r="N5597" s="3"/>
      <c r="AW5597" s="7"/>
      <c r="AX5597" s="7"/>
    </row>
    <row r="5598" spans="14:50" x14ac:dyDescent="0.25">
      <c r="N5598" s="3"/>
      <c r="AW5598" s="7"/>
      <c r="AX5598" s="7"/>
    </row>
    <row r="5599" spans="14:50" x14ac:dyDescent="0.25">
      <c r="N5599" s="3"/>
      <c r="AW5599" s="7"/>
      <c r="AX5599" s="7"/>
    </row>
    <row r="5600" spans="14:50" x14ac:dyDescent="0.25">
      <c r="N5600" s="3"/>
      <c r="AW5600" s="7"/>
      <c r="AX5600" s="7"/>
    </row>
    <row r="5601" spans="14:50" x14ac:dyDescent="0.25">
      <c r="N5601" s="3"/>
      <c r="AW5601" s="7"/>
      <c r="AX5601" s="7"/>
    </row>
    <row r="5602" spans="14:50" x14ac:dyDescent="0.25">
      <c r="N5602" s="3"/>
      <c r="AW5602" s="7"/>
      <c r="AX5602" s="7"/>
    </row>
    <row r="5603" spans="14:50" x14ac:dyDescent="0.25">
      <c r="N5603" s="3"/>
      <c r="AW5603" s="7"/>
      <c r="AX5603" s="7"/>
    </row>
    <row r="5604" spans="14:50" x14ac:dyDescent="0.25">
      <c r="N5604" s="3"/>
      <c r="AW5604" s="7"/>
      <c r="AX5604" s="7"/>
    </row>
    <row r="5605" spans="14:50" x14ac:dyDescent="0.25">
      <c r="N5605" s="3"/>
      <c r="AW5605" s="7"/>
      <c r="AX5605" s="7"/>
    </row>
    <row r="5606" spans="14:50" x14ac:dyDescent="0.25">
      <c r="N5606" s="3"/>
      <c r="AW5606" s="7"/>
      <c r="AX5606" s="7"/>
    </row>
    <row r="5607" spans="14:50" x14ac:dyDescent="0.25">
      <c r="N5607" s="3"/>
      <c r="AW5607" s="7"/>
      <c r="AX5607" s="7"/>
    </row>
    <row r="5608" spans="14:50" x14ac:dyDescent="0.25">
      <c r="N5608" s="3"/>
      <c r="AW5608" s="7"/>
      <c r="AX5608" s="7"/>
    </row>
    <row r="5609" spans="14:50" x14ac:dyDescent="0.25">
      <c r="N5609" s="3"/>
      <c r="AW5609" s="7"/>
      <c r="AX5609" s="7"/>
    </row>
    <row r="5610" spans="14:50" x14ac:dyDescent="0.25">
      <c r="N5610" s="3"/>
      <c r="AW5610" s="7"/>
      <c r="AX5610" s="7"/>
    </row>
    <row r="5611" spans="14:50" x14ac:dyDescent="0.25">
      <c r="N5611" s="3"/>
      <c r="AW5611" s="7"/>
      <c r="AX5611" s="7"/>
    </row>
    <row r="5612" spans="14:50" x14ac:dyDescent="0.25">
      <c r="N5612" s="3"/>
      <c r="AW5612" s="7"/>
      <c r="AX5612" s="7"/>
    </row>
    <row r="5613" spans="14:50" x14ac:dyDescent="0.25">
      <c r="N5613" s="3"/>
      <c r="AW5613" s="7"/>
      <c r="AX5613" s="7"/>
    </row>
    <row r="5614" spans="14:50" x14ac:dyDescent="0.25">
      <c r="N5614" s="3"/>
      <c r="AW5614" s="7"/>
      <c r="AX5614" s="7"/>
    </row>
    <row r="5615" spans="14:50" x14ac:dyDescent="0.25">
      <c r="N5615" s="3"/>
      <c r="AW5615" s="7"/>
      <c r="AX5615" s="7"/>
    </row>
    <row r="5616" spans="14:50" x14ac:dyDescent="0.25">
      <c r="N5616" s="3"/>
      <c r="AW5616" s="7"/>
      <c r="AX5616" s="7"/>
    </row>
    <row r="5617" spans="14:50" x14ac:dyDescent="0.25">
      <c r="N5617" s="3"/>
      <c r="AW5617" s="7"/>
      <c r="AX5617" s="7"/>
    </row>
    <row r="5618" spans="14:50" x14ac:dyDescent="0.25">
      <c r="N5618" s="3"/>
      <c r="AW5618" s="7"/>
      <c r="AX5618" s="7"/>
    </row>
    <row r="5619" spans="14:50" x14ac:dyDescent="0.25">
      <c r="N5619" s="3"/>
      <c r="AW5619" s="7"/>
      <c r="AX5619" s="7"/>
    </row>
    <row r="5620" spans="14:50" x14ac:dyDescent="0.25">
      <c r="N5620" s="3"/>
      <c r="AW5620" s="7"/>
      <c r="AX5620" s="7"/>
    </row>
    <row r="5621" spans="14:50" x14ac:dyDescent="0.25">
      <c r="N5621" s="3"/>
      <c r="AW5621" s="7"/>
      <c r="AX5621" s="7"/>
    </row>
    <row r="5622" spans="14:50" x14ac:dyDescent="0.25">
      <c r="N5622" s="3"/>
      <c r="AW5622" s="7"/>
      <c r="AX5622" s="7"/>
    </row>
    <row r="5623" spans="14:50" x14ac:dyDescent="0.25">
      <c r="N5623" s="3"/>
      <c r="AW5623" s="7"/>
      <c r="AX5623" s="7"/>
    </row>
    <row r="5624" spans="14:50" x14ac:dyDescent="0.25">
      <c r="N5624" s="3"/>
      <c r="AW5624" s="7"/>
      <c r="AX5624" s="7"/>
    </row>
    <row r="5625" spans="14:50" x14ac:dyDescent="0.25">
      <c r="N5625" s="3"/>
      <c r="AW5625" s="7"/>
      <c r="AX5625" s="7"/>
    </row>
    <row r="5626" spans="14:50" x14ac:dyDescent="0.25">
      <c r="N5626" s="3"/>
      <c r="AW5626" s="7"/>
      <c r="AX5626" s="7"/>
    </row>
    <row r="5627" spans="14:50" x14ac:dyDescent="0.25">
      <c r="N5627" s="3"/>
      <c r="AW5627" s="7"/>
      <c r="AX5627" s="7"/>
    </row>
    <row r="5628" spans="14:50" x14ac:dyDescent="0.25">
      <c r="N5628" s="3"/>
      <c r="AW5628" s="7"/>
      <c r="AX5628" s="7"/>
    </row>
    <row r="5629" spans="14:50" x14ac:dyDescent="0.25">
      <c r="N5629" s="3"/>
      <c r="AW5629" s="7"/>
      <c r="AX5629" s="7"/>
    </row>
    <row r="5630" spans="14:50" x14ac:dyDescent="0.25">
      <c r="N5630" s="3"/>
      <c r="AW5630" s="7"/>
      <c r="AX5630" s="7"/>
    </row>
    <row r="5631" spans="14:50" x14ac:dyDescent="0.25">
      <c r="N5631" s="3"/>
      <c r="AW5631" s="7"/>
      <c r="AX5631" s="7"/>
    </row>
    <row r="5632" spans="14:50" x14ac:dyDescent="0.25">
      <c r="N5632" s="3"/>
      <c r="AW5632" s="7"/>
      <c r="AX5632" s="7"/>
    </row>
    <row r="5633" spans="14:50" x14ac:dyDescent="0.25">
      <c r="N5633" s="3"/>
      <c r="AW5633" s="7"/>
      <c r="AX5633" s="7"/>
    </row>
    <row r="5634" spans="14:50" x14ac:dyDescent="0.25">
      <c r="N5634" s="3"/>
      <c r="AW5634" s="7"/>
      <c r="AX5634" s="7"/>
    </row>
    <row r="5635" spans="14:50" x14ac:dyDescent="0.25">
      <c r="N5635" s="3"/>
      <c r="AW5635" s="7"/>
      <c r="AX5635" s="7"/>
    </row>
    <row r="5636" spans="14:50" x14ac:dyDescent="0.25">
      <c r="N5636" s="3"/>
      <c r="AW5636" s="7"/>
      <c r="AX5636" s="7"/>
    </row>
    <row r="5637" spans="14:50" x14ac:dyDescent="0.25">
      <c r="N5637" s="3"/>
      <c r="AW5637" s="7"/>
      <c r="AX5637" s="7"/>
    </row>
    <row r="5638" spans="14:50" x14ac:dyDescent="0.25">
      <c r="N5638" s="3"/>
      <c r="AW5638" s="7"/>
      <c r="AX5638" s="7"/>
    </row>
    <row r="5639" spans="14:50" x14ac:dyDescent="0.25">
      <c r="N5639" s="3"/>
      <c r="AW5639" s="7"/>
      <c r="AX5639" s="7"/>
    </row>
    <row r="5640" spans="14:50" x14ac:dyDescent="0.25">
      <c r="N5640" s="3"/>
      <c r="AW5640" s="7"/>
      <c r="AX5640" s="7"/>
    </row>
    <row r="5641" spans="14:50" x14ac:dyDescent="0.25">
      <c r="N5641" s="3"/>
      <c r="AW5641" s="7"/>
      <c r="AX5641" s="7"/>
    </row>
    <row r="5642" spans="14:50" x14ac:dyDescent="0.25">
      <c r="N5642" s="3"/>
      <c r="AW5642" s="7"/>
      <c r="AX5642" s="7"/>
    </row>
    <row r="5643" spans="14:50" x14ac:dyDescent="0.25">
      <c r="N5643" s="3"/>
      <c r="AW5643" s="7"/>
      <c r="AX5643" s="7"/>
    </row>
    <row r="5644" spans="14:50" x14ac:dyDescent="0.25">
      <c r="N5644" s="3"/>
      <c r="AW5644" s="7"/>
      <c r="AX5644" s="7"/>
    </row>
    <row r="5645" spans="14:50" x14ac:dyDescent="0.25">
      <c r="N5645" s="3"/>
      <c r="AW5645" s="7"/>
      <c r="AX5645" s="7"/>
    </row>
    <row r="5646" spans="14:50" x14ac:dyDescent="0.25">
      <c r="N5646" s="3"/>
      <c r="AW5646" s="7"/>
      <c r="AX5646" s="7"/>
    </row>
    <row r="5647" spans="14:50" x14ac:dyDescent="0.25">
      <c r="N5647" s="3"/>
      <c r="AW5647" s="7"/>
      <c r="AX5647" s="7"/>
    </row>
    <row r="5648" spans="14:50" x14ac:dyDescent="0.25">
      <c r="N5648" s="3"/>
      <c r="AW5648" s="7"/>
      <c r="AX5648" s="7"/>
    </row>
    <row r="5649" spans="14:50" x14ac:dyDescent="0.25">
      <c r="N5649" s="3"/>
      <c r="AW5649" s="7"/>
      <c r="AX5649" s="7"/>
    </row>
    <row r="5650" spans="14:50" x14ac:dyDescent="0.25">
      <c r="N5650" s="3"/>
      <c r="AW5650" s="7"/>
      <c r="AX5650" s="7"/>
    </row>
    <row r="5651" spans="14:50" x14ac:dyDescent="0.25">
      <c r="N5651" s="3"/>
      <c r="AW5651" s="7"/>
      <c r="AX5651" s="7"/>
    </row>
    <row r="5652" spans="14:50" x14ac:dyDescent="0.25">
      <c r="N5652" s="3"/>
      <c r="AW5652" s="7"/>
      <c r="AX5652" s="7"/>
    </row>
    <row r="5653" spans="14:50" x14ac:dyDescent="0.25">
      <c r="N5653" s="3"/>
      <c r="AW5653" s="7"/>
      <c r="AX5653" s="7"/>
    </row>
    <row r="5654" spans="14:50" x14ac:dyDescent="0.25">
      <c r="N5654" s="3"/>
      <c r="AW5654" s="7"/>
      <c r="AX5654" s="7"/>
    </row>
    <row r="5655" spans="14:50" x14ac:dyDescent="0.25">
      <c r="N5655" s="3"/>
      <c r="AW5655" s="7"/>
      <c r="AX5655" s="7"/>
    </row>
    <row r="5656" spans="14:50" x14ac:dyDescent="0.25">
      <c r="N5656" s="3"/>
      <c r="AW5656" s="7"/>
      <c r="AX5656" s="7"/>
    </row>
    <row r="5657" spans="14:50" x14ac:dyDescent="0.25">
      <c r="N5657" s="3"/>
      <c r="AW5657" s="7"/>
      <c r="AX5657" s="7"/>
    </row>
    <row r="5658" spans="14:50" x14ac:dyDescent="0.25">
      <c r="N5658" s="3"/>
      <c r="AW5658" s="7"/>
      <c r="AX5658" s="7"/>
    </row>
    <row r="5659" spans="14:50" x14ac:dyDescent="0.25">
      <c r="N5659" s="3"/>
      <c r="AW5659" s="7"/>
      <c r="AX5659" s="7"/>
    </row>
    <row r="5660" spans="14:50" x14ac:dyDescent="0.25">
      <c r="N5660" s="3"/>
      <c r="AW5660" s="7"/>
      <c r="AX5660" s="7"/>
    </row>
    <row r="5661" spans="14:50" x14ac:dyDescent="0.25">
      <c r="N5661" s="3"/>
      <c r="AW5661" s="7"/>
      <c r="AX5661" s="7"/>
    </row>
    <row r="5662" spans="14:50" x14ac:dyDescent="0.25">
      <c r="N5662" s="3"/>
      <c r="AW5662" s="7"/>
      <c r="AX5662" s="7"/>
    </row>
    <row r="5663" spans="14:50" x14ac:dyDescent="0.25">
      <c r="N5663" s="3"/>
      <c r="AW5663" s="7"/>
      <c r="AX5663" s="7"/>
    </row>
    <row r="5664" spans="14:50" x14ac:dyDescent="0.25">
      <c r="N5664" s="3"/>
      <c r="AW5664" s="7"/>
      <c r="AX5664" s="7"/>
    </row>
    <row r="5665" spans="14:50" x14ac:dyDescent="0.25">
      <c r="N5665" s="3"/>
      <c r="AW5665" s="7"/>
      <c r="AX5665" s="7"/>
    </row>
    <row r="5666" spans="14:50" x14ac:dyDescent="0.25">
      <c r="N5666" s="3"/>
      <c r="AW5666" s="7"/>
      <c r="AX5666" s="7"/>
    </row>
    <row r="5667" spans="14:50" x14ac:dyDescent="0.25">
      <c r="N5667" s="3"/>
      <c r="AW5667" s="7"/>
      <c r="AX5667" s="7"/>
    </row>
    <row r="5668" spans="14:50" x14ac:dyDescent="0.25">
      <c r="N5668" s="3"/>
      <c r="AW5668" s="7"/>
      <c r="AX5668" s="7"/>
    </row>
    <row r="5669" spans="14:50" x14ac:dyDescent="0.25">
      <c r="N5669" s="3"/>
      <c r="AW5669" s="7"/>
      <c r="AX5669" s="7"/>
    </row>
    <row r="5670" spans="14:50" x14ac:dyDescent="0.25">
      <c r="N5670" s="3"/>
      <c r="AW5670" s="7"/>
      <c r="AX5670" s="7"/>
    </row>
    <row r="5671" spans="14:50" x14ac:dyDescent="0.25">
      <c r="N5671" s="3"/>
      <c r="AW5671" s="7"/>
      <c r="AX5671" s="7"/>
    </row>
    <row r="5672" spans="14:50" x14ac:dyDescent="0.25">
      <c r="N5672" s="3"/>
      <c r="AW5672" s="7"/>
      <c r="AX5672" s="7"/>
    </row>
    <row r="5673" spans="14:50" x14ac:dyDescent="0.25">
      <c r="N5673" s="3"/>
      <c r="AW5673" s="7"/>
      <c r="AX5673" s="7"/>
    </row>
    <row r="5674" spans="14:50" x14ac:dyDescent="0.25">
      <c r="N5674" s="3"/>
      <c r="AW5674" s="7"/>
      <c r="AX5674" s="7"/>
    </row>
    <row r="5675" spans="14:50" x14ac:dyDescent="0.25">
      <c r="N5675" s="3"/>
      <c r="AW5675" s="7"/>
      <c r="AX5675" s="7"/>
    </row>
    <row r="5676" spans="14:50" x14ac:dyDescent="0.25">
      <c r="N5676" s="3"/>
      <c r="AW5676" s="7"/>
      <c r="AX5676" s="7"/>
    </row>
    <row r="5677" spans="14:50" x14ac:dyDescent="0.25">
      <c r="N5677" s="3"/>
      <c r="AW5677" s="7"/>
      <c r="AX5677" s="7"/>
    </row>
    <row r="5678" spans="14:50" x14ac:dyDescent="0.25">
      <c r="N5678" s="3"/>
      <c r="AW5678" s="7"/>
      <c r="AX5678" s="7"/>
    </row>
    <row r="5679" spans="14:50" x14ac:dyDescent="0.25">
      <c r="N5679" s="3"/>
      <c r="AW5679" s="7"/>
      <c r="AX5679" s="7"/>
    </row>
    <row r="5680" spans="14:50" x14ac:dyDescent="0.25">
      <c r="N5680" s="3"/>
      <c r="AW5680" s="7"/>
      <c r="AX5680" s="7"/>
    </row>
    <row r="5681" spans="14:50" x14ac:dyDescent="0.25">
      <c r="N5681" s="3"/>
      <c r="AW5681" s="7"/>
      <c r="AX5681" s="7"/>
    </row>
    <row r="5682" spans="14:50" x14ac:dyDescent="0.25">
      <c r="N5682" s="3"/>
      <c r="AW5682" s="7"/>
      <c r="AX5682" s="7"/>
    </row>
    <row r="5683" spans="14:50" x14ac:dyDescent="0.25">
      <c r="N5683" s="3"/>
      <c r="AW5683" s="7"/>
      <c r="AX5683" s="7"/>
    </row>
    <row r="5684" spans="14:50" x14ac:dyDescent="0.25">
      <c r="N5684" s="3"/>
      <c r="AW5684" s="7"/>
      <c r="AX5684" s="7"/>
    </row>
    <row r="5685" spans="14:50" x14ac:dyDescent="0.25">
      <c r="N5685" s="3"/>
      <c r="AW5685" s="7"/>
      <c r="AX5685" s="7"/>
    </row>
    <row r="5686" spans="14:50" x14ac:dyDescent="0.25">
      <c r="N5686" s="3"/>
      <c r="AW5686" s="7"/>
      <c r="AX5686" s="7"/>
    </row>
    <row r="5687" spans="14:50" x14ac:dyDescent="0.25">
      <c r="N5687" s="3"/>
      <c r="AW5687" s="7"/>
      <c r="AX5687" s="7"/>
    </row>
    <row r="5688" spans="14:50" x14ac:dyDescent="0.25">
      <c r="N5688" s="3"/>
      <c r="AW5688" s="7"/>
      <c r="AX5688" s="7"/>
    </row>
    <row r="5689" spans="14:50" x14ac:dyDescent="0.25">
      <c r="N5689" s="3"/>
      <c r="AW5689" s="7"/>
      <c r="AX5689" s="7"/>
    </row>
    <row r="5690" spans="14:50" x14ac:dyDescent="0.25">
      <c r="N5690" s="3"/>
      <c r="AW5690" s="7"/>
      <c r="AX5690" s="7"/>
    </row>
    <row r="5691" spans="14:50" x14ac:dyDescent="0.25">
      <c r="N5691" s="3"/>
      <c r="AW5691" s="7"/>
      <c r="AX5691" s="7"/>
    </row>
    <row r="5692" spans="14:50" x14ac:dyDescent="0.25">
      <c r="N5692" s="3"/>
      <c r="AW5692" s="7"/>
      <c r="AX5692" s="7"/>
    </row>
    <row r="5693" spans="14:50" x14ac:dyDescent="0.25">
      <c r="N5693" s="3"/>
      <c r="AW5693" s="7"/>
      <c r="AX5693" s="7"/>
    </row>
    <row r="5694" spans="14:50" x14ac:dyDescent="0.25">
      <c r="N5694" s="3"/>
      <c r="AW5694" s="7"/>
      <c r="AX5694" s="7"/>
    </row>
    <row r="5695" spans="14:50" x14ac:dyDescent="0.25">
      <c r="N5695" s="3"/>
      <c r="AW5695" s="7"/>
      <c r="AX5695" s="7"/>
    </row>
    <row r="5696" spans="14:50" x14ac:dyDescent="0.25">
      <c r="N5696" s="3"/>
      <c r="AW5696" s="7"/>
      <c r="AX5696" s="7"/>
    </row>
    <row r="5697" spans="14:50" x14ac:dyDescent="0.25">
      <c r="N5697" s="3"/>
      <c r="AW5697" s="7"/>
      <c r="AX5697" s="7"/>
    </row>
    <row r="5698" spans="14:50" x14ac:dyDescent="0.25">
      <c r="N5698" s="3"/>
      <c r="AW5698" s="7"/>
      <c r="AX5698" s="7"/>
    </row>
    <row r="5699" spans="14:50" x14ac:dyDescent="0.25">
      <c r="N5699" s="3"/>
      <c r="AW5699" s="7"/>
      <c r="AX5699" s="7"/>
    </row>
    <row r="5700" spans="14:50" x14ac:dyDescent="0.25">
      <c r="N5700" s="3"/>
      <c r="AW5700" s="7"/>
      <c r="AX5700" s="7"/>
    </row>
    <row r="5701" spans="14:50" x14ac:dyDescent="0.25">
      <c r="N5701" s="3"/>
      <c r="AW5701" s="7"/>
      <c r="AX5701" s="7"/>
    </row>
    <row r="5702" spans="14:50" x14ac:dyDescent="0.25">
      <c r="N5702" s="3"/>
      <c r="AW5702" s="7"/>
      <c r="AX5702" s="7"/>
    </row>
    <row r="5703" spans="14:50" x14ac:dyDescent="0.25">
      <c r="N5703" s="3"/>
      <c r="AW5703" s="7"/>
      <c r="AX5703" s="7"/>
    </row>
    <row r="5704" spans="14:50" x14ac:dyDescent="0.25">
      <c r="N5704" s="3"/>
      <c r="AW5704" s="7"/>
      <c r="AX5704" s="7"/>
    </row>
    <row r="5705" spans="14:50" x14ac:dyDescent="0.25">
      <c r="N5705" s="3"/>
      <c r="AW5705" s="7"/>
      <c r="AX5705" s="7"/>
    </row>
    <row r="5706" spans="14:50" x14ac:dyDescent="0.25">
      <c r="N5706" s="3"/>
      <c r="AW5706" s="7"/>
      <c r="AX5706" s="7"/>
    </row>
    <row r="5707" spans="14:50" x14ac:dyDescent="0.25">
      <c r="N5707" s="3"/>
      <c r="AW5707" s="7"/>
      <c r="AX5707" s="7"/>
    </row>
    <row r="5708" spans="14:50" x14ac:dyDescent="0.25">
      <c r="N5708" s="3"/>
      <c r="AW5708" s="7"/>
      <c r="AX5708" s="7"/>
    </row>
    <row r="5709" spans="14:50" x14ac:dyDescent="0.25">
      <c r="N5709" s="3"/>
      <c r="AW5709" s="7"/>
      <c r="AX5709" s="7"/>
    </row>
    <row r="5710" spans="14:50" x14ac:dyDescent="0.25">
      <c r="N5710" s="3"/>
      <c r="AW5710" s="7"/>
      <c r="AX5710" s="7"/>
    </row>
    <row r="5711" spans="14:50" x14ac:dyDescent="0.25">
      <c r="N5711" s="3"/>
      <c r="AW5711" s="7"/>
      <c r="AX5711" s="7"/>
    </row>
    <row r="5712" spans="14:50" x14ac:dyDescent="0.25">
      <c r="N5712" s="3"/>
      <c r="AW5712" s="7"/>
      <c r="AX5712" s="7"/>
    </row>
    <row r="5713" spans="14:50" x14ac:dyDescent="0.25">
      <c r="N5713" s="3"/>
      <c r="AW5713" s="7"/>
      <c r="AX5713" s="7"/>
    </row>
    <row r="5714" spans="14:50" x14ac:dyDescent="0.25">
      <c r="N5714" s="3"/>
      <c r="AW5714" s="7"/>
      <c r="AX5714" s="7"/>
    </row>
    <row r="5715" spans="14:50" x14ac:dyDescent="0.25">
      <c r="N5715" s="3"/>
      <c r="AW5715" s="7"/>
      <c r="AX5715" s="7"/>
    </row>
    <row r="5716" spans="14:50" x14ac:dyDescent="0.25">
      <c r="N5716" s="3"/>
      <c r="AW5716" s="7"/>
      <c r="AX5716" s="7"/>
    </row>
    <row r="5717" spans="14:50" x14ac:dyDescent="0.25">
      <c r="N5717" s="3"/>
      <c r="AW5717" s="7"/>
      <c r="AX5717" s="7"/>
    </row>
    <row r="5718" spans="14:50" x14ac:dyDescent="0.25">
      <c r="N5718" s="3"/>
      <c r="AW5718" s="7"/>
      <c r="AX5718" s="7"/>
    </row>
    <row r="5719" spans="14:50" x14ac:dyDescent="0.25">
      <c r="N5719" s="3"/>
      <c r="AW5719" s="7"/>
      <c r="AX5719" s="7"/>
    </row>
    <row r="5720" spans="14:50" x14ac:dyDescent="0.25">
      <c r="N5720" s="3"/>
      <c r="AW5720" s="7"/>
      <c r="AX5720" s="7"/>
    </row>
    <row r="5721" spans="14:50" x14ac:dyDescent="0.25">
      <c r="N5721" s="3"/>
      <c r="AW5721" s="7"/>
      <c r="AX5721" s="7"/>
    </row>
    <row r="5722" spans="14:50" x14ac:dyDescent="0.25">
      <c r="N5722" s="3"/>
      <c r="AW5722" s="7"/>
      <c r="AX5722" s="7"/>
    </row>
    <row r="5723" spans="14:50" x14ac:dyDescent="0.25">
      <c r="N5723" s="3"/>
      <c r="AW5723" s="7"/>
      <c r="AX5723" s="7"/>
    </row>
    <row r="5724" spans="14:50" x14ac:dyDescent="0.25">
      <c r="N5724" s="3"/>
      <c r="AW5724" s="7"/>
      <c r="AX5724" s="7"/>
    </row>
    <row r="5725" spans="14:50" x14ac:dyDescent="0.25">
      <c r="N5725" s="3"/>
      <c r="AW5725" s="7"/>
      <c r="AX5725" s="7"/>
    </row>
    <row r="5726" spans="14:50" x14ac:dyDescent="0.25">
      <c r="N5726" s="3"/>
      <c r="AW5726" s="7"/>
      <c r="AX5726" s="7"/>
    </row>
    <row r="5727" spans="14:50" x14ac:dyDescent="0.25">
      <c r="N5727" s="3"/>
      <c r="AW5727" s="7"/>
      <c r="AX5727" s="7"/>
    </row>
    <row r="5728" spans="14:50" x14ac:dyDescent="0.25">
      <c r="N5728" s="3"/>
      <c r="AW5728" s="7"/>
      <c r="AX5728" s="7"/>
    </row>
    <row r="5729" spans="14:50" x14ac:dyDescent="0.25">
      <c r="N5729" s="3"/>
      <c r="AW5729" s="7"/>
      <c r="AX5729" s="7"/>
    </row>
    <row r="5730" spans="14:50" x14ac:dyDescent="0.25">
      <c r="N5730" s="3"/>
      <c r="AW5730" s="7"/>
      <c r="AX5730" s="7"/>
    </row>
    <row r="5731" spans="14:50" x14ac:dyDescent="0.25">
      <c r="N5731" s="3"/>
      <c r="AW5731" s="7"/>
      <c r="AX5731" s="7"/>
    </row>
    <row r="5732" spans="14:50" x14ac:dyDescent="0.25">
      <c r="N5732" s="3"/>
      <c r="AW5732" s="7"/>
      <c r="AX5732" s="7"/>
    </row>
    <row r="5733" spans="14:50" x14ac:dyDescent="0.25">
      <c r="N5733" s="3"/>
      <c r="AW5733" s="7"/>
      <c r="AX5733" s="7"/>
    </row>
    <row r="5734" spans="14:50" x14ac:dyDescent="0.25">
      <c r="N5734" s="3"/>
      <c r="AW5734" s="7"/>
      <c r="AX5734" s="7"/>
    </row>
    <row r="5735" spans="14:50" x14ac:dyDescent="0.25">
      <c r="N5735" s="3"/>
      <c r="AW5735" s="7"/>
      <c r="AX5735" s="7"/>
    </row>
    <row r="5736" spans="14:50" x14ac:dyDescent="0.25">
      <c r="N5736" s="3"/>
      <c r="AW5736" s="7"/>
      <c r="AX5736" s="7"/>
    </row>
    <row r="5737" spans="14:50" x14ac:dyDescent="0.25">
      <c r="N5737" s="3"/>
      <c r="AW5737" s="7"/>
      <c r="AX5737" s="7"/>
    </row>
    <row r="5738" spans="14:50" x14ac:dyDescent="0.25">
      <c r="N5738" s="3"/>
      <c r="AW5738" s="7"/>
      <c r="AX5738" s="7"/>
    </row>
    <row r="5739" spans="14:50" x14ac:dyDescent="0.25">
      <c r="N5739" s="3"/>
      <c r="AW5739" s="7"/>
      <c r="AX5739" s="7"/>
    </row>
    <row r="5740" spans="14:50" x14ac:dyDescent="0.25">
      <c r="N5740" s="3"/>
      <c r="AW5740" s="7"/>
      <c r="AX5740" s="7"/>
    </row>
    <row r="5741" spans="14:50" x14ac:dyDescent="0.25">
      <c r="N5741" s="3"/>
      <c r="AW5741" s="7"/>
      <c r="AX5741" s="7"/>
    </row>
    <row r="5742" spans="14:50" x14ac:dyDescent="0.25">
      <c r="N5742" s="3"/>
      <c r="AW5742" s="7"/>
      <c r="AX5742" s="7"/>
    </row>
    <row r="5743" spans="14:50" x14ac:dyDescent="0.25">
      <c r="N5743" s="3"/>
      <c r="AW5743" s="7"/>
      <c r="AX5743" s="7"/>
    </row>
    <row r="5744" spans="14:50" x14ac:dyDescent="0.25">
      <c r="N5744" s="3"/>
      <c r="AW5744" s="7"/>
      <c r="AX5744" s="7"/>
    </row>
    <row r="5745" spans="14:50" x14ac:dyDescent="0.25">
      <c r="N5745" s="3"/>
      <c r="AW5745" s="7"/>
      <c r="AX5745" s="7"/>
    </row>
    <row r="5746" spans="14:50" x14ac:dyDescent="0.25">
      <c r="N5746" s="3"/>
      <c r="AW5746" s="7"/>
      <c r="AX5746" s="7"/>
    </row>
    <row r="5747" spans="14:50" x14ac:dyDescent="0.25">
      <c r="N5747" s="3"/>
      <c r="AW5747" s="7"/>
      <c r="AX5747" s="7"/>
    </row>
    <row r="5748" spans="14:50" x14ac:dyDescent="0.25">
      <c r="N5748" s="3"/>
      <c r="AW5748" s="7"/>
      <c r="AX5748" s="7"/>
    </row>
    <row r="5749" spans="14:50" x14ac:dyDescent="0.25">
      <c r="N5749" s="3"/>
      <c r="AW5749" s="7"/>
      <c r="AX5749" s="7"/>
    </row>
    <row r="5750" spans="14:50" x14ac:dyDescent="0.25">
      <c r="N5750" s="3"/>
      <c r="AW5750" s="7"/>
      <c r="AX5750" s="7"/>
    </row>
    <row r="5751" spans="14:50" x14ac:dyDescent="0.25">
      <c r="N5751" s="3"/>
      <c r="AW5751" s="7"/>
      <c r="AX5751" s="7"/>
    </row>
    <row r="5752" spans="14:50" x14ac:dyDescent="0.25">
      <c r="N5752" s="3"/>
      <c r="AW5752" s="7"/>
      <c r="AX5752" s="7"/>
    </row>
    <row r="5753" spans="14:50" x14ac:dyDescent="0.25">
      <c r="N5753" s="3"/>
      <c r="AW5753" s="7"/>
      <c r="AX5753" s="7"/>
    </row>
    <row r="5754" spans="14:50" x14ac:dyDescent="0.25">
      <c r="N5754" s="3"/>
      <c r="AW5754" s="7"/>
      <c r="AX5754" s="7"/>
    </row>
    <row r="5755" spans="14:50" x14ac:dyDescent="0.25">
      <c r="N5755" s="3"/>
      <c r="AW5755" s="7"/>
      <c r="AX5755" s="7"/>
    </row>
    <row r="5756" spans="14:50" x14ac:dyDescent="0.25">
      <c r="N5756" s="3"/>
      <c r="AW5756" s="7"/>
      <c r="AX5756" s="7"/>
    </row>
    <row r="5757" spans="14:50" x14ac:dyDescent="0.25">
      <c r="N5757" s="3"/>
      <c r="AW5757" s="7"/>
      <c r="AX5757" s="7"/>
    </row>
    <row r="5758" spans="14:50" x14ac:dyDescent="0.25">
      <c r="N5758" s="3"/>
      <c r="AW5758" s="7"/>
      <c r="AX5758" s="7"/>
    </row>
    <row r="5759" spans="14:50" x14ac:dyDescent="0.25">
      <c r="N5759" s="3"/>
      <c r="AW5759" s="7"/>
      <c r="AX5759" s="7"/>
    </row>
    <row r="5760" spans="14:50" x14ac:dyDescent="0.25">
      <c r="N5760" s="3"/>
      <c r="AW5760" s="7"/>
      <c r="AX5760" s="7"/>
    </row>
    <row r="5761" spans="14:50" x14ac:dyDescent="0.25">
      <c r="N5761" s="3"/>
      <c r="AW5761" s="7"/>
      <c r="AX5761" s="7"/>
    </row>
    <row r="5762" spans="14:50" x14ac:dyDescent="0.25">
      <c r="N5762" s="3"/>
      <c r="AW5762" s="7"/>
      <c r="AX5762" s="7"/>
    </row>
    <row r="5763" spans="14:50" x14ac:dyDescent="0.25">
      <c r="N5763" s="3"/>
      <c r="AW5763" s="7"/>
      <c r="AX5763" s="7"/>
    </row>
    <row r="5764" spans="14:50" x14ac:dyDescent="0.25">
      <c r="N5764" s="3"/>
      <c r="AW5764" s="7"/>
      <c r="AX5764" s="7"/>
    </row>
    <row r="5765" spans="14:50" x14ac:dyDescent="0.25">
      <c r="N5765" s="3"/>
      <c r="AW5765" s="7"/>
      <c r="AX5765" s="7"/>
    </row>
    <row r="5766" spans="14:50" x14ac:dyDescent="0.25">
      <c r="N5766" s="3"/>
      <c r="AW5766" s="7"/>
      <c r="AX5766" s="7"/>
    </row>
    <row r="5767" spans="14:50" x14ac:dyDescent="0.25">
      <c r="N5767" s="3"/>
      <c r="AW5767" s="7"/>
      <c r="AX5767" s="7"/>
    </row>
    <row r="5768" spans="14:50" x14ac:dyDescent="0.25">
      <c r="N5768" s="3"/>
      <c r="AW5768" s="7"/>
      <c r="AX5768" s="7"/>
    </row>
    <row r="5769" spans="14:50" x14ac:dyDescent="0.25">
      <c r="N5769" s="3"/>
      <c r="AW5769" s="7"/>
      <c r="AX5769" s="7"/>
    </row>
    <row r="5770" spans="14:50" x14ac:dyDescent="0.25">
      <c r="N5770" s="3"/>
      <c r="AW5770" s="7"/>
      <c r="AX5770" s="7"/>
    </row>
    <row r="5771" spans="14:50" x14ac:dyDescent="0.25">
      <c r="N5771" s="3"/>
      <c r="AW5771" s="7"/>
      <c r="AX5771" s="7"/>
    </row>
    <row r="5772" spans="14:50" x14ac:dyDescent="0.25">
      <c r="N5772" s="3"/>
      <c r="AW5772" s="7"/>
      <c r="AX5772" s="7"/>
    </row>
    <row r="5773" spans="14:50" x14ac:dyDescent="0.25">
      <c r="N5773" s="3"/>
      <c r="AW5773" s="7"/>
      <c r="AX5773" s="7"/>
    </row>
    <row r="5774" spans="14:50" x14ac:dyDescent="0.25">
      <c r="N5774" s="3"/>
      <c r="AW5774" s="7"/>
      <c r="AX5774" s="7"/>
    </row>
    <row r="5775" spans="14:50" x14ac:dyDescent="0.25">
      <c r="N5775" s="3"/>
      <c r="AW5775" s="7"/>
      <c r="AX5775" s="7"/>
    </row>
    <row r="5776" spans="14:50" x14ac:dyDescent="0.25">
      <c r="N5776" s="3"/>
      <c r="AW5776" s="7"/>
      <c r="AX5776" s="7"/>
    </row>
    <row r="5777" spans="14:50" x14ac:dyDescent="0.25">
      <c r="N5777" s="3"/>
      <c r="AW5777" s="7"/>
      <c r="AX5777" s="7"/>
    </row>
    <row r="5778" spans="14:50" x14ac:dyDescent="0.25">
      <c r="N5778" s="3"/>
      <c r="AW5778" s="7"/>
      <c r="AX5778" s="7"/>
    </row>
    <row r="5779" spans="14:50" x14ac:dyDescent="0.25">
      <c r="N5779" s="3"/>
      <c r="AW5779" s="7"/>
      <c r="AX5779" s="7"/>
    </row>
    <row r="5780" spans="14:50" x14ac:dyDescent="0.25">
      <c r="N5780" s="3"/>
      <c r="AW5780" s="7"/>
      <c r="AX5780" s="7"/>
    </row>
    <row r="5781" spans="14:50" x14ac:dyDescent="0.25">
      <c r="N5781" s="3"/>
      <c r="AW5781" s="7"/>
      <c r="AX5781" s="7"/>
    </row>
    <row r="5782" spans="14:50" x14ac:dyDescent="0.25">
      <c r="N5782" s="3"/>
      <c r="AW5782" s="7"/>
      <c r="AX5782" s="7"/>
    </row>
    <row r="5783" spans="14:50" x14ac:dyDescent="0.25">
      <c r="N5783" s="3"/>
      <c r="AW5783" s="7"/>
      <c r="AX5783" s="7"/>
    </row>
    <row r="5784" spans="14:50" x14ac:dyDescent="0.25">
      <c r="N5784" s="3"/>
      <c r="AW5784" s="7"/>
      <c r="AX5784" s="7"/>
    </row>
    <row r="5785" spans="14:50" x14ac:dyDescent="0.25">
      <c r="N5785" s="3"/>
      <c r="AW5785" s="7"/>
      <c r="AX5785" s="7"/>
    </row>
    <row r="5786" spans="14:50" x14ac:dyDescent="0.25">
      <c r="N5786" s="3"/>
      <c r="AW5786" s="7"/>
      <c r="AX5786" s="7"/>
    </row>
    <row r="5787" spans="14:50" x14ac:dyDescent="0.25">
      <c r="N5787" s="3"/>
      <c r="AW5787" s="7"/>
      <c r="AX5787" s="7"/>
    </row>
    <row r="5788" spans="14:50" x14ac:dyDescent="0.25">
      <c r="N5788" s="3"/>
      <c r="AW5788" s="7"/>
      <c r="AX5788" s="7"/>
    </row>
    <row r="5789" spans="14:50" x14ac:dyDescent="0.25">
      <c r="N5789" s="3"/>
      <c r="AW5789" s="7"/>
      <c r="AX5789" s="7"/>
    </row>
    <row r="5790" spans="14:50" x14ac:dyDescent="0.25">
      <c r="N5790" s="3"/>
      <c r="AW5790" s="7"/>
      <c r="AX5790" s="7"/>
    </row>
    <row r="5791" spans="14:50" x14ac:dyDescent="0.25">
      <c r="N5791" s="3"/>
      <c r="AW5791" s="7"/>
      <c r="AX5791" s="7"/>
    </row>
    <row r="5792" spans="14:50" x14ac:dyDescent="0.25">
      <c r="N5792" s="3"/>
      <c r="AW5792" s="7"/>
      <c r="AX5792" s="7"/>
    </row>
    <row r="5793" spans="14:50" x14ac:dyDescent="0.25">
      <c r="N5793" s="3"/>
      <c r="AW5793" s="7"/>
      <c r="AX5793" s="7"/>
    </row>
    <row r="5794" spans="14:50" x14ac:dyDescent="0.25">
      <c r="N5794" s="3"/>
      <c r="AW5794" s="7"/>
      <c r="AX5794" s="7"/>
    </row>
    <row r="5795" spans="14:50" x14ac:dyDescent="0.25">
      <c r="N5795" s="3"/>
      <c r="AW5795" s="7"/>
      <c r="AX5795" s="7"/>
    </row>
    <row r="5796" spans="14:50" x14ac:dyDescent="0.25">
      <c r="N5796" s="3"/>
      <c r="AW5796" s="7"/>
      <c r="AX5796" s="7"/>
    </row>
    <row r="5797" spans="14:50" x14ac:dyDescent="0.25">
      <c r="N5797" s="3"/>
      <c r="AW5797" s="7"/>
      <c r="AX5797" s="7"/>
    </row>
    <row r="5798" spans="14:50" x14ac:dyDescent="0.25">
      <c r="N5798" s="3"/>
      <c r="AW5798" s="7"/>
      <c r="AX5798" s="7"/>
    </row>
    <row r="5799" spans="14:50" x14ac:dyDescent="0.25">
      <c r="N5799" s="3"/>
      <c r="AW5799" s="7"/>
      <c r="AX5799" s="7"/>
    </row>
    <row r="5800" spans="14:50" x14ac:dyDescent="0.25">
      <c r="N5800" s="3"/>
      <c r="AW5800" s="7"/>
      <c r="AX5800" s="7"/>
    </row>
    <row r="5801" spans="14:50" x14ac:dyDescent="0.25">
      <c r="N5801" s="3"/>
      <c r="AW5801" s="7"/>
      <c r="AX5801" s="7"/>
    </row>
    <row r="5802" spans="14:50" x14ac:dyDescent="0.25">
      <c r="N5802" s="3"/>
      <c r="AW5802" s="7"/>
      <c r="AX5802" s="7"/>
    </row>
    <row r="5803" spans="14:50" x14ac:dyDescent="0.25">
      <c r="N5803" s="3"/>
      <c r="AW5803" s="7"/>
      <c r="AX5803" s="7"/>
    </row>
    <row r="5804" spans="14:50" x14ac:dyDescent="0.25">
      <c r="N5804" s="3"/>
      <c r="AW5804" s="7"/>
      <c r="AX5804" s="7"/>
    </row>
    <row r="5805" spans="14:50" x14ac:dyDescent="0.25">
      <c r="N5805" s="3"/>
      <c r="AW5805" s="7"/>
      <c r="AX5805" s="7"/>
    </row>
    <row r="5806" spans="14:50" x14ac:dyDescent="0.25">
      <c r="N5806" s="3"/>
      <c r="AW5806" s="7"/>
      <c r="AX5806" s="7"/>
    </row>
    <row r="5807" spans="14:50" x14ac:dyDescent="0.25">
      <c r="N5807" s="3"/>
      <c r="AW5807" s="7"/>
      <c r="AX5807" s="7"/>
    </row>
    <row r="5808" spans="14:50" x14ac:dyDescent="0.25">
      <c r="N5808" s="3"/>
      <c r="AW5808" s="7"/>
      <c r="AX5808" s="7"/>
    </row>
    <row r="5809" spans="14:50" x14ac:dyDescent="0.25">
      <c r="N5809" s="3"/>
      <c r="AW5809" s="7"/>
      <c r="AX5809" s="7"/>
    </row>
    <row r="5810" spans="14:50" x14ac:dyDescent="0.25">
      <c r="N5810" s="3"/>
      <c r="AW5810" s="7"/>
      <c r="AX5810" s="7"/>
    </row>
    <row r="5811" spans="14:50" x14ac:dyDescent="0.25">
      <c r="N5811" s="3"/>
      <c r="AW5811" s="7"/>
      <c r="AX5811" s="7"/>
    </row>
    <row r="5812" spans="14:50" x14ac:dyDescent="0.25">
      <c r="N5812" s="3"/>
      <c r="AW5812" s="7"/>
      <c r="AX5812" s="7"/>
    </row>
    <row r="5813" spans="14:50" x14ac:dyDescent="0.25">
      <c r="N5813" s="3"/>
      <c r="AW5813" s="7"/>
      <c r="AX5813" s="7"/>
    </row>
    <row r="5814" spans="14:50" x14ac:dyDescent="0.25">
      <c r="N5814" s="3"/>
      <c r="AW5814" s="7"/>
      <c r="AX5814" s="7"/>
    </row>
    <row r="5815" spans="14:50" x14ac:dyDescent="0.25">
      <c r="N5815" s="3"/>
      <c r="AW5815" s="7"/>
      <c r="AX5815" s="7"/>
    </row>
    <row r="5816" spans="14:50" x14ac:dyDescent="0.25">
      <c r="N5816" s="3"/>
      <c r="AW5816" s="7"/>
      <c r="AX5816" s="7"/>
    </row>
    <row r="5817" spans="14:50" x14ac:dyDescent="0.25">
      <c r="N5817" s="3"/>
      <c r="AW5817" s="7"/>
      <c r="AX5817" s="7"/>
    </row>
    <row r="5818" spans="14:50" x14ac:dyDescent="0.25">
      <c r="N5818" s="3"/>
      <c r="AW5818" s="7"/>
      <c r="AX5818" s="7"/>
    </row>
    <row r="5819" spans="14:50" x14ac:dyDescent="0.25">
      <c r="N5819" s="3"/>
      <c r="AW5819" s="7"/>
      <c r="AX5819" s="7"/>
    </row>
    <row r="5820" spans="14:50" x14ac:dyDescent="0.25">
      <c r="N5820" s="3"/>
      <c r="AW5820" s="7"/>
      <c r="AX5820" s="7"/>
    </row>
    <row r="5821" spans="14:50" x14ac:dyDescent="0.25">
      <c r="N5821" s="3"/>
      <c r="AW5821" s="7"/>
      <c r="AX5821" s="7"/>
    </row>
    <row r="5822" spans="14:50" x14ac:dyDescent="0.25">
      <c r="N5822" s="3"/>
      <c r="AW5822" s="7"/>
      <c r="AX5822" s="7"/>
    </row>
    <row r="5823" spans="14:50" x14ac:dyDescent="0.25">
      <c r="N5823" s="3"/>
      <c r="AW5823" s="7"/>
      <c r="AX5823" s="7"/>
    </row>
    <row r="5824" spans="14:50" x14ac:dyDescent="0.25">
      <c r="N5824" s="3"/>
      <c r="AW5824" s="7"/>
      <c r="AX5824" s="7"/>
    </row>
    <row r="5825" spans="14:50" x14ac:dyDescent="0.25">
      <c r="N5825" s="3"/>
      <c r="AW5825" s="7"/>
      <c r="AX5825" s="7"/>
    </row>
    <row r="5826" spans="14:50" x14ac:dyDescent="0.25">
      <c r="N5826" s="3"/>
      <c r="AW5826" s="7"/>
      <c r="AX5826" s="7"/>
    </row>
    <row r="5827" spans="14:50" x14ac:dyDescent="0.25">
      <c r="N5827" s="3"/>
      <c r="AW5827" s="7"/>
      <c r="AX5827" s="7"/>
    </row>
    <row r="5828" spans="14:50" x14ac:dyDescent="0.25">
      <c r="N5828" s="3"/>
      <c r="AW5828" s="7"/>
      <c r="AX5828" s="7"/>
    </row>
    <row r="5829" spans="14:50" x14ac:dyDescent="0.25">
      <c r="N5829" s="3"/>
      <c r="AW5829" s="7"/>
      <c r="AX5829" s="7"/>
    </row>
    <row r="5830" spans="14:50" x14ac:dyDescent="0.25">
      <c r="N5830" s="3"/>
      <c r="AW5830" s="7"/>
      <c r="AX5830" s="7"/>
    </row>
    <row r="5831" spans="14:50" x14ac:dyDescent="0.25">
      <c r="N5831" s="3"/>
      <c r="AW5831" s="7"/>
      <c r="AX5831" s="7"/>
    </row>
    <row r="5832" spans="14:50" x14ac:dyDescent="0.25">
      <c r="N5832" s="3"/>
      <c r="AW5832" s="7"/>
      <c r="AX5832" s="7"/>
    </row>
    <row r="5833" spans="14:50" x14ac:dyDescent="0.25">
      <c r="N5833" s="3"/>
      <c r="AW5833" s="7"/>
      <c r="AX5833" s="7"/>
    </row>
    <row r="5834" spans="14:50" x14ac:dyDescent="0.25">
      <c r="N5834" s="3"/>
      <c r="AW5834" s="7"/>
      <c r="AX5834" s="7"/>
    </row>
    <row r="5835" spans="14:50" x14ac:dyDescent="0.25">
      <c r="N5835" s="3"/>
      <c r="AW5835" s="7"/>
      <c r="AX5835" s="7"/>
    </row>
    <row r="5836" spans="14:50" x14ac:dyDescent="0.25">
      <c r="N5836" s="3"/>
      <c r="AW5836" s="7"/>
      <c r="AX5836" s="7"/>
    </row>
    <row r="5837" spans="14:50" x14ac:dyDescent="0.25">
      <c r="N5837" s="3"/>
      <c r="AW5837" s="7"/>
      <c r="AX5837" s="7"/>
    </row>
    <row r="5838" spans="14:50" x14ac:dyDescent="0.25">
      <c r="N5838" s="3"/>
      <c r="AW5838" s="7"/>
      <c r="AX5838" s="7"/>
    </row>
    <row r="5839" spans="14:50" x14ac:dyDescent="0.25">
      <c r="N5839" s="3"/>
      <c r="AW5839" s="7"/>
      <c r="AX5839" s="7"/>
    </row>
    <row r="5840" spans="14:50" x14ac:dyDescent="0.25">
      <c r="N5840" s="3"/>
      <c r="AW5840" s="7"/>
      <c r="AX5840" s="7"/>
    </row>
    <row r="5841" spans="14:50" x14ac:dyDescent="0.25">
      <c r="N5841" s="3"/>
      <c r="AW5841" s="7"/>
      <c r="AX5841" s="7"/>
    </row>
    <row r="5842" spans="14:50" x14ac:dyDescent="0.25">
      <c r="N5842" s="3"/>
      <c r="AW5842" s="7"/>
      <c r="AX5842" s="7"/>
    </row>
    <row r="5843" spans="14:50" x14ac:dyDescent="0.25">
      <c r="N5843" s="3"/>
      <c r="AW5843" s="7"/>
      <c r="AX5843" s="7"/>
    </row>
    <row r="5844" spans="14:50" x14ac:dyDescent="0.25">
      <c r="N5844" s="3"/>
      <c r="AW5844" s="7"/>
      <c r="AX5844" s="7"/>
    </row>
    <row r="5845" spans="14:50" x14ac:dyDescent="0.25">
      <c r="N5845" s="3"/>
      <c r="AW5845" s="7"/>
      <c r="AX5845" s="7"/>
    </row>
    <row r="5846" spans="14:50" x14ac:dyDescent="0.25">
      <c r="N5846" s="3"/>
      <c r="AW5846" s="7"/>
      <c r="AX5846" s="7"/>
    </row>
    <row r="5847" spans="14:50" x14ac:dyDescent="0.25">
      <c r="N5847" s="3"/>
      <c r="AW5847" s="7"/>
      <c r="AX5847" s="7"/>
    </row>
    <row r="5848" spans="14:50" x14ac:dyDescent="0.25">
      <c r="N5848" s="3"/>
      <c r="AW5848" s="7"/>
      <c r="AX5848" s="7"/>
    </row>
    <row r="5849" spans="14:50" x14ac:dyDescent="0.25">
      <c r="N5849" s="3"/>
      <c r="AW5849" s="7"/>
      <c r="AX5849" s="7"/>
    </row>
    <row r="5850" spans="14:50" x14ac:dyDescent="0.25">
      <c r="N5850" s="3"/>
      <c r="AW5850" s="7"/>
      <c r="AX5850" s="7"/>
    </row>
    <row r="5851" spans="14:50" x14ac:dyDescent="0.25">
      <c r="N5851" s="3"/>
      <c r="AW5851" s="7"/>
      <c r="AX5851" s="7"/>
    </row>
    <row r="5852" spans="14:50" x14ac:dyDescent="0.25">
      <c r="N5852" s="3"/>
      <c r="AW5852" s="7"/>
      <c r="AX5852" s="7"/>
    </row>
    <row r="5853" spans="14:50" x14ac:dyDescent="0.25">
      <c r="N5853" s="3"/>
      <c r="AW5853" s="7"/>
      <c r="AX5853" s="7"/>
    </row>
    <row r="5854" spans="14:50" x14ac:dyDescent="0.25">
      <c r="N5854" s="3"/>
      <c r="AW5854" s="7"/>
      <c r="AX5854" s="7"/>
    </row>
    <row r="5855" spans="14:50" x14ac:dyDescent="0.25">
      <c r="N5855" s="3"/>
      <c r="AW5855" s="7"/>
      <c r="AX5855" s="7"/>
    </row>
    <row r="5856" spans="14:50" x14ac:dyDescent="0.25">
      <c r="N5856" s="3"/>
      <c r="AW5856" s="7"/>
      <c r="AX5856" s="7"/>
    </row>
    <row r="5857" spans="14:50" x14ac:dyDescent="0.25">
      <c r="N5857" s="3"/>
      <c r="AW5857" s="7"/>
      <c r="AX5857" s="7"/>
    </row>
    <row r="5858" spans="14:50" x14ac:dyDescent="0.25">
      <c r="N5858" s="3"/>
      <c r="AW5858" s="7"/>
      <c r="AX5858" s="7"/>
    </row>
    <row r="5859" spans="14:50" x14ac:dyDescent="0.25">
      <c r="N5859" s="3"/>
      <c r="AW5859" s="7"/>
      <c r="AX5859" s="7"/>
    </row>
    <row r="5860" spans="14:50" x14ac:dyDescent="0.25">
      <c r="N5860" s="3"/>
      <c r="AW5860" s="7"/>
      <c r="AX5860" s="7"/>
    </row>
    <row r="5861" spans="14:50" x14ac:dyDescent="0.25">
      <c r="N5861" s="3"/>
      <c r="AW5861" s="7"/>
      <c r="AX5861" s="7"/>
    </row>
    <row r="5862" spans="14:50" x14ac:dyDescent="0.25">
      <c r="N5862" s="3"/>
      <c r="AW5862" s="7"/>
      <c r="AX5862" s="7"/>
    </row>
    <row r="5863" spans="14:50" x14ac:dyDescent="0.25">
      <c r="N5863" s="3"/>
      <c r="AW5863" s="7"/>
      <c r="AX5863" s="7"/>
    </row>
    <row r="5864" spans="14:50" x14ac:dyDescent="0.25">
      <c r="N5864" s="3"/>
      <c r="AW5864" s="7"/>
      <c r="AX5864" s="7"/>
    </row>
    <row r="5865" spans="14:50" x14ac:dyDescent="0.25">
      <c r="N5865" s="3"/>
      <c r="AW5865" s="7"/>
      <c r="AX5865" s="7"/>
    </row>
    <row r="5866" spans="14:50" x14ac:dyDescent="0.25">
      <c r="N5866" s="3"/>
      <c r="AW5866" s="7"/>
      <c r="AX5866" s="7"/>
    </row>
    <row r="5867" spans="14:50" x14ac:dyDescent="0.25">
      <c r="N5867" s="3"/>
      <c r="AW5867" s="7"/>
      <c r="AX5867" s="7"/>
    </row>
    <row r="5868" spans="14:50" x14ac:dyDescent="0.25">
      <c r="N5868" s="3"/>
      <c r="AW5868" s="7"/>
      <c r="AX5868" s="7"/>
    </row>
    <row r="5869" spans="14:50" x14ac:dyDescent="0.25">
      <c r="N5869" s="3"/>
      <c r="AW5869" s="7"/>
      <c r="AX5869" s="7"/>
    </row>
    <row r="5870" spans="14:50" x14ac:dyDescent="0.25">
      <c r="N5870" s="3"/>
      <c r="AW5870" s="7"/>
      <c r="AX5870" s="7"/>
    </row>
    <row r="5871" spans="14:50" x14ac:dyDescent="0.25">
      <c r="N5871" s="3"/>
      <c r="AW5871" s="7"/>
      <c r="AX5871" s="7"/>
    </row>
    <row r="5872" spans="14:50" x14ac:dyDescent="0.25">
      <c r="N5872" s="3"/>
      <c r="AW5872" s="7"/>
      <c r="AX5872" s="7"/>
    </row>
    <row r="5873" spans="14:50" x14ac:dyDescent="0.25">
      <c r="N5873" s="3"/>
      <c r="AW5873" s="7"/>
      <c r="AX5873" s="7"/>
    </row>
    <row r="5874" spans="14:50" x14ac:dyDescent="0.25">
      <c r="N5874" s="3"/>
      <c r="AW5874" s="7"/>
      <c r="AX5874" s="7"/>
    </row>
    <row r="5875" spans="14:50" x14ac:dyDescent="0.25">
      <c r="N5875" s="3"/>
      <c r="AW5875" s="7"/>
      <c r="AX5875" s="7"/>
    </row>
    <row r="5876" spans="14:50" x14ac:dyDescent="0.25">
      <c r="N5876" s="3"/>
      <c r="AW5876" s="7"/>
      <c r="AX5876" s="7"/>
    </row>
    <row r="5877" spans="14:50" x14ac:dyDescent="0.25">
      <c r="N5877" s="3"/>
      <c r="AW5877" s="7"/>
      <c r="AX5877" s="7"/>
    </row>
    <row r="5878" spans="14:50" x14ac:dyDescent="0.25">
      <c r="N5878" s="3"/>
      <c r="AW5878" s="7"/>
      <c r="AX5878" s="7"/>
    </row>
    <row r="5879" spans="14:50" x14ac:dyDescent="0.25">
      <c r="N5879" s="3"/>
      <c r="AW5879" s="7"/>
      <c r="AX5879" s="7"/>
    </row>
    <row r="5880" spans="14:50" x14ac:dyDescent="0.25">
      <c r="N5880" s="3"/>
      <c r="AW5880" s="7"/>
      <c r="AX5880" s="7"/>
    </row>
    <row r="5881" spans="14:50" x14ac:dyDescent="0.25">
      <c r="N5881" s="3"/>
      <c r="AW5881" s="7"/>
      <c r="AX5881" s="7"/>
    </row>
    <row r="5882" spans="14:50" x14ac:dyDescent="0.25">
      <c r="N5882" s="3"/>
      <c r="AW5882" s="7"/>
      <c r="AX5882" s="7"/>
    </row>
    <row r="5883" spans="14:50" x14ac:dyDescent="0.25">
      <c r="N5883" s="3"/>
      <c r="AW5883" s="7"/>
      <c r="AX5883" s="7"/>
    </row>
    <row r="5884" spans="14:50" x14ac:dyDescent="0.25">
      <c r="N5884" s="3"/>
      <c r="AW5884" s="7"/>
      <c r="AX5884" s="7"/>
    </row>
    <row r="5885" spans="14:50" x14ac:dyDescent="0.25">
      <c r="N5885" s="3"/>
      <c r="AW5885" s="7"/>
      <c r="AX5885" s="7"/>
    </row>
    <row r="5886" spans="14:50" x14ac:dyDescent="0.25">
      <c r="N5886" s="3"/>
      <c r="AW5886" s="7"/>
      <c r="AX5886" s="7"/>
    </row>
    <row r="5887" spans="14:50" x14ac:dyDescent="0.25">
      <c r="N5887" s="3"/>
      <c r="AW5887" s="7"/>
      <c r="AX5887" s="7"/>
    </row>
    <row r="5888" spans="14:50" x14ac:dyDescent="0.25">
      <c r="N5888" s="3"/>
      <c r="AW5888" s="7"/>
      <c r="AX5888" s="7"/>
    </row>
    <row r="5889" spans="14:50" x14ac:dyDescent="0.25">
      <c r="N5889" s="3"/>
      <c r="AW5889" s="7"/>
      <c r="AX5889" s="7"/>
    </row>
    <row r="5890" spans="14:50" x14ac:dyDescent="0.25">
      <c r="N5890" s="3"/>
      <c r="AW5890" s="7"/>
      <c r="AX5890" s="7"/>
    </row>
    <row r="5891" spans="14:50" x14ac:dyDescent="0.25">
      <c r="N5891" s="3"/>
      <c r="AW5891" s="7"/>
      <c r="AX5891" s="7"/>
    </row>
    <row r="5892" spans="14:50" x14ac:dyDescent="0.25">
      <c r="N5892" s="3"/>
      <c r="AW5892" s="7"/>
      <c r="AX5892" s="7"/>
    </row>
    <row r="5893" spans="14:50" x14ac:dyDescent="0.25">
      <c r="N5893" s="3"/>
      <c r="AW5893" s="7"/>
      <c r="AX5893" s="7"/>
    </row>
    <row r="5894" spans="14:50" x14ac:dyDescent="0.25">
      <c r="N5894" s="3"/>
      <c r="AW5894" s="7"/>
      <c r="AX5894" s="7"/>
    </row>
    <row r="5895" spans="14:50" x14ac:dyDescent="0.25">
      <c r="N5895" s="3"/>
      <c r="AW5895" s="7"/>
      <c r="AX5895" s="7"/>
    </row>
    <row r="5896" spans="14:50" x14ac:dyDescent="0.25">
      <c r="N5896" s="3"/>
      <c r="AW5896" s="7"/>
      <c r="AX5896" s="7"/>
    </row>
    <row r="5897" spans="14:50" x14ac:dyDescent="0.25">
      <c r="N5897" s="3"/>
      <c r="AW5897" s="7"/>
      <c r="AX5897" s="7"/>
    </row>
    <row r="5898" spans="14:50" x14ac:dyDescent="0.25">
      <c r="N5898" s="3"/>
      <c r="AW5898" s="7"/>
      <c r="AX5898" s="7"/>
    </row>
    <row r="5899" spans="14:50" x14ac:dyDescent="0.25">
      <c r="N5899" s="3"/>
      <c r="AW5899" s="7"/>
      <c r="AX5899" s="7"/>
    </row>
    <row r="5900" spans="14:50" x14ac:dyDescent="0.25">
      <c r="N5900" s="3"/>
      <c r="AW5900" s="7"/>
      <c r="AX5900" s="7"/>
    </row>
    <row r="5901" spans="14:50" x14ac:dyDescent="0.25">
      <c r="N5901" s="3"/>
      <c r="AW5901" s="7"/>
      <c r="AX5901" s="7"/>
    </row>
    <row r="5902" spans="14:50" x14ac:dyDescent="0.25">
      <c r="N5902" s="3"/>
      <c r="AW5902" s="7"/>
      <c r="AX5902" s="7"/>
    </row>
    <row r="5903" spans="14:50" x14ac:dyDescent="0.25">
      <c r="N5903" s="3"/>
      <c r="AW5903" s="7"/>
      <c r="AX5903" s="7"/>
    </row>
    <row r="5904" spans="14:50" x14ac:dyDescent="0.25">
      <c r="N5904" s="3"/>
      <c r="AW5904" s="7"/>
      <c r="AX5904" s="7"/>
    </row>
    <row r="5905" spans="14:50" x14ac:dyDescent="0.25">
      <c r="N5905" s="3"/>
      <c r="AW5905" s="7"/>
      <c r="AX5905" s="7"/>
    </row>
    <row r="5906" spans="14:50" x14ac:dyDescent="0.25">
      <c r="N5906" s="3"/>
      <c r="AW5906" s="7"/>
      <c r="AX5906" s="7"/>
    </row>
    <row r="5907" spans="14:50" x14ac:dyDescent="0.25">
      <c r="N5907" s="3"/>
      <c r="AW5907" s="7"/>
      <c r="AX5907" s="7"/>
    </row>
    <row r="5908" spans="14:50" x14ac:dyDescent="0.25">
      <c r="N5908" s="3"/>
      <c r="AW5908" s="7"/>
      <c r="AX5908" s="7"/>
    </row>
    <row r="5909" spans="14:50" x14ac:dyDescent="0.25">
      <c r="N5909" s="3"/>
      <c r="AW5909" s="7"/>
      <c r="AX5909" s="7"/>
    </row>
    <row r="5910" spans="14:50" x14ac:dyDescent="0.25">
      <c r="N5910" s="3"/>
      <c r="AW5910" s="7"/>
      <c r="AX5910" s="7"/>
    </row>
    <row r="5911" spans="14:50" x14ac:dyDescent="0.25">
      <c r="N5911" s="3"/>
      <c r="AW5911" s="7"/>
      <c r="AX5911" s="7"/>
    </row>
    <row r="5912" spans="14:50" x14ac:dyDescent="0.25">
      <c r="N5912" s="3"/>
      <c r="AW5912" s="7"/>
      <c r="AX5912" s="7"/>
    </row>
    <row r="5913" spans="14:50" x14ac:dyDescent="0.25">
      <c r="N5913" s="3"/>
      <c r="AW5913" s="7"/>
      <c r="AX5913" s="7"/>
    </row>
    <row r="5914" spans="14:50" x14ac:dyDescent="0.25">
      <c r="N5914" s="3"/>
      <c r="AW5914" s="7"/>
      <c r="AX5914" s="7"/>
    </row>
    <row r="5915" spans="14:50" x14ac:dyDescent="0.25">
      <c r="N5915" s="3"/>
      <c r="AW5915" s="7"/>
      <c r="AX5915" s="7"/>
    </row>
    <row r="5916" spans="14:50" x14ac:dyDescent="0.25">
      <c r="N5916" s="3"/>
      <c r="AW5916" s="7"/>
      <c r="AX5916" s="7"/>
    </row>
    <row r="5917" spans="14:50" x14ac:dyDescent="0.25">
      <c r="N5917" s="3"/>
      <c r="AW5917" s="7"/>
      <c r="AX5917" s="7"/>
    </row>
    <row r="5918" spans="14:50" x14ac:dyDescent="0.25">
      <c r="N5918" s="3"/>
      <c r="AW5918" s="7"/>
      <c r="AX5918" s="7"/>
    </row>
    <row r="5919" spans="14:50" x14ac:dyDescent="0.25">
      <c r="N5919" s="3"/>
      <c r="AW5919" s="7"/>
      <c r="AX5919" s="7"/>
    </row>
    <row r="5920" spans="14:50" x14ac:dyDescent="0.25">
      <c r="N5920" s="3"/>
      <c r="AW5920" s="7"/>
      <c r="AX5920" s="7"/>
    </row>
    <row r="5921" spans="14:50" x14ac:dyDescent="0.25">
      <c r="N5921" s="3"/>
      <c r="AW5921" s="7"/>
      <c r="AX5921" s="7"/>
    </row>
    <row r="5922" spans="14:50" x14ac:dyDescent="0.25">
      <c r="N5922" s="3"/>
      <c r="AW5922" s="7"/>
      <c r="AX5922" s="7"/>
    </row>
    <row r="5923" spans="14:50" x14ac:dyDescent="0.25">
      <c r="N5923" s="3"/>
      <c r="AW5923" s="7"/>
      <c r="AX5923" s="7"/>
    </row>
    <row r="5924" spans="14:50" x14ac:dyDescent="0.25">
      <c r="N5924" s="3"/>
      <c r="AW5924" s="7"/>
      <c r="AX5924" s="7"/>
    </row>
    <row r="5925" spans="14:50" x14ac:dyDescent="0.25">
      <c r="N5925" s="3"/>
      <c r="AW5925" s="7"/>
      <c r="AX5925" s="7"/>
    </row>
    <row r="5926" spans="14:50" x14ac:dyDescent="0.25">
      <c r="N5926" s="3"/>
      <c r="AW5926" s="7"/>
      <c r="AX5926" s="7"/>
    </row>
    <row r="5927" spans="14:50" x14ac:dyDescent="0.25">
      <c r="N5927" s="3"/>
      <c r="AW5927" s="7"/>
      <c r="AX5927" s="7"/>
    </row>
    <row r="5928" spans="14:50" x14ac:dyDescent="0.25">
      <c r="N5928" s="3"/>
      <c r="AW5928" s="7"/>
      <c r="AX5928" s="7"/>
    </row>
    <row r="5929" spans="14:50" x14ac:dyDescent="0.25">
      <c r="N5929" s="3"/>
      <c r="AW5929" s="7"/>
      <c r="AX5929" s="7"/>
    </row>
    <row r="5930" spans="14:50" x14ac:dyDescent="0.25">
      <c r="N5930" s="3"/>
      <c r="AW5930" s="7"/>
      <c r="AX5930" s="7"/>
    </row>
    <row r="5931" spans="14:50" x14ac:dyDescent="0.25">
      <c r="N5931" s="3"/>
      <c r="AW5931" s="7"/>
      <c r="AX5931" s="7"/>
    </row>
    <row r="5932" spans="14:50" x14ac:dyDescent="0.25">
      <c r="N5932" s="3"/>
      <c r="AW5932" s="7"/>
      <c r="AX5932" s="7"/>
    </row>
    <row r="5933" spans="14:50" x14ac:dyDescent="0.25">
      <c r="N5933" s="3"/>
      <c r="AW5933" s="7"/>
      <c r="AX5933" s="7"/>
    </row>
    <row r="5934" spans="14:50" x14ac:dyDescent="0.25">
      <c r="N5934" s="3"/>
      <c r="AW5934" s="7"/>
      <c r="AX5934" s="7"/>
    </row>
    <row r="5935" spans="14:50" x14ac:dyDescent="0.25">
      <c r="N5935" s="3"/>
      <c r="AW5935" s="7"/>
      <c r="AX5935" s="7"/>
    </row>
    <row r="5936" spans="14:50" x14ac:dyDescent="0.25">
      <c r="N5936" s="3"/>
      <c r="AW5936" s="7"/>
      <c r="AX5936" s="7"/>
    </row>
    <row r="5937" spans="14:50" x14ac:dyDescent="0.25">
      <c r="N5937" s="3"/>
      <c r="AW5937" s="7"/>
      <c r="AX5937" s="7"/>
    </row>
    <row r="5938" spans="14:50" x14ac:dyDescent="0.25">
      <c r="N5938" s="3"/>
      <c r="AW5938" s="7"/>
      <c r="AX5938" s="7"/>
    </row>
    <row r="5939" spans="14:50" x14ac:dyDescent="0.25">
      <c r="N5939" s="3"/>
      <c r="AW5939" s="7"/>
      <c r="AX5939" s="7"/>
    </row>
    <row r="5940" spans="14:50" x14ac:dyDescent="0.25">
      <c r="N5940" s="3"/>
      <c r="AW5940" s="7"/>
      <c r="AX5940" s="7"/>
    </row>
    <row r="5941" spans="14:50" x14ac:dyDescent="0.25">
      <c r="N5941" s="3"/>
      <c r="AW5941" s="7"/>
      <c r="AX5941" s="7"/>
    </row>
    <row r="5942" spans="14:50" x14ac:dyDescent="0.25">
      <c r="N5942" s="3"/>
      <c r="AW5942" s="7"/>
      <c r="AX5942" s="7"/>
    </row>
    <row r="5943" spans="14:50" x14ac:dyDescent="0.25">
      <c r="N5943" s="3"/>
      <c r="AW5943" s="7"/>
      <c r="AX5943" s="7"/>
    </row>
    <row r="5944" spans="14:50" x14ac:dyDescent="0.25">
      <c r="N5944" s="3"/>
      <c r="AW5944" s="7"/>
      <c r="AX5944" s="7"/>
    </row>
    <row r="5945" spans="14:50" x14ac:dyDescent="0.25">
      <c r="N5945" s="3"/>
      <c r="AW5945" s="7"/>
      <c r="AX5945" s="7"/>
    </row>
    <row r="5946" spans="14:50" x14ac:dyDescent="0.25">
      <c r="N5946" s="3"/>
      <c r="AW5946" s="7"/>
      <c r="AX5946" s="7"/>
    </row>
    <row r="5947" spans="14:50" x14ac:dyDescent="0.25">
      <c r="N5947" s="3"/>
      <c r="AW5947" s="7"/>
      <c r="AX5947" s="7"/>
    </row>
    <row r="5948" spans="14:50" x14ac:dyDescent="0.25">
      <c r="N5948" s="3"/>
      <c r="AW5948" s="7"/>
      <c r="AX5948" s="7"/>
    </row>
    <row r="5949" spans="14:50" x14ac:dyDescent="0.25">
      <c r="N5949" s="3"/>
      <c r="AW5949" s="7"/>
      <c r="AX5949" s="7"/>
    </row>
    <row r="5950" spans="14:50" x14ac:dyDescent="0.25">
      <c r="N5950" s="3"/>
      <c r="AW5950" s="7"/>
      <c r="AX5950" s="7"/>
    </row>
    <row r="5951" spans="14:50" x14ac:dyDescent="0.25">
      <c r="N5951" s="3"/>
      <c r="AW5951" s="7"/>
      <c r="AX5951" s="7"/>
    </row>
    <row r="5952" spans="14:50" x14ac:dyDescent="0.25">
      <c r="N5952" s="3"/>
      <c r="AW5952" s="7"/>
      <c r="AX5952" s="7"/>
    </row>
    <row r="5953" spans="14:50" x14ac:dyDescent="0.25">
      <c r="N5953" s="3"/>
      <c r="AW5953" s="7"/>
      <c r="AX5953" s="7"/>
    </row>
    <row r="5954" spans="14:50" x14ac:dyDescent="0.25">
      <c r="N5954" s="3"/>
      <c r="AW5954" s="7"/>
      <c r="AX5954" s="7"/>
    </row>
    <row r="5955" spans="14:50" x14ac:dyDescent="0.25">
      <c r="N5955" s="3"/>
      <c r="AW5955" s="7"/>
      <c r="AX5955" s="7"/>
    </row>
    <row r="5956" spans="14:50" x14ac:dyDescent="0.25">
      <c r="N5956" s="3"/>
      <c r="AW5956" s="7"/>
      <c r="AX5956" s="7"/>
    </row>
    <row r="5957" spans="14:50" x14ac:dyDescent="0.25">
      <c r="N5957" s="3"/>
      <c r="AW5957" s="7"/>
      <c r="AX5957" s="7"/>
    </row>
    <row r="5958" spans="14:50" x14ac:dyDescent="0.25">
      <c r="N5958" s="3"/>
      <c r="AW5958" s="7"/>
      <c r="AX5958" s="7"/>
    </row>
    <row r="5959" spans="14:50" x14ac:dyDescent="0.25">
      <c r="N5959" s="3"/>
      <c r="AW5959" s="7"/>
      <c r="AX5959" s="7"/>
    </row>
    <row r="5960" spans="14:50" x14ac:dyDescent="0.25">
      <c r="N5960" s="3"/>
      <c r="AW5960" s="7"/>
      <c r="AX5960" s="7"/>
    </row>
    <row r="5961" spans="14:50" x14ac:dyDescent="0.25">
      <c r="N5961" s="3"/>
      <c r="AW5961" s="7"/>
      <c r="AX5961" s="7"/>
    </row>
    <row r="5962" spans="14:50" x14ac:dyDescent="0.25">
      <c r="N5962" s="3"/>
      <c r="AW5962" s="7"/>
      <c r="AX5962" s="7"/>
    </row>
    <row r="5963" spans="14:50" x14ac:dyDescent="0.25">
      <c r="N5963" s="3"/>
      <c r="AW5963" s="7"/>
      <c r="AX5963" s="7"/>
    </row>
    <row r="5964" spans="14:50" x14ac:dyDescent="0.25">
      <c r="N5964" s="3"/>
      <c r="AW5964" s="7"/>
      <c r="AX5964" s="7"/>
    </row>
    <row r="5965" spans="14:50" x14ac:dyDescent="0.25">
      <c r="N5965" s="3"/>
      <c r="AW5965" s="7"/>
      <c r="AX5965" s="7"/>
    </row>
    <row r="5966" spans="14:50" x14ac:dyDescent="0.25">
      <c r="N5966" s="3"/>
      <c r="AW5966" s="7"/>
      <c r="AX5966" s="7"/>
    </row>
    <row r="5967" spans="14:50" x14ac:dyDescent="0.25">
      <c r="N5967" s="3"/>
      <c r="AW5967" s="7"/>
      <c r="AX5967" s="7"/>
    </row>
    <row r="5968" spans="14:50" x14ac:dyDescent="0.25">
      <c r="N5968" s="3"/>
      <c r="AW5968" s="7"/>
      <c r="AX5968" s="7"/>
    </row>
    <row r="5969" spans="14:50" x14ac:dyDescent="0.25">
      <c r="N5969" s="3"/>
      <c r="AW5969" s="7"/>
      <c r="AX5969" s="7"/>
    </row>
    <row r="5970" spans="14:50" x14ac:dyDescent="0.25">
      <c r="N5970" s="3"/>
      <c r="AW5970" s="7"/>
      <c r="AX5970" s="7"/>
    </row>
    <row r="5971" spans="14:50" x14ac:dyDescent="0.25">
      <c r="N5971" s="3"/>
      <c r="AW5971" s="7"/>
      <c r="AX5971" s="7"/>
    </row>
    <row r="5972" spans="14:50" x14ac:dyDescent="0.25">
      <c r="N5972" s="3"/>
      <c r="AW5972" s="7"/>
      <c r="AX5972" s="7"/>
    </row>
    <row r="5973" spans="14:50" x14ac:dyDescent="0.25">
      <c r="N5973" s="3"/>
      <c r="AW5973" s="7"/>
      <c r="AX5973" s="7"/>
    </row>
    <row r="5974" spans="14:50" x14ac:dyDescent="0.25">
      <c r="N5974" s="3"/>
      <c r="AW5974" s="7"/>
      <c r="AX5974" s="7"/>
    </row>
    <row r="5975" spans="14:50" x14ac:dyDescent="0.25">
      <c r="N5975" s="3"/>
      <c r="AW5975" s="7"/>
      <c r="AX5975" s="7"/>
    </row>
    <row r="5976" spans="14:50" x14ac:dyDescent="0.25">
      <c r="N5976" s="3"/>
      <c r="AW5976" s="7"/>
      <c r="AX5976" s="7"/>
    </row>
    <row r="5977" spans="14:50" x14ac:dyDescent="0.25">
      <c r="N5977" s="3"/>
      <c r="AW5977" s="7"/>
      <c r="AX5977" s="7"/>
    </row>
    <row r="5978" spans="14:50" x14ac:dyDescent="0.25">
      <c r="N5978" s="3"/>
      <c r="AW5978" s="7"/>
      <c r="AX5978" s="7"/>
    </row>
    <row r="5979" spans="14:50" x14ac:dyDescent="0.25">
      <c r="N5979" s="3"/>
      <c r="AW5979" s="7"/>
      <c r="AX5979" s="7"/>
    </row>
    <row r="5980" spans="14:50" x14ac:dyDescent="0.25">
      <c r="N5980" s="3"/>
      <c r="AW5980" s="7"/>
      <c r="AX5980" s="7"/>
    </row>
    <row r="5981" spans="14:50" x14ac:dyDescent="0.25">
      <c r="N5981" s="3"/>
      <c r="AW5981" s="7"/>
      <c r="AX5981" s="7"/>
    </row>
    <row r="5982" spans="14:50" x14ac:dyDescent="0.25">
      <c r="N5982" s="3"/>
      <c r="AW5982" s="7"/>
      <c r="AX5982" s="7"/>
    </row>
    <row r="5983" spans="14:50" x14ac:dyDescent="0.25">
      <c r="N5983" s="3"/>
      <c r="AW5983" s="7"/>
      <c r="AX5983" s="7"/>
    </row>
    <row r="5984" spans="14:50" x14ac:dyDescent="0.25">
      <c r="N5984" s="3"/>
      <c r="AW5984" s="7"/>
      <c r="AX5984" s="7"/>
    </row>
    <row r="5985" spans="14:50" x14ac:dyDescent="0.25">
      <c r="N5985" s="3"/>
      <c r="AW5985" s="7"/>
      <c r="AX5985" s="7"/>
    </row>
    <row r="5986" spans="14:50" x14ac:dyDescent="0.25">
      <c r="N5986" s="3"/>
      <c r="AW5986" s="7"/>
      <c r="AX5986" s="7"/>
    </row>
    <row r="5987" spans="14:50" x14ac:dyDescent="0.25">
      <c r="N5987" s="3"/>
      <c r="AW5987" s="7"/>
      <c r="AX5987" s="7"/>
    </row>
    <row r="5988" spans="14:50" x14ac:dyDescent="0.25">
      <c r="N5988" s="3"/>
      <c r="AW5988" s="7"/>
      <c r="AX5988" s="7"/>
    </row>
    <row r="5989" spans="14:50" x14ac:dyDescent="0.25">
      <c r="N5989" s="3"/>
      <c r="AW5989" s="7"/>
      <c r="AX5989" s="7"/>
    </row>
    <row r="5990" spans="14:50" x14ac:dyDescent="0.25">
      <c r="N5990" s="3"/>
      <c r="AW5990" s="7"/>
      <c r="AX5990" s="7"/>
    </row>
    <row r="5991" spans="14:50" x14ac:dyDescent="0.25">
      <c r="N5991" s="3"/>
      <c r="AW5991" s="7"/>
      <c r="AX5991" s="7"/>
    </row>
    <row r="5992" spans="14:50" x14ac:dyDescent="0.25">
      <c r="N5992" s="3"/>
      <c r="AW5992" s="7"/>
      <c r="AX5992" s="7"/>
    </row>
    <row r="5993" spans="14:50" x14ac:dyDescent="0.25">
      <c r="N5993" s="3"/>
      <c r="AW5993" s="7"/>
      <c r="AX5993" s="7"/>
    </row>
    <row r="5994" spans="14:50" x14ac:dyDescent="0.25">
      <c r="N5994" s="3"/>
      <c r="AW5994" s="7"/>
      <c r="AX5994" s="7"/>
    </row>
    <row r="5995" spans="14:50" x14ac:dyDescent="0.25">
      <c r="N5995" s="3"/>
      <c r="AW5995" s="7"/>
      <c r="AX5995" s="7"/>
    </row>
    <row r="5996" spans="14:50" x14ac:dyDescent="0.25">
      <c r="N5996" s="3"/>
      <c r="AW5996" s="7"/>
      <c r="AX5996" s="7"/>
    </row>
    <row r="5997" spans="14:50" x14ac:dyDescent="0.25">
      <c r="N5997" s="3"/>
      <c r="AW5997" s="7"/>
      <c r="AX5997" s="7"/>
    </row>
    <row r="5998" spans="14:50" x14ac:dyDescent="0.25">
      <c r="N5998" s="3"/>
      <c r="AW5998" s="7"/>
      <c r="AX5998" s="7"/>
    </row>
    <row r="5999" spans="14:50" x14ac:dyDescent="0.25">
      <c r="N5999" s="3"/>
      <c r="AW5999" s="7"/>
      <c r="AX5999" s="7"/>
    </row>
    <row r="6000" spans="14:50" x14ac:dyDescent="0.25">
      <c r="N6000" s="3"/>
      <c r="AW6000" s="7"/>
      <c r="AX6000" s="7"/>
    </row>
    <row r="6001" spans="14:50" x14ac:dyDescent="0.25">
      <c r="N6001" s="3"/>
      <c r="AW6001" s="7"/>
      <c r="AX6001" s="7"/>
    </row>
    <row r="6002" spans="14:50" x14ac:dyDescent="0.25">
      <c r="N6002" s="3"/>
      <c r="AW6002" s="7"/>
      <c r="AX6002" s="7"/>
    </row>
    <row r="6003" spans="14:50" x14ac:dyDescent="0.25">
      <c r="N6003" s="3"/>
      <c r="AW6003" s="7"/>
      <c r="AX6003" s="7"/>
    </row>
    <row r="6004" spans="14:50" x14ac:dyDescent="0.25">
      <c r="N6004" s="3"/>
      <c r="AW6004" s="7"/>
      <c r="AX6004" s="7"/>
    </row>
    <row r="6005" spans="14:50" x14ac:dyDescent="0.25">
      <c r="N6005" s="3"/>
      <c r="AW6005" s="7"/>
      <c r="AX6005" s="7"/>
    </row>
    <row r="6006" spans="14:50" x14ac:dyDescent="0.25">
      <c r="N6006" s="3"/>
      <c r="AW6006" s="7"/>
      <c r="AX6006" s="7"/>
    </row>
    <row r="6007" spans="14:50" x14ac:dyDescent="0.25">
      <c r="N6007" s="3"/>
      <c r="AW6007" s="7"/>
      <c r="AX6007" s="7"/>
    </row>
    <row r="6008" spans="14:50" x14ac:dyDescent="0.25">
      <c r="N6008" s="3"/>
      <c r="AW6008" s="7"/>
      <c r="AX6008" s="7"/>
    </row>
    <row r="6009" spans="14:50" x14ac:dyDescent="0.25">
      <c r="N6009" s="3"/>
      <c r="AW6009" s="7"/>
      <c r="AX6009" s="7"/>
    </row>
    <row r="6010" spans="14:50" x14ac:dyDescent="0.25">
      <c r="N6010" s="3"/>
      <c r="AW6010" s="7"/>
      <c r="AX6010" s="7"/>
    </row>
    <row r="6011" spans="14:50" x14ac:dyDescent="0.25">
      <c r="N6011" s="3"/>
      <c r="AW6011" s="7"/>
      <c r="AX6011" s="7"/>
    </row>
    <row r="6012" spans="14:50" x14ac:dyDescent="0.25">
      <c r="N6012" s="3"/>
      <c r="AW6012" s="7"/>
      <c r="AX6012" s="7"/>
    </row>
    <row r="6013" spans="14:50" x14ac:dyDescent="0.25">
      <c r="N6013" s="3"/>
      <c r="AW6013" s="7"/>
      <c r="AX6013" s="7"/>
    </row>
    <row r="6014" spans="14:50" x14ac:dyDescent="0.25">
      <c r="N6014" s="3"/>
      <c r="AW6014" s="7"/>
      <c r="AX6014" s="7"/>
    </row>
    <row r="6015" spans="14:50" x14ac:dyDescent="0.25">
      <c r="N6015" s="3"/>
      <c r="AW6015" s="7"/>
      <c r="AX6015" s="7"/>
    </row>
    <row r="6016" spans="14:50" x14ac:dyDescent="0.25">
      <c r="N6016" s="3"/>
      <c r="AW6016" s="7"/>
      <c r="AX6016" s="7"/>
    </row>
    <row r="6017" spans="14:50" x14ac:dyDescent="0.25">
      <c r="N6017" s="3"/>
      <c r="AW6017" s="7"/>
      <c r="AX6017" s="7"/>
    </row>
    <row r="6018" spans="14:50" x14ac:dyDescent="0.25">
      <c r="N6018" s="3"/>
      <c r="AW6018" s="7"/>
      <c r="AX6018" s="7"/>
    </row>
    <row r="6019" spans="14:50" x14ac:dyDescent="0.25">
      <c r="N6019" s="3"/>
      <c r="AW6019" s="7"/>
      <c r="AX6019" s="7"/>
    </row>
    <row r="6020" spans="14:50" x14ac:dyDescent="0.25">
      <c r="N6020" s="3"/>
      <c r="AW6020" s="7"/>
      <c r="AX6020" s="7"/>
    </row>
    <row r="6021" spans="14:50" x14ac:dyDescent="0.25">
      <c r="N6021" s="3"/>
      <c r="AW6021" s="7"/>
      <c r="AX6021" s="7"/>
    </row>
    <row r="6022" spans="14:50" x14ac:dyDescent="0.25">
      <c r="N6022" s="3"/>
      <c r="AW6022" s="7"/>
      <c r="AX6022" s="7"/>
    </row>
    <row r="6023" spans="14:50" x14ac:dyDescent="0.25">
      <c r="N6023" s="3"/>
      <c r="AW6023" s="7"/>
      <c r="AX6023" s="7"/>
    </row>
    <row r="6024" spans="14:50" x14ac:dyDescent="0.25">
      <c r="N6024" s="3"/>
      <c r="AW6024" s="7"/>
      <c r="AX6024" s="7"/>
    </row>
    <row r="6025" spans="14:50" x14ac:dyDescent="0.25">
      <c r="N6025" s="3"/>
      <c r="AW6025" s="7"/>
      <c r="AX6025" s="7"/>
    </row>
    <row r="6026" spans="14:50" x14ac:dyDescent="0.25">
      <c r="N6026" s="3"/>
      <c r="AW6026" s="7"/>
      <c r="AX6026" s="7"/>
    </row>
    <row r="6027" spans="14:50" x14ac:dyDescent="0.25">
      <c r="N6027" s="3"/>
      <c r="AW6027" s="7"/>
      <c r="AX6027" s="7"/>
    </row>
    <row r="6028" spans="14:50" x14ac:dyDescent="0.25">
      <c r="N6028" s="3"/>
      <c r="AW6028" s="7"/>
      <c r="AX6028" s="7"/>
    </row>
    <row r="6029" spans="14:50" x14ac:dyDescent="0.25">
      <c r="N6029" s="3"/>
      <c r="AW6029" s="7"/>
      <c r="AX6029" s="7"/>
    </row>
    <row r="6030" spans="14:50" x14ac:dyDescent="0.25">
      <c r="N6030" s="3"/>
      <c r="AW6030" s="7"/>
      <c r="AX6030" s="7"/>
    </row>
    <row r="6031" spans="14:50" x14ac:dyDescent="0.25">
      <c r="N6031" s="3"/>
      <c r="AW6031" s="7"/>
      <c r="AX6031" s="7"/>
    </row>
    <row r="6032" spans="14:50" x14ac:dyDescent="0.25">
      <c r="N6032" s="3"/>
      <c r="AW6032" s="7"/>
      <c r="AX6032" s="7"/>
    </row>
    <row r="6033" spans="14:50" x14ac:dyDescent="0.25">
      <c r="N6033" s="3"/>
      <c r="AW6033" s="7"/>
      <c r="AX6033" s="7"/>
    </row>
    <row r="6034" spans="14:50" x14ac:dyDescent="0.25">
      <c r="N6034" s="3"/>
      <c r="AW6034" s="7"/>
      <c r="AX6034" s="7"/>
    </row>
    <row r="6035" spans="14:50" x14ac:dyDescent="0.25">
      <c r="N6035" s="3"/>
      <c r="AW6035" s="7"/>
      <c r="AX6035" s="7"/>
    </row>
    <row r="6036" spans="14:50" x14ac:dyDescent="0.25">
      <c r="N6036" s="3"/>
      <c r="AW6036" s="7"/>
      <c r="AX6036" s="7"/>
    </row>
    <row r="6037" spans="14:50" x14ac:dyDescent="0.25">
      <c r="N6037" s="3"/>
      <c r="AW6037" s="7"/>
      <c r="AX6037" s="7"/>
    </row>
    <row r="6038" spans="14:50" x14ac:dyDescent="0.25">
      <c r="N6038" s="3"/>
      <c r="AW6038" s="7"/>
      <c r="AX6038" s="7"/>
    </row>
    <row r="6039" spans="14:50" x14ac:dyDescent="0.25">
      <c r="N6039" s="3"/>
      <c r="AW6039" s="7"/>
      <c r="AX6039" s="7"/>
    </row>
    <row r="6040" spans="14:50" x14ac:dyDescent="0.25">
      <c r="N6040" s="3"/>
      <c r="AW6040" s="7"/>
      <c r="AX6040" s="7"/>
    </row>
    <row r="6041" spans="14:50" x14ac:dyDescent="0.25">
      <c r="N6041" s="3"/>
      <c r="AW6041" s="7"/>
      <c r="AX6041" s="7"/>
    </row>
    <row r="6042" spans="14:50" x14ac:dyDescent="0.25">
      <c r="N6042" s="3"/>
      <c r="AW6042" s="7"/>
      <c r="AX6042" s="7"/>
    </row>
    <row r="6043" spans="14:50" x14ac:dyDescent="0.25">
      <c r="N6043" s="3"/>
      <c r="AW6043" s="7"/>
      <c r="AX6043" s="7"/>
    </row>
    <row r="6044" spans="14:50" x14ac:dyDescent="0.25">
      <c r="N6044" s="3"/>
      <c r="AW6044" s="7"/>
      <c r="AX6044" s="7"/>
    </row>
    <row r="6045" spans="14:50" x14ac:dyDescent="0.25">
      <c r="N6045" s="3"/>
      <c r="AW6045" s="7"/>
      <c r="AX6045" s="7"/>
    </row>
    <row r="6046" spans="14:50" x14ac:dyDescent="0.25">
      <c r="N6046" s="3"/>
      <c r="AW6046" s="7"/>
      <c r="AX6046" s="7"/>
    </row>
    <row r="6047" spans="14:50" x14ac:dyDescent="0.25">
      <c r="N6047" s="3"/>
      <c r="AW6047" s="7"/>
      <c r="AX6047" s="7"/>
    </row>
    <row r="6048" spans="14:50" x14ac:dyDescent="0.25">
      <c r="N6048" s="3"/>
      <c r="AW6048" s="7"/>
      <c r="AX6048" s="7"/>
    </row>
    <row r="6049" spans="14:50" x14ac:dyDescent="0.25">
      <c r="N6049" s="3"/>
      <c r="AW6049" s="7"/>
      <c r="AX6049" s="7"/>
    </row>
    <row r="6050" spans="14:50" x14ac:dyDescent="0.25">
      <c r="N6050" s="3"/>
      <c r="AW6050" s="7"/>
      <c r="AX6050" s="7"/>
    </row>
    <row r="6051" spans="14:50" x14ac:dyDescent="0.25">
      <c r="N6051" s="3"/>
      <c r="AW6051" s="7"/>
      <c r="AX6051" s="7"/>
    </row>
    <row r="6052" spans="14:50" x14ac:dyDescent="0.25">
      <c r="N6052" s="3"/>
      <c r="AW6052" s="7"/>
      <c r="AX6052" s="7"/>
    </row>
    <row r="6053" spans="14:50" x14ac:dyDescent="0.25">
      <c r="N6053" s="3"/>
      <c r="AW6053" s="7"/>
      <c r="AX6053" s="7"/>
    </row>
    <row r="6054" spans="14:50" x14ac:dyDescent="0.25">
      <c r="N6054" s="3"/>
      <c r="AW6054" s="7"/>
      <c r="AX6054" s="7"/>
    </row>
    <row r="6055" spans="14:50" x14ac:dyDescent="0.25">
      <c r="N6055" s="3"/>
      <c r="AW6055" s="7"/>
      <c r="AX6055" s="7"/>
    </row>
    <row r="6056" spans="14:50" x14ac:dyDescent="0.25">
      <c r="N6056" s="3"/>
      <c r="AW6056" s="7"/>
      <c r="AX6056" s="7"/>
    </row>
    <row r="6057" spans="14:50" x14ac:dyDescent="0.25">
      <c r="N6057" s="3"/>
      <c r="AW6057" s="7"/>
      <c r="AX6057" s="7"/>
    </row>
    <row r="6058" spans="14:50" x14ac:dyDescent="0.25">
      <c r="N6058" s="3"/>
      <c r="AW6058" s="7"/>
      <c r="AX6058" s="7"/>
    </row>
    <row r="6059" spans="14:50" x14ac:dyDescent="0.25">
      <c r="N6059" s="3"/>
      <c r="AW6059" s="7"/>
      <c r="AX6059" s="7"/>
    </row>
    <row r="6060" spans="14:50" x14ac:dyDescent="0.25">
      <c r="N6060" s="3"/>
      <c r="AW6060" s="7"/>
      <c r="AX6060" s="7"/>
    </row>
    <row r="6061" spans="14:50" x14ac:dyDescent="0.25">
      <c r="N6061" s="3"/>
      <c r="AW6061" s="7"/>
      <c r="AX6061" s="7"/>
    </row>
    <row r="6062" spans="14:50" x14ac:dyDescent="0.25">
      <c r="N6062" s="3"/>
      <c r="AW6062" s="7"/>
      <c r="AX6062" s="7"/>
    </row>
    <row r="6063" spans="14:50" x14ac:dyDescent="0.25">
      <c r="N6063" s="3"/>
      <c r="AW6063" s="7"/>
      <c r="AX6063" s="7"/>
    </row>
    <row r="6064" spans="14:50" x14ac:dyDescent="0.25">
      <c r="N6064" s="3"/>
      <c r="AW6064" s="7"/>
      <c r="AX6064" s="7"/>
    </row>
    <row r="6065" spans="14:50" x14ac:dyDescent="0.25">
      <c r="N6065" s="3"/>
      <c r="AW6065" s="7"/>
      <c r="AX6065" s="7"/>
    </row>
    <row r="6066" spans="14:50" x14ac:dyDescent="0.25">
      <c r="N6066" s="3"/>
      <c r="AW6066" s="7"/>
      <c r="AX6066" s="7"/>
    </row>
    <row r="6067" spans="14:50" x14ac:dyDescent="0.25">
      <c r="N6067" s="3"/>
      <c r="AW6067" s="7"/>
      <c r="AX6067" s="7"/>
    </row>
    <row r="6068" spans="14:50" x14ac:dyDescent="0.25">
      <c r="N6068" s="3"/>
      <c r="AW6068" s="7"/>
      <c r="AX6068" s="7"/>
    </row>
    <row r="6069" spans="14:50" x14ac:dyDescent="0.25">
      <c r="N6069" s="3"/>
      <c r="AW6069" s="7"/>
      <c r="AX6069" s="7"/>
    </row>
    <row r="6070" spans="14:50" x14ac:dyDescent="0.25">
      <c r="N6070" s="3"/>
      <c r="AW6070" s="7"/>
      <c r="AX6070" s="7"/>
    </row>
    <row r="6071" spans="14:50" x14ac:dyDescent="0.25">
      <c r="N6071" s="3"/>
      <c r="AW6071" s="7"/>
      <c r="AX6071" s="7"/>
    </row>
    <row r="6072" spans="14:50" x14ac:dyDescent="0.25">
      <c r="N6072" s="3"/>
      <c r="AW6072" s="7"/>
      <c r="AX6072" s="7"/>
    </row>
    <row r="6073" spans="14:50" x14ac:dyDescent="0.25">
      <c r="N6073" s="3"/>
      <c r="AW6073" s="7"/>
      <c r="AX6073" s="7"/>
    </row>
    <row r="6074" spans="14:50" x14ac:dyDescent="0.25">
      <c r="N6074" s="3"/>
      <c r="AW6074" s="7"/>
      <c r="AX6074" s="7"/>
    </row>
    <row r="6075" spans="14:50" x14ac:dyDescent="0.25">
      <c r="N6075" s="3"/>
      <c r="AW6075" s="7"/>
      <c r="AX6075" s="7"/>
    </row>
    <row r="6076" spans="14:50" x14ac:dyDescent="0.25">
      <c r="N6076" s="3"/>
      <c r="AW6076" s="7"/>
      <c r="AX6076" s="7"/>
    </row>
    <row r="6077" spans="14:50" x14ac:dyDescent="0.25">
      <c r="N6077" s="3"/>
      <c r="AW6077" s="7"/>
      <c r="AX6077" s="7"/>
    </row>
    <row r="6078" spans="14:50" x14ac:dyDescent="0.25">
      <c r="N6078" s="3"/>
      <c r="AW6078" s="7"/>
      <c r="AX6078" s="7"/>
    </row>
    <row r="6079" spans="14:50" x14ac:dyDescent="0.25">
      <c r="N6079" s="3"/>
      <c r="AW6079" s="7"/>
      <c r="AX6079" s="7"/>
    </row>
    <row r="6080" spans="14:50" x14ac:dyDescent="0.25">
      <c r="N6080" s="3"/>
      <c r="AW6080" s="7"/>
      <c r="AX6080" s="7"/>
    </row>
    <row r="6081" spans="14:50" x14ac:dyDescent="0.25">
      <c r="N6081" s="3"/>
      <c r="AW6081" s="7"/>
      <c r="AX6081" s="7"/>
    </row>
    <row r="6082" spans="14:50" x14ac:dyDescent="0.25">
      <c r="N6082" s="3"/>
      <c r="AW6082" s="7"/>
      <c r="AX6082" s="7"/>
    </row>
    <row r="6083" spans="14:50" x14ac:dyDescent="0.25">
      <c r="N6083" s="3"/>
      <c r="AW6083" s="7"/>
      <c r="AX6083" s="7"/>
    </row>
    <row r="6084" spans="14:50" x14ac:dyDescent="0.25">
      <c r="N6084" s="3"/>
      <c r="AW6084" s="7"/>
      <c r="AX6084" s="7"/>
    </row>
    <row r="6085" spans="14:50" x14ac:dyDescent="0.25">
      <c r="N6085" s="3"/>
      <c r="AW6085" s="7"/>
      <c r="AX6085" s="7"/>
    </row>
    <row r="6086" spans="14:50" x14ac:dyDescent="0.25">
      <c r="N6086" s="3"/>
      <c r="AW6086" s="7"/>
      <c r="AX6086" s="7"/>
    </row>
    <row r="6087" spans="14:50" x14ac:dyDescent="0.25">
      <c r="N6087" s="3"/>
      <c r="AW6087" s="7"/>
      <c r="AX6087" s="7"/>
    </row>
    <row r="6088" spans="14:50" x14ac:dyDescent="0.25">
      <c r="N6088" s="3"/>
      <c r="AW6088" s="7"/>
      <c r="AX6088" s="7"/>
    </row>
    <row r="6089" spans="14:50" x14ac:dyDescent="0.25">
      <c r="N6089" s="3"/>
      <c r="AW6089" s="7"/>
      <c r="AX6089" s="7"/>
    </row>
    <row r="6090" spans="14:50" x14ac:dyDescent="0.25">
      <c r="N6090" s="3"/>
      <c r="AW6090" s="7"/>
      <c r="AX6090" s="7"/>
    </row>
    <row r="6091" spans="14:50" x14ac:dyDescent="0.25">
      <c r="N6091" s="3"/>
      <c r="AW6091" s="7"/>
      <c r="AX6091" s="7"/>
    </row>
    <row r="6092" spans="14:50" x14ac:dyDescent="0.25">
      <c r="N6092" s="3"/>
      <c r="AW6092" s="7"/>
      <c r="AX6092" s="7"/>
    </row>
    <row r="6093" spans="14:50" x14ac:dyDescent="0.25">
      <c r="N6093" s="3"/>
      <c r="AW6093" s="7"/>
      <c r="AX6093" s="7"/>
    </row>
    <row r="6094" spans="14:50" x14ac:dyDescent="0.25">
      <c r="N6094" s="3"/>
      <c r="AW6094" s="7"/>
      <c r="AX6094" s="7"/>
    </row>
    <row r="6095" spans="14:50" x14ac:dyDescent="0.25">
      <c r="N6095" s="3"/>
      <c r="AW6095" s="7"/>
      <c r="AX6095" s="7"/>
    </row>
    <row r="6096" spans="14:50" x14ac:dyDescent="0.25">
      <c r="N6096" s="3"/>
      <c r="AW6096" s="7"/>
      <c r="AX6096" s="7"/>
    </row>
    <row r="6097" spans="14:50" x14ac:dyDescent="0.25">
      <c r="N6097" s="3"/>
      <c r="AW6097" s="7"/>
      <c r="AX6097" s="7"/>
    </row>
    <row r="6098" spans="14:50" x14ac:dyDescent="0.25">
      <c r="N6098" s="3"/>
      <c r="AW6098" s="7"/>
      <c r="AX6098" s="7"/>
    </row>
    <row r="6099" spans="14:50" x14ac:dyDescent="0.25">
      <c r="N6099" s="3"/>
      <c r="AW6099" s="7"/>
      <c r="AX6099" s="7"/>
    </row>
    <row r="6100" spans="14:50" x14ac:dyDescent="0.25">
      <c r="N6100" s="3"/>
      <c r="AW6100" s="7"/>
      <c r="AX6100" s="7"/>
    </row>
    <row r="6101" spans="14:50" x14ac:dyDescent="0.25">
      <c r="N6101" s="3"/>
      <c r="AW6101" s="7"/>
      <c r="AX6101" s="7"/>
    </row>
    <row r="6102" spans="14:50" x14ac:dyDescent="0.25">
      <c r="N6102" s="3"/>
      <c r="AW6102" s="7"/>
      <c r="AX6102" s="7"/>
    </row>
    <row r="6103" spans="14:50" x14ac:dyDescent="0.25">
      <c r="N6103" s="3"/>
      <c r="AW6103" s="7"/>
      <c r="AX6103" s="7"/>
    </row>
    <row r="6104" spans="14:50" x14ac:dyDescent="0.25">
      <c r="N6104" s="3"/>
      <c r="AW6104" s="7"/>
      <c r="AX6104" s="7"/>
    </row>
    <row r="6105" spans="14:50" x14ac:dyDescent="0.25">
      <c r="N6105" s="3"/>
      <c r="AW6105" s="7"/>
      <c r="AX6105" s="7"/>
    </row>
    <row r="6106" spans="14:50" x14ac:dyDescent="0.25">
      <c r="N6106" s="3"/>
      <c r="AW6106" s="7"/>
      <c r="AX6106" s="7"/>
    </row>
    <row r="6107" spans="14:50" x14ac:dyDescent="0.25">
      <c r="N6107" s="3"/>
      <c r="AW6107" s="7"/>
      <c r="AX6107" s="7"/>
    </row>
    <row r="6108" spans="14:50" x14ac:dyDescent="0.25">
      <c r="N6108" s="3"/>
      <c r="AW6108" s="7"/>
      <c r="AX6108" s="7"/>
    </row>
    <row r="6109" spans="14:50" x14ac:dyDescent="0.25">
      <c r="N6109" s="3"/>
      <c r="AW6109" s="7"/>
      <c r="AX6109" s="7"/>
    </row>
    <row r="6110" spans="14:50" x14ac:dyDescent="0.25">
      <c r="N6110" s="3"/>
      <c r="AW6110" s="7"/>
      <c r="AX6110" s="7"/>
    </row>
    <row r="6111" spans="14:50" x14ac:dyDescent="0.25">
      <c r="N6111" s="3"/>
      <c r="AW6111" s="7"/>
      <c r="AX6111" s="7"/>
    </row>
    <row r="6112" spans="14:50" x14ac:dyDescent="0.25">
      <c r="N6112" s="3"/>
      <c r="AW6112" s="7"/>
      <c r="AX6112" s="7"/>
    </row>
    <row r="6113" spans="14:50" x14ac:dyDescent="0.25">
      <c r="N6113" s="3"/>
      <c r="AW6113" s="7"/>
      <c r="AX6113" s="7"/>
    </row>
    <row r="6114" spans="14:50" x14ac:dyDescent="0.25">
      <c r="N6114" s="3"/>
      <c r="AW6114" s="7"/>
      <c r="AX6114" s="7"/>
    </row>
    <row r="6115" spans="14:50" x14ac:dyDescent="0.25">
      <c r="N6115" s="3"/>
      <c r="AW6115" s="7"/>
      <c r="AX6115" s="7"/>
    </row>
    <row r="6116" spans="14:50" x14ac:dyDescent="0.25">
      <c r="N6116" s="3"/>
      <c r="AW6116" s="7"/>
      <c r="AX6116" s="7"/>
    </row>
    <row r="6117" spans="14:50" x14ac:dyDescent="0.25">
      <c r="N6117" s="3"/>
      <c r="AW6117" s="7"/>
      <c r="AX6117" s="7"/>
    </row>
    <row r="6118" spans="14:50" x14ac:dyDescent="0.25">
      <c r="N6118" s="3"/>
      <c r="AW6118" s="7"/>
      <c r="AX6118" s="7"/>
    </row>
    <row r="6119" spans="14:50" x14ac:dyDescent="0.25">
      <c r="N6119" s="3"/>
      <c r="AW6119" s="7"/>
      <c r="AX6119" s="7"/>
    </row>
    <row r="6120" spans="14:50" x14ac:dyDescent="0.25">
      <c r="N6120" s="3"/>
      <c r="AW6120" s="7"/>
      <c r="AX6120" s="7"/>
    </row>
    <row r="6121" spans="14:50" x14ac:dyDescent="0.25">
      <c r="N6121" s="3"/>
      <c r="AW6121" s="7"/>
      <c r="AX6121" s="7"/>
    </row>
    <row r="6122" spans="14:50" x14ac:dyDescent="0.25">
      <c r="N6122" s="3"/>
      <c r="AW6122" s="7"/>
      <c r="AX6122" s="7"/>
    </row>
    <row r="6123" spans="14:50" x14ac:dyDescent="0.25">
      <c r="N6123" s="3"/>
      <c r="AW6123" s="7"/>
      <c r="AX6123" s="7"/>
    </row>
    <row r="6124" spans="14:50" x14ac:dyDescent="0.25">
      <c r="N6124" s="3"/>
      <c r="AW6124" s="7"/>
      <c r="AX6124" s="7"/>
    </row>
    <row r="6125" spans="14:50" x14ac:dyDescent="0.25">
      <c r="N6125" s="3"/>
      <c r="AW6125" s="7"/>
      <c r="AX6125" s="7"/>
    </row>
    <row r="6126" spans="14:50" x14ac:dyDescent="0.25">
      <c r="N6126" s="3"/>
      <c r="AW6126" s="7"/>
      <c r="AX6126" s="7"/>
    </row>
    <row r="6127" spans="14:50" x14ac:dyDescent="0.25">
      <c r="N6127" s="3"/>
      <c r="AW6127" s="7"/>
      <c r="AX6127" s="7"/>
    </row>
    <row r="6128" spans="14:50" x14ac:dyDescent="0.25">
      <c r="N6128" s="3"/>
      <c r="AW6128" s="7"/>
      <c r="AX6128" s="7"/>
    </row>
    <row r="6129" spans="14:50" x14ac:dyDescent="0.25">
      <c r="N6129" s="3"/>
      <c r="AW6129" s="7"/>
      <c r="AX6129" s="7"/>
    </row>
    <row r="6130" spans="14:50" x14ac:dyDescent="0.25">
      <c r="N6130" s="3"/>
      <c r="AW6130" s="7"/>
      <c r="AX6130" s="7"/>
    </row>
    <row r="6131" spans="14:50" x14ac:dyDescent="0.25">
      <c r="N6131" s="3"/>
      <c r="AW6131" s="7"/>
      <c r="AX6131" s="7"/>
    </row>
    <row r="6132" spans="14:50" x14ac:dyDescent="0.25">
      <c r="N6132" s="3"/>
      <c r="AW6132" s="7"/>
      <c r="AX6132" s="7"/>
    </row>
    <row r="6133" spans="14:50" x14ac:dyDescent="0.25">
      <c r="N6133" s="3"/>
      <c r="AW6133" s="7"/>
      <c r="AX6133" s="7"/>
    </row>
    <row r="6134" spans="14:50" x14ac:dyDescent="0.25">
      <c r="N6134" s="3"/>
      <c r="AW6134" s="7"/>
      <c r="AX6134" s="7"/>
    </row>
    <row r="6135" spans="14:50" x14ac:dyDescent="0.25">
      <c r="N6135" s="3"/>
      <c r="AW6135" s="7"/>
      <c r="AX6135" s="7"/>
    </row>
    <row r="6136" spans="14:50" x14ac:dyDescent="0.25">
      <c r="N6136" s="3"/>
      <c r="AW6136" s="7"/>
      <c r="AX6136" s="7"/>
    </row>
    <row r="6137" spans="14:50" x14ac:dyDescent="0.25">
      <c r="N6137" s="3"/>
      <c r="AW6137" s="7"/>
      <c r="AX6137" s="7"/>
    </row>
    <row r="6138" spans="14:50" x14ac:dyDescent="0.25">
      <c r="N6138" s="3"/>
      <c r="AW6138" s="7"/>
      <c r="AX6138" s="7"/>
    </row>
    <row r="6139" spans="14:50" x14ac:dyDescent="0.25">
      <c r="N6139" s="3"/>
      <c r="AW6139" s="7"/>
      <c r="AX6139" s="7"/>
    </row>
    <row r="6140" spans="14:50" x14ac:dyDescent="0.25">
      <c r="N6140" s="3"/>
      <c r="AW6140" s="7"/>
      <c r="AX6140" s="7"/>
    </row>
    <row r="6141" spans="14:50" x14ac:dyDescent="0.25">
      <c r="N6141" s="3"/>
      <c r="AW6141" s="7"/>
      <c r="AX6141" s="7"/>
    </row>
    <row r="6142" spans="14:50" x14ac:dyDescent="0.25">
      <c r="N6142" s="3"/>
      <c r="AW6142" s="7"/>
      <c r="AX6142" s="7"/>
    </row>
    <row r="6143" spans="14:50" x14ac:dyDescent="0.25">
      <c r="N6143" s="3"/>
      <c r="AW6143" s="7"/>
      <c r="AX6143" s="7"/>
    </row>
    <row r="6144" spans="14:50" x14ac:dyDescent="0.25">
      <c r="N6144" s="3"/>
      <c r="AW6144" s="7"/>
      <c r="AX6144" s="7"/>
    </row>
    <row r="6145" spans="14:50" x14ac:dyDescent="0.25">
      <c r="N6145" s="3"/>
      <c r="AW6145" s="7"/>
      <c r="AX6145" s="7"/>
    </row>
    <row r="6146" spans="14:50" x14ac:dyDescent="0.25">
      <c r="N6146" s="3"/>
      <c r="AW6146" s="7"/>
      <c r="AX6146" s="7"/>
    </row>
    <row r="6147" spans="14:50" x14ac:dyDescent="0.25">
      <c r="N6147" s="3"/>
      <c r="AW6147" s="7"/>
      <c r="AX6147" s="7"/>
    </row>
    <row r="6148" spans="14:50" x14ac:dyDescent="0.25">
      <c r="N6148" s="3"/>
      <c r="AW6148" s="7"/>
      <c r="AX6148" s="7"/>
    </row>
    <row r="6149" spans="14:50" x14ac:dyDescent="0.25">
      <c r="N6149" s="3"/>
      <c r="AW6149" s="7"/>
      <c r="AX6149" s="7"/>
    </row>
    <row r="6150" spans="14:50" x14ac:dyDescent="0.25">
      <c r="N6150" s="3"/>
      <c r="AW6150" s="7"/>
      <c r="AX6150" s="7"/>
    </row>
    <row r="6151" spans="14:50" x14ac:dyDescent="0.25">
      <c r="N6151" s="3"/>
      <c r="AW6151" s="7"/>
      <c r="AX6151" s="7"/>
    </row>
    <row r="6152" spans="14:50" x14ac:dyDescent="0.25">
      <c r="N6152" s="3"/>
      <c r="AW6152" s="7"/>
      <c r="AX6152" s="7"/>
    </row>
    <row r="6153" spans="14:50" x14ac:dyDescent="0.25">
      <c r="N6153" s="3"/>
      <c r="AW6153" s="7"/>
      <c r="AX6153" s="7"/>
    </row>
    <row r="6154" spans="14:50" x14ac:dyDescent="0.25">
      <c r="N6154" s="3"/>
      <c r="AW6154" s="7"/>
      <c r="AX6154" s="7"/>
    </row>
    <row r="6155" spans="14:50" x14ac:dyDescent="0.25">
      <c r="N6155" s="3"/>
      <c r="AW6155" s="7"/>
      <c r="AX6155" s="7"/>
    </row>
    <row r="6156" spans="14:50" x14ac:dyDescent="0.25">
      <c r="N6156" s="3"/>
      <c r="AW6156" s="7"/>
      <c r="AX6156" s="7"/>
    </row>
    <row r="6157" spans="14:50" x14ac:dyDescent="0.25">
      <c r="N6157" s="3"/>
      <c r="AW6157" s="7"/>
      <c r="AX6157" s="7"/>
    </row>
    <row r="6158" spans="14:50" x14ac:dyDescent="0.25">
      <c r="N6158" s="3"/>
      <c r="AW6158" s="7"/>
      <c r="AX6158" s="7"/>
    </row>
    <row r="6159" spans="14:50" x14ac:dyDescent="0.25">
      <c r="N6159" s="3"/>
      <c r="AW6159" s="7"/>
      <c r="AX6159" s="7"/>
    </row>
    <row r="6160" spans="14:50" x14ac:dyDescent="0.25">
      <c r="N6160" s="3"/>
      <c r="AW6160" s="7"/>
      <c r="AX6160" s="7"/>
    </row>
    <row r="6161" spans="14:50" x14ac:dyDescent="0.25">
      <c r="N6161" s="3"/>
      <c r="AW6161" s="7"/>
      <c r="AX6161" s="7"/>
    </row>
    <row r="6162" spans="14:50" x14ac:dyDescent="0.25">
      <c r="N6162" s="3"/>
      <c r="AW6162" s="7"/>
      <c r="AX6162" s="7"/>
    </row>
    <row r="6163" spans="14:50" x14ac:dyDescent="0.25">
      <c r="N6163" s="3"/>
      <c r="AW6163" s="7"/>
      <c r="AX6163" s="7"/>
    </row>
    <row r="6164" spans="14:50" x14ac:dyDescent="0.25">
      <c r="N6164" s="3"/>
      <c r="AW6164" s="7"/>
      <c r="AX6164" s="7"/>
    </row>
    <row r="6165" spans="14:50" x14ac:dyDescent="0.25">
      <c r="N6165" s="3"/>
      <c r="AW6165" s="7"/>
      <c r="AX6165" s="7"/>
    </row>
    <row r="6166" spans="14:50" x14ac:dyDescent="0.25">
      <c r="N6166" s="3"/>
      <c r="AW6166" s="7"/>
      <c r="AX6166" s="7"/>
    </row>
    <row r="6167" spans="14:50" x14ac:dyDescent="0.25">
      <c r="N6167" s="3"/>
      <c r="AW6167" s="7"/>
      <c r="AX6167" s="7"/>
    </row>
    <row r="6168" spans="14:50" x14ac:dyDescent="0.25">
      <c r="N6168" s="3"/>
      <c r="AW6168" s="7"/>
      <c r="AX6168" s="7"/>
    </row>
    <row r="6169" spans="14:50" x14ac:dyDescent="0.25">
      <c r="N6169" s="3"/>
      <c r="AW6169" s="7"/>
      <c r="AX6169" s="7"/>
    </row>
    <row r="6170" spans="14:50" x14ac:dyDescent="0.25">
      <c r="N6170" s="3"/>
      <c r="AW6170" s="7"/>
      <c r="AX6170" s="7"/>
    </row>
    <row r="6171" spans="14:50" x14ac:dyDescent="0.25">
      <c r="N6171" s="3"/>
      <c r="AW6171" s="7"/>
      <c r="AX6171" s="7"/>
    </row>
    <row r="6172" spans="14:50" x14ac:dyDescent="0.25">
      <c r="N6172" s="3"/>
      <c r="AW6172" s="7"/>
      <c r="AX6172" s="7"/>
    </row>
    <row r="6173" spans="14:50" x14ac:dyDescent="0.25">
      <c r="N6173" s="3"/>
      <c r="AW6173" s="7"/>
      <c r="AX6173" s="7"/>
    </row>
    <row r="6174" spans="14:50" x14ac:dyDescent="0.25">
      <c r="N6174" s="3"/>
      <c r="AW6174" s="7"/>
      <c r="AX6174" s="7"/>
    </row>
    <row r="6175" spans="14:50" x14ac:dyDescent="0.25">
      <c r="N6175" s="3"/>
      <c r="AW6175" s="7"/>
      <c r="AX6175" s="7"/>
    </row>
    <row r="6176" spans="14:50" x14ac:dyDescent="0.25">
      <c r="N6176" s="3"/>
      <c r="AW6176" s="7"/>
      <c r="AX6176" s="7"/>
    </row>
    <row r="6177" spans="14:50" x14ac:dyDescent="0.25">
      <c r="N6177" s="3"/>
      <c r="AW6177" s="7"/>
      <c r="AX6177" s="7"/>
    </row>
    <row r="6178" spans="14:50" x14ac:dyDescent="0.25">
      <c r="N6178" s="3"/>
      <c r="AW6178" s="7"/>
      <c r="AX6178" s="7"/>
    </row>
    <row r="6179" spans="14:50" x14ac:dyDescent="0.25">
      <c r="N6179" s="3"/>
      <c r="AW6179" s="7"/>
      <c r="AX6179" s="7"/>
    </row>
    <row r="6180" spans="14:50" x14ac:dyDescent="0.25">
      <c r="N6180" s="3"/>
      <c r="AW6180" s="7"/>
      <c r="AX6180" s="7"/>
    </row>
    <row r="6181" spans="14:50" x14ac:dyDescent="0.25">
      <c r="N6181" s="3"/>
      <c r="AW6181" s="7"/>
      <c r="AX6181" s="7"/>
    </row>
    <row r="6182" spans="14:50" x14ac:dyDescent="0.25">
      <c r="N6182" s="3"/>
      <c r="AW6182" s="7"/>
      <c r="AX6182" s="7"/>
    </row>
    <row r="6183" spans="14:50" x14ac:dyDescent="0.25">
      <c r="N6183" s="3"/>
      <c r="AW6183" s="7"/>
      <c r="AX6183" s="7"/>
    </row>
    <row r="6184" spans="14:50" x14ac:dyDescent="0.25">
      <c r="N6184" s="3"/>
      <c r="AW6184" s="7"/>
      <c r="AX6184" s="7"/>
    </row>
    <row r="6185" spans="14:50" x14ac:dyDescent="0.25">
      <c r="N6185" s="3"/>
      <c r="AW6185" s="7"/>
      <c r="AX6185" s="7"/>
    </row>
    <row r="6186" spans="14:50" x14ac:dyDescent="0.25">
      <c r="N6186" s="3"/>
      <c r="AW6186" s="7"/>
      <c r="AX6186" s="7"/>
    </row>
    <row r="6187" spans="14:50" x14ac:dyDescent="0.25">
      <c r="N6187" s="3"/>
      <c r="AW6187" s="7"/>
      <c r="AX6187" s="7"/>
    </row>
    <row r="6188" spans="14:50" x14ac:dyDescent="0.25">
      <c r="N6188" s="3"/>
      <c r="AW6188" s="7"/>
      <c r="AX6188" s="7"/>
    </row>
    <row r="6189" spans="14:50" x14ac:dyDescent="0.25">
      <c r="N6189" s="3"/>
      <c r="AW6189" s="7"/>
      <c r="AX6189" s="7"/>
    </row>
    <row r="6190" spans="14:50" x14ac:dyDescent="0.25">
      <c r="N6190" s="3"/>
      <c r="AW6190" s="7"/>
      <c r="AX6190" s="7"/>
    </row>
    <row r="6191" spans="14:50" x14ac:dyDescent="0.25">
      <c r="N6191" s="3"/>
      <c r="AW6191" s="7"/>
      <c r="AX6191" s="7"/>
    </row>
    <row r="6192" spans="14:50" x14ac:dyDescent="0.25">
      <c r="N6192" s="3"/>
      <c r="AW6192" s="7"/>
      <c r="AX6192" s="7"/>
    </row>
    <row r="6193" spans="14:50" x14ac:dyDescent="0.25">
      <c r="N6193" s="3"/>
      <c r="AW6193" s="7"/>
      <c r="AX6193" s="7"/>
    </row>
    <row r="6194" spans="14:50" x14ac:dyDescent="0.25">
      <c r="N6194" s="3"/>
      <c r="AW6194" s="7"/>
      <c r="AX6194" s="7"/>
    </row>
    <row r="6195" spans="14:50" x14ac:dyDescent="0.25">
      <c r="N6195" s="3"/>
      <c r="AW6195" s="7"/>
      <c r="AX6195" s="7"/>
    </row>
    <row r="6196" spans="14:50" x14ac:dyDescent="0.25">
      <c r="N6196" s="3"/>
      <c r="AW6196" s="7"/>
      <c r="AX6196" s="7"/>
    </row>
    <row r="6197" spans="14:50" x14ac:dyDescent="0.25">
      <c r="N6197" s="3"/>
      <c r="AW6197" s="7"/>
      <c r="AX6197" s="7"/>
    </row>
    <row r="6198" spans="14:50" x14ac:dyDescent="0.25">
      <c r="N6198" s="3"/>
      <c r="AW6198" s="7"/>
      <c r="AX6198" s="7"/>
    </row>
    <row r="6199" spans="14:50" x14ac:dyDescent="0.25">
      <c r="N6199" s="3"/>
      <c r="AW6199" s="7"/>
      <c r="AX6199" s="7"/>
    </row>
    <row r="6200" spans="14:50" x14ac:dyDescent="0.25">
      <c r="N6200" s="3"/>
      <c r="AW6200" s="7"/>
      <c r="AX6200" s="7"/>
    </row>
    <row r="6201" spans="14:50" x14ac:dyDescent="0.25">
      <c r="N6201" s="3"/>
      <c r="AW6201" s="7"/>
      <c r="AX6201" s="7"/>
    </row>
    <row r="6202" spans="14:50" x14ac:dyDescent="0.25">
      <c r="N6202" s="3"/>
      <c r="AW6202" s="7"/>
      <c r="AX6202" s="7"/>
    </row>
    <row r="6203" spans="14:50" x14ac:dyDescent="0.25">
      <c r="N6203" s="3"/>
      <c r="AW6203" s="7"/>
      <c r="AX6203" s="7"/>
    </row>
    <row r="6204" spans="14:50" x14ac:dyDescent="0.25">
      <c r="N6204" s="3"/>
      <c r="AW6204" s="7"/>
      <c r="AX6204" s="7"/>
    </row>
    <row r="6205" spans="14:50" x14ac:dyDescent="0.25">
      <c r="N6205" s="3"/>
      <c r="AW6205" s="7"/>
      <c r="AX6205" s="7"/>
    </row>
    <row r="6206" spans="14:50" x14ac:dyDescent="0.25">
      <c r="N6206" s="3"/>
      <c r="AW6206" s="7"/>
      <c r="AX6206" s="7"/>
    </row>
    <row r="6207" spans="14:50" x14ac:dyDescent="0.25">
      <c r="N6207" s="3"/>
      <c r="AW6207" s="7"/>
      <c r="AX6207" s="7"/>
    </row>
    <row r="6208" spans="14:50" x14ac:dyDescent="0.25">
      <c r="N6208" s="3"/>
      <c r="AW6208" s="7"/>
      <c r="AX6208" s="7"/>
    </row>
    <row r="6209" spans="14:50" x14ac:dyDescent="0.25">
      <c r="N6209" s="3"/>
      <c r="AW6209" s="7"/>
      <c r="AX6209" s="7"/>
    </row>
    <row r="6210" spans="14:50" x14ac:dyDescent="0.25">
      <c r="N6210" s="3"/>
      <c r="AW6210" s="7"/>
      <c r="AX6210" s="7"/>
    </row>
    <row r="6211" spans="14:50" x14ac:dyDescent="0.25">
      <c r="N6211" s="3"/>
      <c r="AW6211" s="7"/>
      <c r="AX6211" s="7"/>
    </row>
    <row r="6212" spans="14:50" x14ac:dyDescent="0.25">
      <c r="N6212" s="3"/>
      <c r="AW6212" s="7"/>
      <c r="AX6212" s="7"/>
    </row>
    <row r="6213" spans="14:50" x14ac:dyDescent="0.25">
      <c r="N6213" s="3"/>
      <c r="AW6213" s="7"/>
      <c r="AX6213" s="7"/>
    </row>
    <row r="6214" spans="14:50" x14ac:dyDescent="0.25">
      <c r="N6214" s="3"/>
      <c r="AW6214" s="7"/>
      <c r="AX6214" s="7"/>
    </row>
    <row r="6215" spans="14:50" x14ac:dyDescent="0.25">
      <c r="N6215" s="3"/>
      <c r="AW6215" s="7"/>
      <c r="AX6215" s="7"/>
    </row>
    <row r="6216" spans="14:50" x14ac:dyDescent="0.25">
      <c r="N6216" s="3"/>
      <c r="AW6216" s="7"/>
      <c r="AX6216" s="7"/>
    </row>
    <row r="6217" spans="14:50" x14ac:dyDescent="0.25">
      <c r="N6217" s="3"/>
      <c r="AW6217" s="7"/>
      <c r="AX6217" s="7"/>
    </row>
    <row r="6218" spans="14:50" x14ac:dyDescent="0.25">
      <c r="N6218" s="3"/>
      <c r="AW6218" s="7"/>
      <c r="AX6218" s="7"/>
    </row>
    <row r="6219" spans="14:50" x14ac:dyDescent="0.25">
      <c r="N6219" s="3"/>
      <c r="AW6219" s="7"/>
      <c r="AX6219" s="7"/>
    </row>
    <row r="6220" spans="14:50" x14ac:dyDescent="0.25">
      <c r="N6220" s="3"/>
      <c r="AW6220" s="7"/>
      <c r="AX6220" s="7"/>
    </row>
    <row r="6221" spans="14:50" x14ac:dyDescent="0.25">
      <c r="N6221" s="3"/>
      <c r="AW6221" s="7"/>
      <c r="AX6221" s="7"/>
    </row>
    <row r="6222" spans="14:50" x14ac:dyDescent="0.25">
      <c r="N6222" s="3"/>
      <c r="AW6222" s="7"/>
      <c r="AX6222" s="7"/>
    </row>
    <row r="6223" spans="14:50" x14ac:dyDescent="0.25">
      <c r="N6223" s="3"/>
      <c r="AW6223" s="7"/>
      <c r="AX6223" s="7"/>
    </row>
    <row r="6224" spans="14:50" x14ac:dyDescent="0.25">
      <c r="N6224" s="3"/>
      <c r="AW6224" s="7"/>
      <c r="AX6224" s="7"/>
    </row>
    <row r="6225" spans="14:50" x14ac:dyDescent="0.25">
      <c r="N6225" s="3"/>
      <c r="AW6225" s="7"/>
      <c r="AX6225" s="7"/>
    </row>
    <row r="6226" spans="14:50" x14ac:dyDescent="0.25">
      <c r="N6226" s="3"/>
      <c r="AW6226" s="7"/>
      <c r="AX6226" s="7"/>
    </row>
    <row r="6227" spans="14:50" x14ac:dyDescent="0.25">
      <c r="N6227" s="3"/>
      <c r="AW6227" s="7"/>
      <c r="AX6227" s="7"/>
    </row>
    <row r="6228" spans="14:50" x14ac:dyDescent="0.25">
      <c r="N6228" s="3"/>
      <c r="AW6228" s="7"/>
      <c r="AX6228" s="7"/>
    </row>
    <row r="6229" spans="14:50" x14ac:dyDescent="0.25">
      <c r="N6229" s="3"/>
      <c r="AW6229" s="7"/>
      <c r="AX6229" s="7"/>
    </row>
    <row r="6230" spans="14:50" x14ac:dyDescent="0.25">
      <c r="N6230" s="3"/>
      <c r="AW6230" s="7"/>
      <c r="AX6230" s="7"/>
    </row>
    <row r="6231" spans="14:50" x14ac:dyDescent="0.25">
      <c r="N6231" s="3"/>
      <c r="AW6231" s="7"/>
      <c r="AX6231" s="7"/>
    </row>
    <row r="6232" spans="14:50" x14ac:dyDescent="0.25">
      <c r="N6232" s="3"/>
      <c r="AW6232" s="7"/>
      <c r="AX6232" s="7"/>
    </row>
    <row r="6233" spans="14:50" x14ac:dyDescent="0.25">
      <c r="N6233" s="3"/>
      <c r="AW6233" s="7"/>
      <c r="AX6233" s="7"/>
    </row>
    <row r="6234" spans="14:50" x14ac:dyDescent="0.25">
      <c r="N6234" s="3"/>
      <c r="AW6234" s="7"/>
      <c r="AX6234" s="7"/>
    </row>
    <row r="6235" spans="14:50" x14ac:dyDescent="0.25">
      <c r="N6235" s="3"/>
      <c r="AW6235" s="7"/>
      <c r="AX6235" s="7"/>
    </row>
    <row r="6236" spans="14:50" x14ac:dyDescent="0.25">
      <c r="N6236" s="3"/>
      <c r="AW6236" s="7"/>
      <c r="AX6236" s="7"/>
    </row>
    <row r="6237" spans="14:50" x14ac:dyDescent="0.25">
      <c r="N6237" s="3"/>
      <c r="AW6237" s="7"/>
      <c r="AX6237" s="7"/>
    </row>
    <row r="6238" spans="14:50" x14ac:dyDescent="0.25">
      <c r="N6238" s="3"/>
      <c r="AW6238" s="7"/>
      <c r="AX6238" s="7"/>
    </row>
    <row r="6239" spans="14:50" x14ac:dyDescent="0.25">
      <c r="N6239" s="3"/>
      <c r="AW6239" s="7"/>
      <c r="AX6239" s="7"/>
    </row>
    <row r="6240" spans="14:50" x14ac:dyDescent="0.25">
      <c r="N6240" s="3"/>
      <c r="AW6240" s="7"/>
      <c r="AX6240" s="7"/>
    </row>
    <row r="6241" spans="14:50" x14ac:dyDescent="0.25">
      <c r="N6241" s="3"/>
      <c r="AW6241" s="7"/>
      <c r="AX6241" s="7"/>
    </row>
    <row r="6242" spans="14:50" x14ac:dyDescent="0.25">
      <c r="N6242" s="3"/>
      <c r="AW6242" s="7"/>
      <c r="AX6242" s="7"/>
    </row>
    <row r="6243" spans="14:50" x14ac:dyDescent="0.25">
      <c r="N6243" s="3"/>
      <c r="AW6243" s="7"/>
      <c r="AX6243" s="7"/>
    </row>
    <row r="6244" spans="14:50" x14ac:dyDescent="0.25">
      <c r="N6244" s="3"/>
      <c r="AW6244" s="7"/>
      <c r="AX6244" s="7"/>
    </row>
    <row r="6245" spans="14:50" x14ac:dyDescent="0.25">
      <c r="N6245" s="3"/>
      <c r="AW6245" s="7"/>
      <c r="AX6245" s="7"/>
    </row>
    <row r="6246" spans="14:50" x14ac:dyDescent="0.25">
      <c r="N6246" s="3"/>
      <c r="AW6246" s="7"/>
      <c r="AX6246" s="7"/>
    </row>
    <row r="6247" spans="14:50" x14ac:dyDescent="0.25">
      <c r="N6247" s="3"/>
      <c r="AW6247" s="7"/>
      <c r="AX6247" s="7"/>
    </row>
    <row r="6248" spans="14:50" x14ac:dyDescent="0.25">
      <c r="N6248" s="3"/>
      <c r="AW6248" s="7"/>
      <c r="AX6248" s="7"/>
    </row>
    <row r="6249" spans="14:50" x14ac:dyDescent="0.25">
      <c r="N6249" s="3"/>
      <c r="AW6249" s="7"/>
      <c r="AX6249" s="7"/>
    </row>
    <row r="6250" spans="14:50" x14ac:dyDescent="0.25">
      <c r="N6250" s="3"/>
      <c r="AW6250" s="7"/>
      <c r="AX6250" s="7"/>
    </row>
    <row r="6251" spans="14:50" x14ac:dyDescent="0.25">
      <c r="N6251" s="3"/>
      <c r="AW6251" s="7"/>
      <c r="AX6251" s="7"/>
    </row>
    <row r="6252" spans="14:50" x14ac:dyDescent="0.25">
      <c r="N6252" s="3"/>
      <c r="AW6252" s="7"/>
      <c r="AX6252" s="7"/>
    </row>
    <row r="6253" spans="14:50" x14ac:dyDescent="0.25">
      <c r="N6253" s="3"/>
      <c r="AW6253" s="7"/>
      <c r="AX6253" s="7"/>
    </row>
    <row r="6254" spans="14:50" x14ac:dyDescent="0.25">
      <c r="N6254" s="3"/>
      <c r="AW6254" s="7"/>
      <c r="AX6254" s="7"/>
    </row>
    <row r="6255" spans="14:50" x14ac:dyDescent="0.25">
      <c r="N6255" s="3"/>
      <c r="AW6255" s="7"/>
      <c r="AX6255" s="7"/>
    </row>
    <row r="6256" spans="14:50" x14ac:dyDescent="0.25">
      <c r="N6256" s="3"/>
      <c r="AW6256" s="7"/>
      <c r="AX6256" s="7"/>
    </row>
    <row r="6257" spans="14:50" x14ac:dyDescent="0.25">
      <c r="N6257" s="3"/>
      <c r="AW6257" s="7"/>
      <c r="AX6257" s="7"/>
    </row>
    <row r="6258" spans="14:50" x14ac:dyDescent="0.25">
      <c r="N6258" s="3"/>
      <c r="AW6258" s="7"/>
      <c r="AX6258" s="7"/>
    </row>
    <row r="6259" spans="14:50" x14ac:dyDescent="0.25">
      <c r="N6259" s="3"/>
      <c r="AW6259" s="7"/>
      <c r="AX6259" s="7"/>
    </row>
    <row r="6260" spans="14:50" x14ac:dyDescent="0.25">
      <c r="N6260" s="3"/>
      <c r="AW6260" s="7"/>
      <c r="AX6260" s="7"/>
    </row>
    <row r="6261" spans="14:50" x14ac:dyDescent="0.25">
      <c r="N6261" s="3"/>
      <c r="AW6261" s="7"/>
      <c r="AX6261" s="7"/>
    </row>
    <row r="6262" spans="14:50" x14ac:dyDescent="0.25">
      <c r="N6262" s="3"/>
      <c r="AW6262" s="7"/>
      <c r="AX6262" s="7"/>
    </row>
    <row r="6263" spans="14:50" x14ac:dyDescent="0.25">
      <c r="N6263" s="3"/>
      <c r="AW6263" s="7"/>
      <c r="AX6263" s="7"/>
    </row>
    <row r="6264" spans="14:50" x14ac:dyDescent="0.25">
      <c r="N6264" s="3"/>
      <c r="AW6264" s="7"/>
      <c r="AX6264" s="7"/>
    </row>
    <row r="6265" spans="14:50" x14ac:dyDescent="0.25">
      <c r="N6265" s="3"/>
      <c r="AW6265" s="7"/>
      <c r="AX6265" s="7"/>
    </row>
    <row r="6266" spans="14:50" x14ac:dyDescent="0.25">
      <c r="N6266" s="3"/>
      <c r="AW6266" s="7"/>
      <c r="AX6266" s="7"/>
    </row>
    <row r="6267" spans="14:50" x14ac:dyDescent="0.25">
      <c r="N6267" s="3"/>
      <c r="AW6267" s="7"/>
      <c r="AX6267" s="7"/>
    </row>
    <row r="6268" spans="14:50" x14ac:dyDescent="0.25">
      <c r="N6268" s="3"/>
      <c r="AW6268" s="7"/>
      <c r="AX6268" s="7"/>
    </row>
    <row r="6269" spans="14:50" x14ac:dyDescent="0.25">
      <c r="N6269" s="3"/>
      <c r="AW6269" s="7"/>
      <c r="AX6269" s="7"/>
    </row>
    <row r="6270" spans="14:50" x14ac:dyDescent="0.25">
      <c r="N6270" s="3"/>
      <c r="AW6270" s="7"/>
      <c r="AX6270" s="7"/>
    </row>
    <row r="6271" spans="14:50" x14ac:dyDescent="0.25">
      <c r="N6271" s="3"/>
      <c r="AW6271" s="7"/>
      <c r="AX6271" s="7"/>
    </row>
    <row r="6272" spans="14:50" x14ac:dyDescent="0.25">
      <c r="N6272" s="3"/>
      <c r="AW6272" s="7"/>
      <c r="AX6272" s="7"/>
    </row>
    <row r="6273" spans="14:50" x14ac:dyDescent="0.25">
      <c r="N6273" s="3"/>
      <c r="AW6273" s="7"/>
      <c r="AX6273" s="7"/>
    </row>
    <row r="6274" spans="14:50" x14ac:dyDescent="0.25">
      <c r="N6274" s="3"/>
      <c r="AW6274" s="7"/>
      <c r="AX6274" s="7"/>
    </row>
    <row r="6275" spans="14:50" x14ac:dyDescent="0.25">
      <c r="N6275" s="3"/>
      <c r="AW6275" s="7"/>
      <c r="AX6275" s="7"/>
    </row>
    <row r="6276" spans="14:50" x14ac:dyDescent="0.25">
      <c r="N6276" s="3"/>
      <c r="AW6276" s="7"/>
      <c r="AX6276" s="7"/>
    </row>
    <row r="6277" spans="14:50" x14ac:dyDescent="0.25">
      <c r="N6277" s="3"/>
      <c r="AW6277" s="7"/>
      <c r="AX6277" s="7"/>
    </row>
    <row r="6278" spans="14:50" x14ac:dyDescent="0.25">
      <c r="N6278" s="3"/>
      <c r="AW6278" s="7"/>
      <c r="AX6278" s="7"/>
    </row>
    <row r="6279" spans="14:50" x14ac:dyDescent="0.25">
      <c r="N6279" s="3"/>
      <c r="AW6279" s="7"/>
      <c r="AX6279" s="7"/>
    </row>
    <row r="6280" spans="14:50" x14ac:dyDescent="0.25">
      <c r="N6280" s="3"/>
      <c r="AW6280" s="7"/>
      <c r="AX6280" s="7"/>
    </row>
    <row r="6281" spans="14:50" x14ac:dyDescent="0.25">
      <c r="N6281" s="3"/>
      <c r="AW6281" s="7"/>
      <c r="AX6281" s="7"/>
    </row>
    <row r="6282" spans="14:50" x14ac:dyDescent="0.25">
      <c r="N6282" s="3"/>
      <c r="AW6282" s="7"/>
      <c r="AX6282" s="7"/>
    </row>
    <row r="6283" spans="14:50" x14ac:dyDescent="0.25">
      <c r="N6283" s="3"/>
      <c r="AW6283" s="7"/>
      <c r="AX6283" s="7"/>
    </row>
    <row r="6284" spans="14:50" x14ac:dyDescent="0.25">
      <c r="N6284" s="3"/>
      <c r="AW6284" s="7"/>
      <c r="AX6284" s="7"/>
    </row>
    <row r="6285" spans="14:50" x14ac:dyDescent="0.25">
      <c r="N6285" s="3"/>
      <c r="AW6285" s="7"/>
      <c r="AX6285" s="7"/>
    </row>
    <row r="6286" spans="14:50" x14ac:dyDescent="0.25">
      <c r="N6286" s="3"/>
      <c r="AW6286" s="7"/>
      <c r="AX6286" s="7"/>
    </row>
    <row r="6287" spans="14:50" x14ac:dyDescent="0.25">
      <c r="N6287" s="3"/>
      <c r="AW6287" s="7"/>
      <c r="AX6287" s="7"/>
    </row>
    <row r="6288" spans="14:50" x14ac:dyDescent="0.25">
      <c r="N6288" s="3"/>
      <c r="AW6288" s="7"/>
      <c r="AX6288" s="7"/>
    </row>
    <row r="6289" spans="14:50" x14ac:dyDescent="0.25">
      <c r="N6289" s="3"/>
      <c r="AW6289" s="7"/>
      <c r="AX6289" s="7"/>
    </row>
    <row r="6290" spans="14:50" x14ac:dyDescent="0.25">
      <c r="N6290" s="3"/>
      <c r="AW6290" s="7"/>
      <c r="AX6290" s="7"/>
    </row>
    <row r="6291" spans="14:50" x14ac:dyDescent="0.25">
      <c r="N6291" s="3"/>
      <c r="AW6291" s="7"/>
      <c r="AX6291" s="7"/>
    </row>
    <row r="6292" spans="14:50" x14ac:dyDescent="0.25">
      <c r="N6292" s="3"/>
      <c r="AW6292" s="7"/>
      <c r="AX6292" s="7"/>
    </row>
    <row r="6293" spans="14:50" x14ac:dyDescent="0.25">
      <c r="N6293" s="3"/>
      <c r="AW6293" s="7"/>
      <c r="AX6293" s="7"/>
    </row>
    <row r="6294" spans="14:50" x14ac:dyDescent="0.25">
      <c r="N6294" s="3"/>
      <c r="AW6294" s="7"/>
      <c r="AX6294" s="7"/>
    </row>
    <row r="6295" spans="14:50" x14ac:dyDescent="0.25">
      <c r="N6295" s="3"/>
      <c r="AW6295" s="7"/>
      <c r="AX6295" s="7"/>
    </row>
    <row r="6296" spans="14:50" x14ac:dyDescent="0.25">
      <c r="N6296" s="3"/>
      <c r="AW6296" s="7"/>
      <c r="AX6296" s="7"/>
    </row>
    <row r="6297" spans="14:50" x14ac:dyDescent="0.25">
      <c r="N6297" s="3"/>
      <c r="AW6297" s="7"/>
      <c r="AX6297" s="7"/>
    </row>
    <row r="6298" spans="14:50" x14ac:dyDescent="0.25">
      <c r="N6298" s="3"/>
      <c r="AW6298" s="7"/>
      <c r="AX6298" s="7"/>
    </row>
    <row r="6299" spans="14:50" x14ac:dyDescent="0.25">
      <c r="N6299" s="3"/>
      <c r="AW6299" s="7"/>
      <c r="AX6299" s="7"/>
    </row>
    <row r="6300" spans="14:50" x14ac:dyDescent="0.25">
      <c r="N6300" s="3"/>
      <c r="AW6300" s="7"/>
      <c r="AX6300" s="7"/>
    </row>
    <row r="6301" spans="14:50" x14ac:dyDescent="0.25">
      <c r="N6301" s="3"/>
      <c r="AW6301" s="7"/>
      <c r="AX6301" s="7"/>
    </row>
    <row r="6302" spans="14:50" x14ac:dyDescent="0.25">
      <c r="N6302" s="3"/>
      <c r="AW6302" s="7"/>
      <c r="AX6302" s="7"/>
    </row>
    <row r="6303" spans="14:50" x14ac:dyDescent="0.25">
      <c r="N6303" s="3"/>
      <c r="AW6303" s="7"/>
      <c r="AX6303" s="7"/>
    </row>
    <row r="6304" spans="14:50" x14ac:dyDescent="0.25">
      <c r="N6304" s="3"/>
      <c r="AW6304" s="7"/>
      <c r="AX6304" s="7"/>
    </row>
    <row r="6305" spans="14:50" x14ac:dyDescent="0.25">
      <c r="N6305" s="3"/>
      <c r="AW6305" s="7"/>
      <c r="AX6305" s="7"/>
    </row>
    <row r="6306" spans="14:50" x14ac:dyDescent="0.25">
      <c r="N6306" s="3"/>
      <c r="AW6306" s="7"/>
      <c r="AX6306" s="7"/>
    </row>
    <row r="6307" spans="14:50" x14ac:dyDescent="0.25">
      <c r="N6307" s="3"/>
      <c r="AW6307" s="7"/>
      <c r="AX6307" s="7"/>
    </row>
    <row r="6308" spans="14:50" x14ac:dyDescent="0.25">
      <c r="N6308" s="3"/>
      <c r="AW6308" s="7"/>
      <c r="AX6308" s="7"/>
    </row>
    <row r="6309" spans="14:50" x14ac:dyDescent="0.25">
      <c r="N6309" s="3"/>
      <c r="AW6309" s="7"/>
      <c r="AX6309" s="7"/>
    </row>
    <row r="6310" spans="14:50" x14ac:dyDescent="0.25">
      <c r="N6310" s="3"/>
      <c r="AW6310" s="7"/>
      <c r="AX6310" s="7"/>
    </row>
    <row r="6311" spans="14:50" x14ac:dyDescent="0.25">
      <c r="N6311" s="3"/>
      <c r="AW6311" s="7"/>
      <c r="AX6311" s="7"/>
    </row>
    <row r="6312" spans="14:50" x14ac:dyDescent="0.25">
      <c r="N6312" s="3"/>
      <c r="AW6312" s="7"/>
      <c r="AX6312" s="7"/>
    </row>
    <row r="6313" spans="14:50" x14ac:dyDescent="0.25">
      <c r="N6313" s="3"/>
      <c r="AW6313" s="7"/>
      <c r="AX6313" s="7"/>
    </row>
    <row r="6314" spans="14:50" x14ac:dyDescent="0.25">
      <c r="N6314" s="3"/>
      <c r="AW6314" s="7"/>
      <c r="AX6314" s="7"/>
    </row>
    <row r="6315" spans="14:50" x14ac:dyDescent="0.25">
      <c r="N6315" s="3"/>
      <c r="AW6315" s="7"/>
      <c r="AX6315" s="7"/>
    </row>
    <row r="6316" spans="14:50" x14ac:dyDescent="0.25">
      <c r="N6316" s="3"/>
      <c r="AW6316" s="7"/>
      <c r="AX6316" s="7"/>
    </row>
    <row r="6317" spans="14:50" x14ac:dyDescent="0.25">
      <c r="N6317" s="3"/>
      <c r="AW6317" s="7"/>
      <c r="AX6317" s="7"/>
    </row>
    <row r="6318" spans="14:50" x14ac:dyDescent="0.25">
      <c r="N6318" s="3"/>
      <c r="AW6318" s="7"/>
      <c r="AX6318" s="7"/>
    </row>
    <row r="6319" spans="14:50" x14ac:dyDescent="0.25">
      <c r="N6319" s="3"/>
      <c r="AW6319" s="7"/>
      <c r="AX6319" s="7"/>
    </row>
    <row r="6320" spans="14:50" x14ac:dyDescent="0.25">
      <c r="N6320" s="3"/>
      <c r="AW6320" s="7"/>
      <c r="AX6320" s="7"/>
    </row>
    <row r="6321" spans="14:50" x14ac:dyDescent="0.25">
      <c r="N6321" s="3"/>
      <c r="AW6321" s="7"/>
      <c r="AX6321" s="7"/>
    </row>
    <row r="6322" spans="14:50" x14ac:dyDescent="0.25">
      <c r="N6322" s="3"/>
      <c r="AW6322" s="7"/>
      <c r="AX6322" s="7"/>
    </row>
    <row r="6323" spans="14:50" x14ac:dyDescent="0.25">
      <c r="N6323" s="3"/>
      <c r="AW6323" s="7"/>
      <c r="AX6323" s="7"/>
    </row>
    <row r="6324" spans="14:50" x14ac:dyDescent="0.25">
      <c r="N6324" s="3"/>
      <c r="AW6324" s="7"/>
      <c r="AX6324" s="7"/>
    </row>
    <row r="6325" spans="14:50" x14ac:dyDescent="0.25">
      <c r="N6325" s="3"/>
      <c r="AW6325" s="7"/>
      <c r="AX6325" s="7"/>
    </row>
    <row r="6326" spans="14:50" x14ac:dyDescent="0.25">
      <c r="N6326" s="3"/>
      <c r="AW6326" s="7"/>
      <c r="AX6326" s="7"/>
    </row>
    <row r="6327" spans="14:50" x14ac:dyDescent="0.25">
      <c r="N6327" s="3"/>
      <c r="AW6327" s="7"/>
      <c r="AX6327" s="7"/>
    </row>
    <row r="6328" spans="14:50" x14ac:dyDescent="0.25">
      <c r="N6328" s="3"/>
      <c r="AW6328" s="7"/>
      <c r="AX6328" s="7"/>
    </row>
    <row r="6329" spans="14:50" x14ac:dyDescent="0.25">
      <c r="N6329" s="3"/>
      <c r="AW6329" s="7"/>
      <c r="AX6329" s="7"/>
    </row>
    <row r="6330" spans="14:50" x14ac:dyDescent="0.25">
      <c r="N6330" s="3"/>
      <c r="AW6330" s="7"/>
      <c r="AX6330" s="7"/>
    </row>
    <row r="6331" spans="14:50" x14ac:dyDescent="0.25">
      <c r="N6331" s="3"/>
      <c r="AW6331" s="7"/>
      <c r="AX6331" s="7"/>
    </row>
    <row r="6332" spans="14:50" x14ac:dyDescent="0.25">
      <c r="N6332" s="3"/>
      <c r="AW6332" s="7"/>
      <c r="AX6332" s="7"/>
    </row>
    <row r="6333" spans="14:50" x14ac:dyDescent="0.25">
      <c r="N6333" s="3"/>
      <c r="AW6333" s="7"/>
      <c r="AX6333" s="7"/>
    </row>
    <row r="6334" spans="14:50" x14ac:dyDescent="0.25">
      <c r="N6334" s="3"/>
      <c r="AW6334" s="7"/>
      <c r="AX6334" s="7"/>
    </row>
    <row r="6335" spans="14:50" x14ac:dyDescent="0.25">
      <c r="N6335" s="3"/>
      <c r="AW6335" s="7"/>
      <c r="AX6335" s="7"/>
    </row>
    <row r="6336" spans="14:50" x14ac:dyDescent="0.25">
      <c r="N6336" s="3"/>
      <c r="AW6336" s="7"/>
      <c r="AX6336" s="7"/>
    </row>
    <row r="6337" spans="14:50" x14ac:dyDescent="0.25">
      <c r="N6337" s="3"/>
      <c r="AW6337" s="7"/>
      <c r="AX6337" s="7"/>
    </row>
    <row r="6338" spans="14:50" x14ac:dyDescent="0.25">
      <c r="N6338" s="3"/>
      <c r="AW6338" s="7"/>
      <c r="AX6338" s="7"/>
    </row>
    <row r="6339" spans="14:50" x14ac:dyDescent="0.25">
      <c r="N6339" s="3"/>
      <c r="AW6339" s="7"/>
      <c r="AX6339" s="7"/>
    </row>
    <row r="6340" spans="14:50" x14ac:dyDescent="0.25">
      <c r="N6340" s="3"/>
      <c r="AW6340" s="7"/>
      <c r="AX6340" s="7"/>
    </row>
    <row r="6341" spans="14:50" x14ac:dyDescent="0.25">
      <c r="N6341" s="3"/>
      <c r="AW6341" s="7"/>
      <c r="AX6341" s="7"/>
    </row>
    <row r="6342" spans="14:50" x14ac:dyDescent="0.25">
      <c r="N6342" s="3"/>
      <c r="AW6342" s="7"/>
      <c r="AX6342" s="7"/>
    </row>
    <row r="6343" spans="14:50" x14ac:dyDescent="0.25">
      <c r="N6343" s="3"/>
      <c r="AW6343" s="7"/>
      <c r="AX6343" s="7"/>
    </row>
    <row r="6344" spans="14:50" x14ac:dyDescent="0.25">
      <c r="N6344" s="3"/>
      <c r="AW6344" s="7"/>
      <c r="AX6344" s="7"/>
    </row>
    <row r="6345" spans="14:50" x14ac:dyDescent="0.25">
      <c r="N6345" s="3"/>
      <c r="AW6345" s="7"/>
      <c r="AX6345" s="7"/>
    </row>
    <row r="6346" spans="14:50" x14ac:dyDescent="0.25">
      <c r="N6346" s="3"/>
      <c r="AW6346" s="7"/>
      <c r="AX6346" s="7"/>
    </row>
    <row r="6347" spans="14:50" x14ac:dyDescent="0.25">
      <c r="N6347" s="3"/>
      <c r="AW6347" s="7"/>
      <c r="AX6347" s="7"/>
    </row>
    <row r="6348" spans="14:50" x14ac:dyDescent="0.25">
      <c r="N6348" s="3"/>
      <c r="AW6348" s="7"/>
      <c r="AX6348" s="7"/>
    </row>
    <row r="6349" spans="14:50" x14ac:dyDescent="0.25">
      <c r="N6349" s="3"/>
      <c r="AW6349" s="7"/>
      <c r="AX6349" s="7"/>
    </row>
    <row r="6350" spans="14:50" x14ac:dyDescent="0.25">
      <c r="N6350" s="3"/>
      <c r="AW6350" s="7"/>
      <c r="AX6350" s="7"/>
    </row>
    <row r="6351" spans="14:50" x14ac:dyDescent="0.25">
      <c r="N6351" s="3"/>
      <c r="AW6351" s="7"/>
      <c r="AX6351" s="7"/>
    </row>
    <row r="6352" spans="14:50" x14ac:dyDescent="0.25">
      <c r="N6352" s="3"/>
      <c r="AW6352" s="7"/>
      <c r="AX6352" s="7"/>
    </row>
    <row r="6353" spans="14:50" x14ac:dyDescent="0.25">
      <c r="N6353" s="3"/>
      <c r="AW6353" s="7"/>
      <c r="AX6353" s="7"/>
    </row>
    <row r="6354" spans="14:50" x14ac:dyDescent="0.25">
      <c r="N6354" s="3"/>
      <c r="AW6354" s="7"/>
      <c r="AX6354" s="7"/>
    </row>
    <row r="6355" spans="14:50" x14ac:dyDescent="0.25">
      <c r="N6355" s="3"/>
      <c r="AW6355" s="7"/>
      <c r="AX6355" s="7"/>
    </row>
    <row r="6356" spans="14:50" x14ac:dyDescent="0.25">
      <c r="N6356" s="3"/>
      <c r="AW6356" s="7"/>
      <c r="AX6356" s="7"/>
    </row>
    <row r="6357" spans="14:50" x14ac:dyDescent="0.25">
      <c r="N6357" s="3"/>
      <c r="AW6357" s="7"/>
      <c r="AX6357" s="7"/>
    </row>
    <row r="6358" spans="14:50" x14ac:dyDescent="0.25">
      <c r="N6358" s="3"/>
      <c r="AW6358" s="7"/>
      <c r="AX6358" s="7"/>
    </row>
    <row r="6359" spans="14:50" x14ac:dyDescent="0.25">
      <c r="N6359" s="3"/>
      <c r="AW6359" s="7"/>
      <c r="AX6359" s="7"/>
    </row>
    <row r="6360" spans="14:50" x14ac:dyDescent="0.25">
      <c r="N6360" s="3"/>
      <c r="AW6360" s="7"/>
      <c r="AX6360" s="7"/>
    </row>
    <row r="6361" spans="14:50" x14ac:dyDescent="0.25">
      <c r="N6361" s="3"/>
      <c r="AW6361" s="7"/>
      <c r="AX6361" s="7"/>
    </row>
    <row r="6362" spans="14:50" x14ac:dyDescent="0.25">
      <c r="N6362" s="3"/>
      <c r="AW6362" s="7"/>
      <c r="AX6362" s="7"/>
    </row>
    <row r="6363" spans="14:50" x14ac:dyDescent="0.25">
      <c r="N6363" s="3"/>
      <c r="AW6363" s="7"/>
      <c r="AX6363" s="7"/>
    </row>
    <row r="6364" spans="14:50" x14ac:dyDescent="0.25">
      <c r="N6364" s="3"/>
      <c r="AW6364" s="7"/>
      <c r="AX6364" s="7"/>
    </row>
    <row r="6365" spans="14:50" x14ac:dyDescent="0.25">
      <c r="N6365" s="3"/>
      <c r="AW6365" s="7"/>
      <c r="AX6365" s="7"/>
    </row>
    <row r="6366" spans="14:50" x14ac:dyDescent="0.25">
      <c r="N6366" s="3"/>
      <c r="AW6366" s="7"/>
      <c r="AX6366" s="7"/>
    </row>
    <row r="6367" spans="14:50" x14ac:dyDescent="0.25">
      <c r="N6367" s="3"/>
      <c r="AW6367" s="7"/>
      <c r="AX6367" s="7"/>
    </row>
    <row r="6368" spans="14:50" x14ac:dyDescent="0.25">
      <c r="N6368" s="3"/>
      <c r="AW6368" s="7"/>
      <c r="AX6368" s="7"/>
    </row>
    <row r="6369" spans="14:50" x14ac:dyDescent="0.25">
      <c r="N6369" s="3"/>
      <c r="AW6369" s="7"/>
      <c r="AX6369" s="7"/>
    </row>
    <row r="6370" spans="14:50" x14ac:dyDescent="0.25">
      <c r="N6370" s="3"/>
      <c r="AW6370" s="7"/>
      <c r="AX6370" s="7"/>
    </row>
    <row r="6371" spans="14:50" x14ac:dyDescent="0.25">
      <c r="N6371" s="3"/>
      <c r="AW6371" s="7"/>
      <c r="AX6371" s="7"/>
    </row>
    <row r="6372" spans="14:50" x14ac:dyDescent="0.25">
      <c r="N6372" s="3"/>
      <c r="AW6372" s="7"/>
      <c r="AX6372" s="7"/>
    </row>
    <row r="6373" spans="14:50" x14ac:dyDescent="0.25">
      <c r="N6373" s="3"/>
      <c r="AW6373" s="7"/>
      <c r="AX6373" s="7"/>
    </row>
    <row r="6374" spans="14:50" x14ac:dyDescent="0.25">
      <c r="N6374" s="3"/>
      <c r="AW6374" s="7"/>
      <c r="AX6374" s="7"/>
    </row>
    <row r="6375" spans="14:50" x14ac:dyDescent="0.25">
      <c r="N6375" s="3"/>
      <c r="AW6375" s="7"/>
      <c r="AX6375" s="7"/>
    </row>
    <row r="6376" spans="14:50" x14ac:dyDescent="0.25">
      <c r="N6376" s="3"/>
      <c r="AW6376" s="7"/>
      <c r="AX6376" s="7"/>
    </row>
    <row r="6377" spans="14:50" x14ac:dyDescent="0.25">
      <c r="N6377" s="3"/>
      <c r="AW6377" s="7"/>
      <c r="AX6377" s="7"/>
    </row>
    <row r="6378" spans="14:50" x14ac:dyDescent="0.25">
      <c r="N6378" s="3"/>
      <c r="AW6378" s="7"/>
      <c r="AX6378" s="7"/>
    </row>
    <row r="6379" spans="14:50" x14ac:dyDescent="0.25">
      <c r="N6379" s="3"/>
      <c r="AW6379" s="7"/>
      <c r="AX6379" s="7"/>
    </row>
    <row r="6380" spans="14:50" x14ac:dyDescent="0.25">
      <c r="N6380" s="3"/>
      <c r="AW6380" s="7"/>
      <c r="AX6380" s="7"/>
    </row>
    <row r="6381" spans="14:50" x14ac:dyDescent="0.25">
      <c r="N6381" s="3"/>
      <c r="AW6381" s="7"/>
      <c r="AX6381" s="7"/>
    </row>
    <row r="6382" spans="14:50" x14ac:dyDescent="0.25">
      <c r="N6382" s="3"/>
      <c r="AW6382" s="7"/>
      <c r="AX6382" s="7"/>
    </row>
    <row r="6383" spans="14:50" x14ac:dyDescent="0.25">
      <c r="N6383" s="3"/>
      <c r="AW6383" s="7"/>
      <c r="AX6383" s="7"/>
    </row>
    <row r="6384" spans="14:50" x14ac:dyDescent="0.25">
      <c r="N6384" s="3"/>
      <c r="AW6384" s="7"/>
      <c r="AX6384" s="7"/>
    </row>
    <row r="6385" spans="14:50" x14ac:dyDescent="0.25">
      <c r="N6385" s="3"/>
      <c r="AW6385" s="7"/>
      <c r="AX6385" s="7"/>
    </row>
    <row r="6386" spans="14:50" x14ac:dyDescent="0.25">
      <c r="N6386" s="3"/>
      <c r="AW6386" s="7"/>
      <c r="AX6386" s="7"/>
    </row>
    <row r="6387" spans="14:50" x14ac:dyDescent="0.25">
      <c r="N6387" s="3"/>
      <c r="AW6387" s="7"/>
      <c r="AX6387" s="7"/>
    </row>
    <row r="6388" spans="14:50" x14ac:dyDescent="0.25">
      <c r="N6388" s="3"/>
      <c r="AW6388" s="7"/>
      <c r="AX6388" s="7"/>
    </row>
    <row r="6389" spans="14:50" x14ac:dyDescent="0.25">
      <c r="N6389" s="3"/>
      <c r="AW6389" s="7"/>
      <c r="AX6389" s="7"/>
    </row>
    <row r="6390" spans="14:50" x14ac:dyDescent="0.25">
      <c r="N6390" s="3"/>
      <c r="AW6390" s="7"/>
      <c r="AX6390" s="7"/>
    </row>
    <row r="6391" spans="14:50" x14ac:dyDescent="0.25">
      <c r="N6391" s="3"/>
      <c r="AW6391" s="7"/>
      <c r="AX6391" s="7"/>
    </row>
    <row r="6392" spans="14:50" x14ac:dyDescent="0.25">
      <c r="N6392" s="3"/>
      <c r="AW6392" s="7"/>
      <c r="AX6392" s="7"/>
    </row>
    <row r="6393" spans="14:50" x14ac:dyDescent="0.25">
      <c r="N6393" s="3"/>
      <c r="AW6393" s="7"/>
      <c r="AX6393" s="7"/>
    </row>
    <row r="6394" spans="14:50" x14ac:dyDescent="0.25">
      <c r="N6394" s="3"/>
      <c r="AW6394" s="7"/>
      <c r="AX6394" s="7"/>
    </row>
    <row r="6395" spans="14:50" x14ac:dyDescent="0.25">
      <c r="N6395" s="3"/>
      <c r="AW6395" s="7"/>
      <c r="AX6395" s="7"/>
    </row>
    <row r="6396" spans="14:50" x14ac:dyDescent="0.25">
      <c r="N6396" s="3"/>
      <c r="AW6396" s="7"/>
      <c r="AX6396" s="7"/>
    </row>
    <row r="6397" spans="14:50" x14ac:dyDescent="0.25">
      <c r="N6397" s="3"/>
      <c r="AW6397" s="7"/>
      <c r="AX6397" s="7"/>
    </row>
    <row r="6398" spans="14:50" x14ac:dyDescent="0.25">
      <c r="N6398" s="3"/>
      <c r="AW6398" s="7"/>
      <c r="AX6398" s="7"/>
    </row>
    <row r="6399" spans="14:50" x14ac:dyDescent="0.25">
      <c r="N6399" s="3"/>
      <c r="AW6399" s="7"/>
      <c r="AX6399" s="7"/>
    </row>
    <row r="6400" spans="14:50" x14ac:dyDescent="0.25">
      <c r="N6400" s="3"/>
      <c r="AW6400" s="7"/>
      <c r="AX6400" s="7"/>
    </row>
    <row r="6401" spans="14:50" x14ac:dyDescent="0.25">
      <c r="N6401" s="3"/>
      <c r="AW6401" s="7"/>
      <c r="AX6401" s="7"/>
    </row>
    <row r="6402" spans="14:50" x14ac:dyDescent="0.25">
      <c r="N6402" s="3"/>
      <c r="AW6402" s="7"/>
      <c r="AX6402" s="7"/>
    </row>
    <row r="6403" spans="14:50" x14ac:dyDescent="0.25">
      <c r="N6403" s="3"/>
      <c r="AW6403" s="7"/>
      <c r="AX6403" s="7"/>
    </row>
    <row r="6404" spans="14:50" x14ac:dyDescent="0.25">
      <c r="N6404" s="3"/>
      <c r="AW6404" s="7"/>
      <c r="AX6404" s="7"/>
    </row>
    <row r="6405" spans="14:50" x14ac:dyDescent="0.25">
      <c r="N6405" s="3"/>
      <c r="AW6405" s="7"/>
      <c r="AX6405" s="7"/>
    </row>
    <row r="6406" spans="14:50" x14ac:dyDescent="0.25">
      <c r="N6406" s="3"/>
      <c r="AW6406" s="7"/>
      <c r="AX6406" s="7"/>
    </row>
    <row r="6407" spans="14:50" x14ac:dyDescent="0.25">
      <c r="N6407" s="3"/>
      <c r="AW6407" s="7"/>
      <c r="AX6407" s="7"/>
    </row>
    <row r="6408" spans="14:50" x14ac:dyDescent="0.25">
      <c r="N6408" s="3"/>
      <c r="AW6408" s="7"/>
      <c r="AX6408" s="7"/>
    </row>
    <row r="6409" spans="14:50" x14ac:dyDescent="0.25">
      <c r="N6409" s="3"/>
      <c r="AW6409" s="7"/>
      <c r="AX6409" s="7"/>
    </row>
    <row r="6410" spans="14:50" x14ac:dyDescent="0.25">
      <c r="N6410" s="3"/>
      <c r="AW6410" s="7"/>
      <c r="AX6410" s="7"/>
    </row>
    <row r="6411" spans="14:50" x14ac:dyDescent="0.25">
      <c r="N6411" s="3"/>
      <c r="AW6411" s="7"/>
      <c r="AX6411" s="7"/>
    </row>
    <row r="6412" spans="14:50" x14ac:dyDescent="0.25">
      <c r="N6412" s="3"/>
      <c r="AW6412" s="7"/>
      <c r="AX6412" s="7"/>
    </row>
    <row r="6413" spans="14:50" x14ac:dyDescent="0.25">
      <c r="N6413" s="3"/>
      <c r="AW6413" s="7"/>
      <c r="AX6413" s="7"/>
    </row>
    <row r="6414" spans="14:50" x14ac:dyDescent="0.25">
      <c r="N6414" s="3"/>
      <c r="AW6414" s="7"/>
      <c r="AX6414" s="7"/>
    </row>
    <row r="6415" spans="14:50" x14ac:dyDescent="0.25">
      <c r="N6415" s="3"/>
      <c r="AW6415" s="7"/>
      <c r="AX6415" s="7"/>
    </row>
    <row r="6416" spans="14:50" x14ac:dyDescent="0.25">
      <c r="N6416" s="3"/>
      <c r="AW6416" s="7"/>
      <c r="AX6416" s="7"/>
    </row>
    <row r="6417" spans="14:50" x14ac:dyDescent="0.25">
      <c r="N6417" s="3"/>
      <c r="AW6417" s="7"/>
      <c r="AX6417" s="7"/>
    </row>
    <row r="6418" spans="14:50" x14ac:dyDescent="0.25">
      <c r="N6418" s="3"/>
      <c r="AW6418" s="7"/>
      <c r="AX6418" s="7"/>
    </row>
    <row r="6419" spans="14:50" x14ac:dyDescent="0.25">
      <c r="N6419" s="3"/>
      <c r="AW6419" s="7"/>
      <c r="AX6419" s="7"/>
    </row>
    <row r="6420" spans="14:50" x14ac:dyDescent="0.25">
      <c r="N6420" s="3"/>
      <c r="AW6420" s="7"/>
      <c r="AX6420" s="7"/>
    </row>
    <row r="6421" spans="14:50" x14ac:dyDescent="0.25">
      <c r="N6421" s="3"/>
      <c r="AW6421" s="7"/>
      <c r="AX6421" s="7"/>
    </row>
    <row r="6422" spans="14:50" x14ac:dyDescent="0.25">
      <c r="N6422" s="3"/>
      <c r="AW6422" s="7"/>
      <c r="AX6422" s="7"/>
    </row>
    <row r="6423" spans="14:50" x14ac:dyDescent="0.25">
      <c r="N6423" s="3"/>
      <c r="AW6423" s="7"/>
      <c r="AX6423" s="7"/>
    </row>
    <row r="6424" spans="14:50" x14ac:dyDescent="0.25">
      <c r="N6424" s="3"/>
      <c r="AW6424" s="7"/>
      <c r="AX6424" s="7"/>
    </row>
    <row r="6425" spans="14:50" x14ac:dyDescent="0.25">
      <c r="N6425" s="3"/>
      <c r="AW6425" s="7"/>
      <c r="AX6425" s="7"/>
    </row>
    <row r="6426" spans="14:50" x14ac:dyDescent="0.25">
      <c r="N6426" s="3"/>
      <c r="AW6426" s="7"/>
      <c r="AX6426" s="7"/>
    </row>
    <row r="6427" spans="14:50" x14ac:dyDescent="0.25">
      <c r="N6427" s="3"/>
      <c r="AW6427" s="7"/>
      <c r="AX6427" s="7"/>
    </row>
    <row r="6428" spans="14:50" x14ac:dyDescent="0.25">
      <c r="N6428" s="3"/>
      <c r="AW6428" s="7"/>
      <c r="AX6428" s="7"/>
    </row>
    <row r="6429" spans="14:50" x14ac:dyDescent="0.25">
      <c r="N6429" s="3"/>
      <c r="AW6429" s="7"/>
      <c r="AX6429" s="7"/>
    </row>
    <row r="6430" spans="14:50" x14ac:dyDescent="0.25">
      <c r="N6430" s="3"/>
      <c r="AW6430" s="7"/>
      <c r="AX6430" s="7"/>
    </row>
    <row r="6431" spans="14:50" x14ac:dyDescent="0.25">
      <c r="N6431" s="3"/>
      <c r="AW6431" s="7"/>
      <c r="AX6431" s="7"/>
    </row>
    <row r="6432" spans="14:50" x14ac:dyDescent="0.25">
      <c r="N6432" s="3"/>
      <c r="AW6432" s="7"/>
      <c r="AX6432" s="7"/>
    </row>
    <row r="6433" spans="14:50" x14ac:dyDescent="0.25">
      <c r="N6433" s="3"/>
      <c r="AW6433" s="7"/>
      <c r="AX6433" s="7"/>
    </row>
    <row r="6434" spans="14:50" x14ac:dyDescent="0.25">
      <c r="N6434" s="3"/>
      <c r="AW6434" s="7"/>
      <c r="AX6434" s="7"/>
    </row>
    <row r="6435" spans="14:50" x14ac:dyDescent="0.25">
      <c r="N6435" s="3"/>
      <c r="AW6435" s="7"/>
      <c r="AX6435" s="7"/>
    </row>
    <row r="6436" spans="14:50" x14ac:dyDescent="0.25">
      <c r="N6436" s="3"/>
      <c r="AW6436" s="7"/>
      <c r="AX6436" s="7"/>
    </row>
    <row r="6437" spans="14:50" x14ac:dyDescent="0.25">
      <c r="N6437" s="3"/>
      <c r="AW6437" s="7"/>
      <c r="AX6437" s="7"/>
    </row>
    <row r="6438" spans="14:50" x14ac:dyDescent="0.25">
      <c r="N6438" s="3"/>
      <c r="AW6438" s="7"/>
      <c r="AX6438" s="7"/>
    </row>
    <row r="6439" spans="14:50" x14ac:dyDescent="0.25">
      <c r="N6439" s="3"/>
      <c r="AW6439" s="7"/>
      <c r="AX6439" s="7"/>
    </row>
    <row r="6440" spans="14:50" x14ac:dyDescent="0.25">
      <c r="N6440" s="3"/>
      <c r="AW6440" s="7"/>
      <c r="AX6440" s="7"/>
    </row>
    <row r="6441" spans="14:50" x14ac:dyDescent="0.25">
      <c r="N6441" s="3"/>
      <c r="AW6441" s="7"/>
      <c r="AX6441" s="7"/>
    </row>
    <row r="6442" spans="14:50" x14ac:dyDescent="0.25">
      <c r="N6442" s="3"/>
      <c r="AW6442" s="7"/>
      <c r="AX6442" s="7"/>
    </row>
    <row r="6443" spans="14:50" x14ac:dyDescent="0.25">
      <c r="N6443" s="3"/>
      <c r="AW6443" s="7"/>
      <c r="AX6443" s="7"/>
    </row>
    <row r="6444" spans="14:50" x14ac:dyDescent="0.25">
      <c r="N6444" s="3"/>
      <c r="AW6444" s="7"/>
      <c r="AX6444" s="7"/>
    </row>
    <row r="6445" spans="14:50" x14ac:dyDescent="0.25">
      <c r="N6445" s="3"/>
      <c r="AW6445" s="7"/>
      <c r="AX6445" s="7"/>
    </row>
    <row r="6446" spans="14:50" x14ac:dyDescent="0.25">
      <c r="N6446" s="3"/>
      <c r="AW6446" s="7"/>
      <c r="AX6446" s="7"/>
    </row>
    <row r="6447" spans="14:50" x14ac:dyDescent="0.25">
      <c r="N6447" s="3"/>
      <c r="AW6447" s="7"/>
      <c r="AX6447" s="7"/>
    </row>
    <row r="6448" spans="14:50" x14ac:dyDescent="0.25">
      <c r="N6448" s="3"/>
      <c r="AW6448" s="7"/>
      <c r="AX6448" s="7"/>
    </row>
    <row r="6449" spans="14:50" x14ac:dyDescent="0.25">
      <c r="N6449" s="3"/>
      <c r="AW6449" s="7"/>
      <c r="AX6449" s="7"/>
    </row>
    <row r="6450" spans="14:50" x14ac:dyDescent="0.25">
      <c r="N6450" s="3"/>
      <c r="AW6450" s="7"/>
      <c r="AX6450" s="7"/>
    </row>
    <row r="6451" spans="14:50" x14ac:dyDescent="0.25">
      <c r="N6451" s="3"/>
      <c r="AW6451" s="7"/>
      <c r="AX6451" s="7"/>
    </row>
    <row r="6452" spans="14:50" x14ac:dyDescent="0.25">
      <c r="N6452" s="3"/>
      <c r="AW6452" s="7"/>
      <c r="AX6452" s="7"/>
    </row>
    <row r="6453" spans="14:50" x14ac:dyDescent="0.25">
      <c r="N6453" s="3"/>
      <c r="AW6453" s="7"/>
      <c r="AX6453" s="7"/>
    </row>
    <row r="6454" spans="14:50" x14ac:dyDescent="0.25">
      <c r="N6454" s="3"/>
      <c r="AW6454" s="7"/>
      <c r="AX6454" s="7"/>
    </row>
    <row r="6455" spans="14:50" x14ac:dyDescent="0.25">
      <c r="N6455" s="3"/>
      <c r="AW6455" s="7"/>
      <c r="AX6455" s="7"/>
    </row>
    <row r="6456" spans="14:50" x14ac:dyDescent="0.25">
      <c r="N6456" s="3"/>
      <c r="AW6456" s="7"/>
      <c r="AX6456" s="7"/>
    </row>
    <row r="6457" spans="14:50" x14ac:dyDescent="0.25">
      <c r="N6457" s="3"/>
      <c r="AW6457" s="7"/>
      <c r="AX6457" s="7"/>
    </row>
    <row r="6458" spans="14:50" x14ac:dyDescent="0.25">
      <c r="N6458" s="3"/>
      <c r="AW6458" s="7"/>
      <c r="AX6458" s="7"/>
    </row>
    <row r="6459" spans="14:50" x14ac:dyDescent="0.25">
      <c r="N6459" s="3"/>
      <c r="AW6459" s="7"/>
      <c r="AX6459" s="7"/>
    </row>
    <row r="6460" spans="14:50" x14ac:dyDescent="0.25">
      <c r="N6460" s="3"/>
      <c r="AW6460" s="7"/>
      <c r="AX6460" s="7"/>
    </row>
    <row r="6461" spans="14:50" x14ac:dyDescent="0.25">
      <c r="N6461" s="3"/>
      <c r="AW6461" s="7"/>
      <c r="AX6461" s="7"/>
    </row>
    <row r="6462" spans="14:50" x14ac:dyDescent="0.25">
      <c r="N6462" s="3"/>
      <c r="AW6462" s="7"/>
      <c r="AX6462" s="7"/>
    </row>
    <row r="6463" spans="14:50" x14ac:dyDescent="0.25">
      <c r="N6463" s="3"/>
      <c r="AW6463" s="7"/>
      <c r="AX6463" s="7"/>
    </row>
    <row r="6464" spans="14:50" x14ac:dyDescent="0.25">
      <c r="N6464" s="3"/>
      <c r="AW6464" s="7"/>
      <c r="AX6464" s="7"/>
    </row>
    <row r="6465" spans="14:50" x14ac:dyDescent="0.25">
      <c r="N6465" s="3"/>
      <c r="AW6465" s="7"/>
      <c r="AX6465" s="7"/>
    </row>
    <row r="6466" spans="14:50" x14ac:dyDescent="0.25">
      <c r="N6466" s="3"/>
      <c r="AW6466" s="7"/>
      <c r="AX6466" s="7"/>
    </row>
    <row r="6467" spans="14:50" x14ac:dyDescent="0.25">
      <c r="N6467" s="3"/>
      <c r="AW6467" s="7"/>
      <c r="AX6467" s="7"/>
    </row>
    <row r="6468" spans="14:50" x14ac:dyDescent="0.25">
      <c r="N6468" s="3"/>
      <c r="AW6468" s="7"/>
      <c r="AX6468" s="7"/>
    </row>
    <row r="6469" spans="14:50" x14ac:dyDescent="0.25">
      <c r="N6469" s="3"/>
      <c r="AW6469" s="7"/>
      <c r="AX6469" s="7"/>
    </row>
    <row r="6470" spans="14:50" x14ac:dyDescent="0.25">
      <c r="N6470" s="3"/>
      <c r="AW6470" s="7"/>
      <c r="AX6470" s="7"/>
    </row>
    <row r="6471" spans="14:50" x14ac:dyDescent="0.25">
      <c r="N6471" s="3"/>
      <c r="AW6471" s="7"/>
      <c r="AX6471" s="7"/>
    </row>
    <row r="6472" spans="14:50" x14ac:dyDescent="0.25">
      <c r="N6472" s="3"/>
      <c r="AW6472" s="7"/>
      <c r="AX6472" s="7"/>
    </row>
    <row r="6473" spans="14:50" x14ac:dyDescent="0.25">
      <c r="N6473" s="3"/>
      <c r="AW6473" s="7"/>
      <c r="AX6473" s="7"/>
    </row>
    <row r="6474" spans="14:50" x14ac:dyDescent="0.25">
      <c r="N6474" s="3"/>
      <c r="AW6474" s="7"/>
      <c r="AX6474" s="7"/>
    </row>
    <row r="6475" spans="14:50" x14ac:dyDescent="0.25">
      <c r="N6475" s="3"/>
      <c r="AW6475" s="7"/>
      <c r="AX6475" s="7"/>
    </row>
    <row r="6476" spans="14:50" x14ac:dyDescent="0.25">
      <c r="N6476" s="3"/>
      <c r="AW6476" s="7"/>
      <c r="AX6476" s="7"/>
    </row>
    <row r="6477" spans="14:50" x14ac:dyDescent="0.25">
      <c r="N6477" s="3"/>
      <c r="AW6477" s="7"/>
      <c r="AX6477" s="7"/>
    </row>
    <row r="6478" spans="14:50" x14ac:dyDescent="0.25">
      <c r="N6478" s="3"/>
      <c r="AW6478" s="7"/>
      <c r="AX6478" s="7"/>
    </row>
    <row r="6479" spans="14:50" x14ac:dyDescent="0.25">
      <c r="N6479" s="3"/>
      <c r="AW6479" s="7"/>
      <c r="AX6479" s="7"/>
    </row>
    <row r="6480" spans="14:50" x14ac:dyDescent="0.25">
      <c r="N6480" s="3"/>
      <c r="AW6480" s="7"/>
      <c r="AX6480" s="7"/>
    </row>
    <row r="6481" spans="14:50" x14ac:dyDescent="0.25">
      <c r="N6481" s="3"/>
      <c r="AW6481" s="7"/>
      <c r="AX6481" s="7"/>
    </row>
    <row r="6482" spans="14:50" x14ac:dyDescent="0.25">
      <c r="N6482" s="3"/>
      <c r="AW6482" s="7"/>
      <c r="AX6482" s="7"/>
    </row>
    <row r="6483" spans="14:50" x14ac:dyDescent="0.25">
      <c r="N6483" s="3"/>
      <c r="AW6483" s="7"/>
      <c r="AX6483" s="7"/>
    </row>
    <row r="6484" spans="14:50" x14ac:dyDescent="0.25">
      <c r="N6484" s="3"/>
      <c r="AW6484" s="7"/>
      <c r="AX6484" s="7"/>
    </row>
    <row r="6485" spans="14:50" x14ac:dyDescent="0.25">
      <c r="N6485" s="3"/>
      <c r="AW6485" s="7"/>
      <c r="AX6485" s="7"/>
    </row>
    <row r="6486" spans="14:50" x14ac:dyDescent="0.25">
      <c r="N6486" s="3"/>
      <c r="AW6486" s="7"/>
      <c r="AX6486" s="7"/>
    </row>
    <row r="6487" spans="14:50" x14ac:dyDescent="0.25">
      <c r="N6487" s="3"/>
      <c r="AW6487" s="7"/>
      <c r="AX6487" s="7"/>
    </row>
    <row r="6488" spans="14:50" x14ac:dyDescent="0.25">
      <c r="N6488" s="3"/>
      <c r="AW6488" s="7"/>
      <c r="AX6488" s="7"/>
    </row>
    <row r="6489" spans="14:50" x14ac:dyDescent="0.25">
      <c r="N6489" s="3"/>
      <c r="AW6489" s="7"/>
      <c r="AX6489" s="7"/>
    </row>
    <row r="6490" spans="14:50" x14ac:dyDescent="0.25">
      <c r="N6490" s="3"/>
      <c r="AW6490" s="7"/>
      <c r="AX6490" s="7"/>
    </row>
    <row r="6491" spans="14:50" x14ac:dyDescent="0.25">
      <c r="N6491" s="3"/>
      <c r="AW6491" s="7"/>
      <c r="AX6491" s="7"/>
    </row>
    <row r="6492" spans="14:50" x14ac:dyDescent="0.25">
      <c r="N6492" s="3"/>
      <c r="AW6492" s="7"/>
      <c r="AX6492" s="7"/>
    </row>
    <row r="6493" spans="14:50" x14ac:dyDescent="0.25">
      <c r="N6493" s="3"/>
      <c r="AW6493" s="7"/>
      <c r="AX6493" s="7"/>
    </row>
    <row r="6494" spans="14:50" x14ac:dyDescent="0.25">
      <c r="N6494" s="3"/>
      <c r="AW6494" s="7"/>
      <c r="AX6494" s="7"/>
    </row>
    <row r="6495" spans="14:50" x14ac:dyDescent="0.25">
      <c r="N6495" s="3"/>
      <c r="AW6495" s="7"/>
      <c r="AX6495" s="7"/>
    </row>
    <row r="6496" spans="14:50" x14ac:dyDescent="0.25">
      <c r="N6496" s="3"/>
      <c r="AW6496" s="7"/>
      <c r="AX6496" s="7"/>
    </row>
    <row r="6497" spans="14:50" x14ac:dyDescent="0.25">
      <c r="N6497" s="3"/>
      <c r="AW6497" s="7"/>
      <c r="AX6497" s="7"/>
    </row>
    <row r="6498" spans="14:50" x14ac:dyDescent="0.25">
      <c r="N6498" s="3"/>
      <c r="AW6498" s="7"/>
      <c r="AX6498" s="7"/>
    </row>
    <row r="6499" spans="14:50" x14ac:dyDescent="0.25">
      <c r="N6499" s="3"/>
      <c r="AW6499" s="7"/>
      <c r="AX6499" s="7"/>
    </row>
    <row r="6500" spans="14:50" x14ac:dyDescent="0.25">
      <c r="N6500" s="3"/>
      <c r="AW6500" s="7"/>
      <c r="AX6500" s="7"/>
    </row>
    <row r="6501" spans="14:50" x14ac:dyDescent="0.25">
      <c r="N6501" s="3"/>
      <c r="AW6501" s="7"/>
      <c r="AX6501" s="7"/>
    </row>
    <row r="6502" spans="14:50" x14ac:dyDescent="0.25">
      <c r="N6502" s="3"/>
      <c r="AW6502" s="7"/>
      <c r="AX6502" s="7"/>
    </row>
    <row r="6503" spans="14:50" x14ac:dyDescent="0.25">
      <c r="N6503" s="3"/>
      <c r="AW6503" s="7"/>
      <c r="AX6503" s="7"/>
    </row>
    <row r="6504" spans="14:50" x14ac:dyDescent="0.25">
      <c r="N6504" s="3"/>
      <c r="AW6504" s="7"/>
      <c r="AX6504" s="7"/>
    </row>
    <row r="6505" spans="14:50" x14ac:dyDescent="0.25">
      <c r="N6505" s="3"/>
      <c r="AW6505" s="7"/>
      <c r="AX6505" s="7"/>
    </row>
    <row r="6506" spans="14:50" x14ac:dyDescent="0.25">
      <c r="N6506" s="3"/>
      <c r="AW6506" s="7"/>
      <c r="AX6506" s="7"/>
    </row>
    <row r="6507" spans="14:50" x14ac:dyDescent="0.25">
      <c r="N6507" s="3"/>
      <c r="AW6507" s="7"/>
      <c r="AX6507" s="7"/>
    </row>
    <row r="6508" spans="14:50" x14ac:dyDescent="0.25">
      <c r="N6508" s="3"/>
      <c r="AW6508" s="7"/>
      <c r="AX6508" s="7"/>
    </row>
    <row r="6509" spans="14:50" x14ac:dyDescent="0.25">
      <c r="N6509" s="3"/>
      <c r="AW6509" s="7"/>
      <c r="AX6509" s="7"/>
    </row>
    <row r="6510" spans="14:50" x14ac:dyDescent="0.25">
      <c r="N6510" s="3"/>
      <c r="AW6510" s="7"/>
      <c r="AX6510" s="7"/>
    </row>
    <row r="6511" spans="14:50" x14ac:dyDescent="0.25">
      <c r="N6511" s="3"/>
      <c r="AW6511" s="7"/>
      <c r="AX6511" s="7"/>
    </row>
    <row r="6512" spans="14:50" x14ac:dyDescent="0.25">
      <c r="N6512" s="3"/>
      <c r="AW6512" s="7"/>
      <c r="AX6512" s="7"/>
    </row>
    <row r="6513" spans="14:50" x14ac:dyDescent="0.25">
      <c r="N6513" s="3"/>
      <c r="AW6513" s="7"/>
      <c r="AX6513" s="7"/>
    </row>
    <row r="6514" spans="14:50" x14ac:dyDescent="0.25">
      <c r="N6514" s="3"/>
      <c r="AW6514" s="7"/>
      <c r="AX6514" s="7"/>
    </row>
    <row r="6515" spans="14:50" x14ac:dyDescent="0.25">
      <c r="N6515" s="3"/>
      <c r="AW6515" s="7"/>
      <c r="AX6515" s="7"/>
    </row>
    <row r="6516" spans="14:50" x14ac:dyDescent="0.25">
      <c r="N6516" s="3"/>
      <c r="AW6516" s="7"/>
      <c r="AX6516" s="7"/>
    </row>
    <row r="6517" spans="14:50" x14ac:dyDescent="0.25">
      <c r="N6517" s="3"/>
      <c r="AW6517" s="7"/>
      <c r="AX6517" s="7"/>
    </row>
    <row r="6518" spans="14:50" x14ac:dyDescent="0.25">
      <c r="N6518" s="3"/>
      <c r="AW6518" s="7"/>
      <c r="AX6518" s="7"/>
    </row>
    <row r="6519" spans="14:50" x14ac:dyDescent="0.25">
      <c r="N6519" s="3"/>
      <c r="AW6519" s="7"/>
      <c r="AX6519" s="7"/>
    </row>
    <row r="6520" spans="14:50" x14ac:dyDescent="0.25">
      <c r="N6520" s="3"/>
      <c r="AW6520" s="7"/>
      <c r="AX6520" s="7"/>
    </row>
    <row r="6521" spans="14:50" x14ac:dyDescent="0.25">
      <c r="N6521" s="3"/>
      <c r="AW6521" s="7"/>
      <c r="AX6521" s="7"/>
    </row>
    <row r="6522" spans="14:50" x14ac:dyDescent="0.25">
      <c r="N6522" s="3"/>
      <c r="AW6522" s="7"/>
      <c r="AX6522" s="7"/>
    </row>
    <row r="6523" spans="14:50" x14ac:dyDescent="0.25">
      <c r="N6523" s="3"/>
      <c r="AW6523" s="7"/>
      <c r="AX6523" s="7"/>
    </row>
    <row r="6524" spans="14:50" x14ac:dyDescent="0.25">
      <c r="N6524" s="3"/>
      <c r="AW6524" s="7"/>
      <c r="AX6524" s="7"/>
    </row>
    <row r="6525" spans="14:50" x14ac:dyDescent="0.25">
      <c r="N6525" s="3"/>
      <c r="AW6525" s="7"/>
      <c r="AX6525" s="7"/>
    </row>
    <row r="6526" spans="14:50" x14ac:dyDescent="0.25">
      <c r="N6526" s="3"/>
      <c r="AW6526" s="7"/>
      <c r="AX6526" s="7"/>
    </row>
    <row r="6527" spans="14:50" x14ac:dyDescent="0.25">
      <c r="N6527" s="3"/>
      <c r="AW6527" s="7"/>
      <c r="AX6527" s="7"/>
    </row>
    <row r="6528" spans="14:50" x14ac:dyDescent="0.25">
      <c r="N6528" s="3"/>
      <c r="AW6528" s="7"/>
      <c r="AX6528" s="7"/>
    </row>
    <row r="6529" spans="14:50" x14ac:dyDescent="0.25">
      <c r="N6529" s="3"/>
      <c r="AW6529" s="7"/>
      <c r="AX6529" s="7"/>
    </row>
    <row r="6530" spans="14:50" x14ac:dyDescent="0.25">
      <c r="N6530" s="3"/>
      <c r="AW6530" s="7"/>
      <c r="AX6530" s="7"/>
    </row>
    <row r="6531" spans="14:50" x14ac:dyDescent="0.25">
      <c r="N6531" s="3"/>
      <c r="AW6531" s="7"/>
      <c r="AX6531" s="7"/>
    </row>
    <row r="6532" spans="14:50" x14ac:dyDescent="0.25">
      <c r="N6532" s="3"/>
      <c r="AW6532" s="7"/>
      <c r="AX6532" s="7"/>
    </row>
    <row r="6533" spans="14:50" x14ac:dyDescent="0.25">
      <c r="N6533" s="3"/>
      <c r="AW6533" s="7"/>
      <c r="AX6533" s="7"/>
    </row>
    <row r="6534" spans="14:50" x14ac:dyDescent="0.25">
      <c r="N6534" s="3"/>
      <c r="AW6534" s="7"/>
      <c r="AX6534" s="7"/>
    </row>
    <row r="6535" spans="14:50" x14ac:dyDescent="0.25">
      <c r="N6535" s="3"/>
      <c r="AW6535" s="7"/>
      <c r="AX6535" s="7"/>
    </row>
    <row r="6536" spans="14:50" x14ac:dyDescent="0.25">
      <c r="N6536" s="3"/>
      <c r="AW6536" s="7"/>
      <c r="AX6536" s="7"/>
    </row>
    <row r="6537" spans="14:50" x14ac:dyDescent="0.25">
      <c r="N6537" s="3"/>
      <c r="AW6537" s="7"/>
      <c r="AX6537" s="7"/>
    </row>
    <row r="6538" spans="14:50" x14ac:dyDescent="0.25">
      <c r="N6538" s="3"/>
      <c r="AW6538" s="7"/>
      <c r="AX6538" s="7"/>
    </row>
    <row r="6539" spans="14:50" x14ac:dyDescent="0.25">
      <c r="N6539" s="3"/>
      <c r="AW6539" s="7"/>
      <c r="AX6539" s="7"/>
    </row>
    <row r="6540" spans="14:50" x14ac:dyDescent="0.25">
      <c r="N6540" s="3"/>
      <c r="AW6540" s="7"/>
      <c r="AX6540" s="7"/>
    </row>
    <row r="6541" spans="14:50" x14ac:dyDescent="0.25">
      <c r="N6541" s="3"/>
      <c r="AW6541" s="7"/>
      <c r="AX6541" s="7"/>
    </row>
    <row r="6542" spans="14:50" x14ac:dyDescent="0.25">
      <c r="N6542" s="3"/>
      <c r="AW6542" s="7"/>
      <c r="AX6542" s="7"/>
    </row>
    <row r="6543" spans="14:50" x14ac:dyDescent="0.25">
      <c r="N6543" s="3"/>
      <c r="AW6543" s="7"/>
      <c r="AX6543" s="7"/>
    </row>
    <row r="6544" spans="14:50" x14ac:dyDescent="0.25">
      <c r="N6544" s="3"/>
      <c r="AW6544" s="7"/>
      <c r="AX6544" s="7"/>
    </row>
    <row r="6545" spans="14:50" x14ac:dyDescent="0.25">
      <c r="N6545" s="3"/>
      <c r="AW6545" s="7"/>
      <c r="AX6545" s="7"/>
    </row>
    <row r="6546" spans="14:50" x14ac:dyDescent="0.25">
      <c r="N6546" s="3"/>
      <c r="AW6546" s="7"/>
      <c r="AX6546" s="7"/>
    </row>
    <row r="6547" spans="14:50" x14ac:dyDescent="0.25">
      <c r="N6547" s="3"/>
      <c r="AW6547" s="7"/>
      <c r="AX6547" s="7"/>
    </row>
    <row r="6548" spans="14:50" x14ac:dyDescent="0.25">
      <c r="N6548" s="3"/>
      <c r="AW6548" s="7"/>
      <c r="AX6548" s="7"/>
    </row>
    <row r="6549" spans="14:50" x14ac:dyDescent="0.25">
      <c r="N6549" s="3"/>
      <c r="AW6549" s="7"/>
      <c r="AX6549" s="7"/>
    </row>
    <row r="6550" spans="14:50" x14ac:dyDescent="0.25">
      <c r="N6550" s="3"/>
      <c r="AW6550" s="7"/>
      <c r="AX6550" s="7"/>
    </row>
    <row r="6551" spans="14:50" x14ac:dyDescent="0.25">
      <c r="N6551" s="3"/>
      <c r="AW6551" s="7"/>
      <c r="AX6551" s="7"/>
    </row>
    <row r="6552" spans="14:50" x14ac:dyDescent="0.25">
      <c r="N6552" s="3"/>
      <c r="AW6552" s="7"/>
      <c r="AX6552" s="7"/>
    </row>
    <row r="6553" spans="14:50" x14ac:dyDescent="0.25">
      <c r="N6553" s="3"/>
      <c r="AW6553" s="7"/>
      <c r="AX6553" s="7"/>
    </row>
    <row r="6554" spans="14:50" x14ac:dyDescent="0.25">
      <c r="N6554" s="3"/>
      <c r="AW6554" s="7"/>
      <c r="AX6554" s="7"/>
    </row>
    <row r="6555" spans="14:50" x14ac:dyDescent="0.25">
      <c r="N6555" s="3"/>
      <c r="AW6555" s="7"/>
      <c r="AX6555" s="7"/>
    </row>
    <row r="6556" spans="14:50" x14ac:dyDescent="0.25">
      <c r="N6556" s="3"/>
      <c r="AW6556" s="7"/>
      <c r="AX6556" s="7"/>
    </row>
    <row r="6557" spans="14:50" x14ac:dyDescent="0.25">
      <c r="N6557" s="3"/>
      <c r="AW6557" s="7"/>
      <c r="AX6557" s="7"/>
    </row>
    <row r="6558" spans="14:50" x14ac:dyDescent="0.25">
      <c r="N6558" s="3"/>
      <c r="AW6558" s="7"/>
      <c r="AX6558" s="7"/>
    </row>
    <row r="6559" spans="14:50" x14ac:dyDescent="0.25">
      <c r="N6559" s="3"/>
      <c r="AW6559" s="7"/>
      <c r="AX6559" s="7"/>
    </row>
    <row r="6560" spans="14:50" x14ac:dyDescent="0.25">
      <c r="N6560" s="3"/>
      <c r="AW6560" s="7"/>
      <c r="AX6560" s="7"/>
    </row>
    <row r="6561" spans="14:50" x14ac:dyDescent="0.25">
      <c r="N6561" s="3"/>
      <c r="AW6561" s="7"/>
      <c r="AX6561" s="7"/>
    </row>
    <row r="6562" spans="14:50" x14ac:dyDescent="0.25">
      <c r="N6562" s="3"/>
      <c r="AW6562" s="7"/>
      <c r="AX6562" s="7"/>
    </row>
    <row r="6563" spans="14:50" x14ac:dyDescent="0.25">
      <c r="N6563" s="3"/>
      <c r="AW6563" s="7"/>
      <c r="AX6563" s="7"/>
    </row>
    <row r="6564" spans="14:50" x14ac:dyDescent="0.25">
      <c r="N6564" s="3"/>
      <c r="AW6564" s="7"/>
      <c r="AX6564" s="7"/>
    </row>
    <row r="6565" spans="14:50" x14ac:dyDescent="0.25">
      <c r="N6565" s="3"/>
      <c r="AW6565" s="7"/>
      <c r="AX6565" s="7"/>
    </row>
    <row r="6566" spans="14:50" x14ac:dyDescent="0.25">
      <c r="N6566" s="3"/>
      <c r="AW6566" s="7"/>
      <c r="AX6566" s="7"/>
    </row>
    <row r="6567" spans="14:50" x14ac:dyDescent="0.25">
      <c r="N6567" s="3"/>
      <c r="AW6567" s="7"/>
      <c r="AX6567" s="7"/>
    </row>
    <row r="6568" spans="14:50" x14ac:dyDescent="0.25">
      <c r="N6568" s="3"/>
      <c r="AW6568" s="7"/>
      <c r="AX6568" s="7"/>
    </row>
    <row r="6569" spans="14:50" x14ac:dyDescent="0.25">
      <c r="N6569" s="3"/>
      <c r="AW6569" s="7"/>
      <c r="AX6569" s="7"/>
    </row>
    <row r="6570" spans="14:50" x14ac:dyDescent="0.25">
      <c r="N6570" s="3"/>
      <c r="AW6570" s="7"/>
      <c r="AX6570" s="7"/>
    </row>
    <row r="6571" spans="14:50" x14ac:dyDescent="0.25">
      <c r="N6571" s="3"/>
      <c r="AW6571" s="7"/>
      <c r="AX6571" s="7"/>
    </row>
    <row r="6572" spans="14:50" x14ac:dyDescent="0.25">
      <c r="N6572" s="3"/>
      <c r="AW6572" s="7"/>
      <c r="AX6572" s="7"/>
    </row>
    <row r="6573" spans="14:50" x14ac:dyDescent="0.25">
      <c r="N6573" s="3"/>
      <c r="AW6573" s="7"/>
      <c r="AX6573" s="7"/>
    </row>
    <row r="6574" spans="14:50" x14ac:dyDescent="0.25">
      <c r="N6574" s="3"/>
      <c r="AW6574" s="7"/>
      <c r="AX6574" s="7"/>
    </row>
    <row r="6575" spans="14:50" x14ac:dyDescent="0.25">
      <c r="N6575" s="3"/>
      <c r="AW6575" s="7"/>
      <c r="AX6575" s="7"/>
    </row>
    <row r="6576" spans="14:50" x14ac:dyDescent="0.25">
      <c r="N6576" s="3"/>
      <c r="AW6576" s="7"/>
      <c r="AX6576" s="7"/>
    </row>
    <row r="6577" spans="14:50" x14ac:dyDescent="0.25">
      <c r="N6577" s="3"/>
      <c r="AW6577" s="7"/>
      <c r="AX6577" s="7"/>
    </row>
    <row r="6578" spans="14:50" x14ac:dyDescent="0.25">
      <c r="N6578" s="3"/>
      <c r="AW6578" s="7"/>
      <c r="AX6578" s="7"/>
    </row>
    <row r="6579" spans="14:50" x14ac:dyDescent="0.25">
      <c r="N6579" s="3"/>
      <c r="AW6579" s="7"/>
      <c r="AX6579" s="7"/>
    </row>
    <row r="6580" spans="14:50" x14ac:dyDescent="0.25">
      <c r="N6580" s="3"/>
      <c r="AW6580" s="7"/>
      <c r="AX6580" s="7"/>
    </row>
    <row r="6581" spans="14:50" x14ac:dyDescent="0.25">
      <c r="N6581" s="3"/>
      <c r="AW6581" s="7"/>
      <c r="AX6581" s="7"/>
    </row>
    <row r="6582" spans="14:50" x14ac:dyDescent="0.25">
      <c r="N6582" s="3"/>
      <c r="AW6582" s="7"/>
      <c r="AX6582" s="7"/>
    </row>
    <row r="6583" spans="14:50" x14ac:dyDescent="0.25">
      <c r="N6583" s="3"/>
      <c r="AW6583" s="7"/>
      <c r="AX6583" s="7"/>
    </row>
    <row r="6584" spans="14:50" x14ac:dyDescent="0.25">
      <c r="N6584" s="3"/>
      <c r="AW6584" s="7"/>
      <c r="AX6584" s="7"/>
    </row>
    <row r="6585" spans="14:50" x14ac:dyDescent="0.25">
      <c r="N6585" s="3"/>
      <c r="AW6585" s="7"/>
      <c r="AX6585" s="7"/>
    </row>
    <row r="6586" spans="14:50" x14ac:dyDescent="0.25">
      <c r="N6586" s="3"/>
      <c r="AW6586" s="7"/>
      <c r="AX6586" s="7"/>
    </row>
    <row r="6587" spans="14:50" x14ac:dyDescent="0.25">
      <c r="N6587" s="3"/>
      <c r="AW6587" s="7"/>
      <c r="AX6587" s="7"/>
    </row>
    <row r="6588" spans="14:50" x14ac:dyDescent="0.25">
      <c r="N6588" s="3"/>
      <c r="AW6588" s="7"/>
      <c r="AX6588" s="7"/>
    </row>
    <row r="6589" spans="14:50" x14ac:dyDescent="0.25">
      <c r="N6589" s="3"/>
      <c r="AW6589" s="7"/>
      <c r="AX6589" s="7"/>
    </row>
    <row r="6590" spans="14:50" x14ac:dyDescent="0.25">
      <c r="N6590" s="3"/>
      <c r="AW6590" s="7"/>
      <c r="AX6590" s="7"/>
    </row>
    <row r="6591" spans="14:50" x14ac:dyDescent="0.25">
      <c r="N6591" s="3"/>
      <c r="AW6591" s="7"/>
      <c r="AX6591" s="7"/>
    </row>
    <row r="6592" spans="14:50" x14ac:dyDescent="0.25">
      <c r="N6592" s="3"/>
      <c r="AW6592" s="7"/>
      <c r="AX6592" s="7"/>
    </row>
    <row r="6593" spans="14:50" x14ac:dyDescent="0.25">
      <c r="N6593" s="3"/>
      <c r="AW6593" s="7"/>
      <c r="AX6593" s="7"/>
    </row>
    <row r="6594" spans="14:50" x14ac:dyDescent="0.25">
      <c r="N6594" s="3"/>
      <c r="AW6594" s="7"/>
      <c r="AX6594" s="7"/>
    </row>
    <row r="6595" spans="14:50" x14ac:dyDescent="0.25">
      <c r="N6595" s="3"/>
      <c r="AW6595" s="7"/>
      <c r="AX6595" s="7"/>
    </row>
    <row r="6596" spans="14:50" x14ac:dyDescent="0.25">
      <c r="N6596" s="3"/>
      <c r="AW6596" s="7"/>
      <c r="AX6596" s="7"/>
    </row>
    <row r="6597" spans="14:50" x14ac:dyDescent="0.25">
      <c r="N6597" s="3"/>
      <c r="AW6597" s="7"/>
      <c r="AX6597" s="7"/>
    </row>
    <row r="6598" spans="14:50" x14ac:dyDescent="0.25">
      <c r="N6598" s="3"/>
      <c r="AW6598" s="7"/>
      <c r="AX6598" s="7"/>
    </row>
    <row r="6599" spans="14:50" x14ac:dyDescent="0.25">
      <c r="N6599" s="3"/>
      <c r="AW6599" s="7"/>
      <c r="AX6599" s="7"/>
    </row>
    <row r="6600" spans="14:50" x14ac:dyDescent="0.25">
      <c r="N6600" s="3"/>
      <c r="AW6600" s="7"/>
      <c r="AX6600" s="7"/>
    </row>
    <row r="6601" spans="14:50" x14ac:dyDescent="0.25">
      <c r="N6601" s="3"/>
      <c r="AW6601" s="7"/>
      <c r="AX6601" s="7"/>
    </row>
    <row r="6602" spans="14:50" x14ac:dyDescent="0.25">
      <c r="N6602" s="3"/>
      <c r="AW6602" s="7"/>
      <c r="AX6602" s="7"/>
    </row>
    <row r="6603" spans="14:50" x14ac:dyDescent="0.25">
      <c r="N6603" s="3"/>
      <c r="AW6603" s="7"/>
      <c r="AX6603" s="7"/>
    </row>
    <row r="6604" spans="14:50" x14ac:dyDescent="0.25">
      <c r="N6604" s="3"/>
      <c r="AW6604" s="7"/>
      <c r="AX6604" s="7"/>
    </row>
    <row r="6605" spans="14:50" x14ac:dyDescent="0.25">
      <c r="N6605" s="3"/>
      <c r="AW6605" s="7"/>
      <c r="AX6605" s="7"/>
    </row>
    <row r="6606" spans="14:50" x14ac:dyDescent="0.25">
      <c r="N6606" s="3"/>
      <c r="AW6606" s="7"/>
      <c r="AX6606" s="7"/>
    </row>
    <row r="6607" spans="14:50" x14ac:dyDescent="0.25">
      <c r="N6607" s="3"/>
      <c r="AW6607" s="7"/>
      <c r="AX6607" s="7"/>
    </row>
    <row r="6608" spans="14:50" x14ac:dyDescent="0.25">
      <c r="N6608" s="3"/>
      <c r="AW6608" s="7"/>
      <c r="AX6608" s="7"/>
    </row>
    <row r="6609" spans="14:50" x14ac:dyDescent="0.25">
      <c r="N6609" s="3"/>
      <c r="AW6609" s="7"/>
      <c r="AX6609" s="7"/>
    </row>
    <row r="6610" spans="14:50" x14ac:dyDescent="0.25">
      <c r="N6610" s="3"/>
      <c r="AW6610" s="7"/>
      <c r="AX6610" s="7"/>
    </row>
    <row r="6611" spans="14:50" x14ac:dyDescent="0.25">
      <c r="N6611" s="3"/>
      <c r="AW6611" s="7"/>
      <c r="AX6611" s="7"/>
    </row>
    <row r="6612" spans="14:50" x14ac:dyDescent="0.25">
      <c r="N6612" s="3"/>
      <c r="AW6612" s="7"/>
      <c r="AX6612" s="7"/>
    </row>
    <row r="6613" spans="14:50" x14ac:dyDescent="0.25">
      <c r="N6613" s="3"/>
      <c r="AW6613" s="7"/>
      <c r="AX6613" s="7"/>
    </row>
    <row r="6614" spans="14:50" x14ac:dyDescent="0.25">
      <c r="N6614" s="3"/>
      <c r="AW6614" s="7"/>
      <c r="AX6614" s="7"/>
    </row>
    <row r="6615" spans="14:50" x14ac:dyDescent="0.25">
      <c r="N6615" s="3"/>
      <c r="AW6615" s="7"/>
      <c r="AX6615" s="7"/>
    </row>
    <row r="6616" spans="14:50" x14ac:dyDescent="0.25">
      <c r="N6616" s="3"/>
      <c r="AW6616" s="7"/>
      <c r="AX6616" s="7"/>
    </row>
    <row r="6617" spans="14:50" x14ac:dyDescent="0.25">
      <c r="N6617" s="3"/>
      <c r="AW6617" s="7"/>
      <c r="AX6617" s="7"/>
    </row>
    <row r="6618" spans="14:50" x14ac:dyDescent="0.25">
      <c r="N6618" s="3"/>
      <c r="AW6618" s="7"/>
      <c r="AX6618" s="7"/>
    </row>
    <row r="6619" spans="14:50" x14ac:dyDescent="0.25">
      <c r="N6619" s="3"/>
      <c r="AW6619" s="7"/>
      <c r="AX6619" s="7"/>
    </row>
    <row r="6620" spans="14:50" x14ac:dyDescent="0.25">
      <c r="N6620" s="3"/>
      <c r="AW6620" s="7"/>
      <c r="AX6620" s="7"/>
    </row>
    <row r="6621" spans="14:50" x14ac:dyDescent="0.25">
      <c r="N6621" s="3"/>
      <c r="AW6621" s="7"/>
      <c r="AX6621" s="7"/>
    </row>
    <row r="6622" spans="14:50" x14ac:dyDescent="0.25">
      <c r="N6622" s="3"/>
      <c r="AW6622" s="7"/>
      <c r="AX6622" s="7"/>
    </row>
    <row r="6623" spans="14:50" x14ac:dyDescent="0.25">
      <c r="N6623" s="3"/>
      <c r="AW6623" s="7"/>
      <c r="AX6623" s="7"/>
    </row>
    <row r="6624" spans="14:50" x14ac:dyDescent="0.25">
      <c r="N6624" s="3"/>
      <c r="AW6624" s="7"/>
      <c r="AX6624" s="7"/>
    </row>
    <row r="6625" spans="14:50" x14ac:dyDescent="0.25">
      <c r="N6625" s="3"/>
      <c r="AW6625" s="7"/>
      <c r="AX6625" s="7"/>
    </row>
    <row r="6626" spans="14:50" x14ac:dyDescent="0.25">
      <c r="N6626" s="3"/>
      <c r="AW6626" s="7"/>
      <c r="AX6626" s="7"/>
    </row>
    <row r="6627" spans="14:50" x14ac:dyDescent="0.25">
      <c r="N6627" s="3"/>
      <c r="AW6627" s="7"/>
      <c r="AX6627" s="7"/>
    </row>
    <row r="6628" spans="14:50" x14ac:dyDescent="0.25">
      <c r="N6628" s="3"/>
      <c r="AW6628" s="7"/>
      <c r="AX6628" s="7"/>
    </row>
    <row r="6629" spans="14:50" x14ac:dyDescent="0.25">
      <c r="N6629" s="3"/>
      <c r="AW6629" s="7"/>
      <c r="AX6629" s="7"/>
    </row>
    <row r="6630" spans="14:50" x14ac:dyDescent="0.25">
      <c r="N6630" s="3"/>
      <c r="AW6630" s="7"/>
      <c r="AX6630" s="7"/>
    </row>
    <row r="6631" spans="14:50" x14ac:dyDescent="0.25">
      <c r="N6631" s="3"/>
      <c r="AW6631" s="7"/>
      <c r="AX6631" s="7"/>
    </row>
    <row r="6632" spans="14:50" x14ac:dyDescent="0.25">
      <c r="N6632" s="3"/>
      <c r="AW6632" s="7"/>
      <c r="AX6632" s="7"/>
    </row>
    <row r="6633" spans="14:50" x14ac:dyDescent="0.25">
      <c r="N6633" s="3"/>
      <c r="AW6633" s="7"/>
      <c r="AX6633" s="7"/>
    </row>
    <row r="6634" spans="14:50" x14ac:dyDescent="0.25">
      <c r="N6634" s="3"/>
      <c r="AW6634" s="7"/>
      <c r="AX6634" s="7"/>
    </row>
    <row r="6635" spans="14:50" x14ac:dyDescent="0.25">
      <c r="N6635" s="3"/>
      <c r="AW6635" s="7"/>
      <c r="AX6635" s="7"/>
    </row>
    <row r="6636" spans="14:50" x14ac:dyDescent="0.25">
      <c r="N6636" s="3"/>
      <c r="AW6636" s="7"/>
      <c r="AX6636" s="7"/>
    </row>
    <row r="6637" spans="14:50" x14ac:dyDescent="0.25">
      <c r="N6637" s="3"/>
      <c r="AW6637" s="7"/>
      <c r="AX6637" s="7"/>
    </row>
    <row r="6638" spans="14:50" x14ac:dyDescent="0.25">
      <c r="N6638" s="3"/>
      <c r="AW6638" s="7"/>
      <c r="AX6638" s="7"/>
    </row>
    <row r="6639" spans="14:50" x14ac:dyDescent="0.25">
      <c r="N6639" s="3"/>
      <c r="AW6639" s="7"/>
      <c r="AX6639" s="7"/>
    </row>
    <row r="6640" spans="14:50" x14ac:dyDescent="0.25">
      <c r="N6640" s="3"/>
      <c r="AW6640" s="7"/>
      <c r="AX6640" s="7"/>
    </row>
    <row r="6641" spans="14:50" x14ac:dyDescent="0.25">
      <c r="N6641" s="3"/>
      <c r="AW6641" s="7"/>
      <c r="AX6641" s="7"/>
    </row>
    <row r="6642" spans="14:50" x14ac:dyDescent="0.25">
      <c r="N6642" s="3"/>
      <c r="AW6642" s="7"/>
      <c r="AX6642" s="7"/>
    </row>
    <row r="6643" spans="14:50" x14ac:dyDescent="0.25">
      <c r="N6643" s="3"/>
      <c r="AW6643" s="7"/>
      <c r="AX6643" s="7"/>
    </row>
    <row r="6644" spans="14:50" x14ac:dyDescent="0.25">
      <c r="N6644" s="3"/>
      <c r="AW6644" s="7"/>
      <c r="AX6644" s="7"/>
    </row>
    <row r="6645" spans="14:50" x14ac:dyDescent="0.25">
      <c r="N6645" s="3"/>
      <c r="AW6645" s="7"/>
      <c r="AX6645" s="7"/>
    </row>
    <row r="6646" spans="14:50" x14ac:dyDescent="0.25">
      <c r="N6646" s="3"/>
      <c r="AW6646" s="7"/>
      <c r="AX6646" s="7"/>
    </row>
    <row r="6647" spans="14:50" x14ac:dyDescent="0.25">
      <c r="N6647" s="3"/>
      <c r="AW6647" s="7"/>
      <c r="AX6647" s="7"/>
    </row>
    <row r="6648" spans="14:50" x14ac:dyDescent="0.25">
      <c r="N6648" s="3"/>
      <c r="AW6648" s="7"/>
      <c r="AX6648" s="7"/>
    </row>
    <row r="6649" spans="14:50" x14ac:dyDescent="0.25">
      <c r="N6649" s="3"/>
      <c r="AW6649" s="7"/>
      <c r="AX6649" s="7"/>
    </row>
    <row r="6650" spans="14:50" x14ac:dyDescent="0.25">
      <c r="N6650" s="3"/>
      <c r="AW6650" s="7"/>
      <c r="AX6650" s="7"/>
    </row>
    <row r="6651" spans="14:50" x14ac:dyDescent="0.25">
      <c r="N6651" s="3"/>
      <c r="AW6651" s="7"/>
      <c r="AX6651" s="7"/>
    </row>
    <row r="6652" spans="14:50" x14ac:dyDescent="0.25">
      <c r="N6652" s="3"/>
      <c r="AW6652" s="7"/>
      <c r="AX6652" s="7"/>
    </row>
    <row r="6653" spans="14:50" x14ac:dyDescent="0.25">
      <c r="N6653" s="3"/>
      <c r="AW6653" s="7"/>
      <c r="AX6653" s="7"/>
    </row>
    <row r="6654" spans="14:50" x14ac:dyDescent="0.25">
      <c r="N6654" s="3"/>
      <c r="AW6654" s="7"/>
      <c r="AX6654" s="7"/>
    </row>
    <row r="6655" spans="14:50" x14ac:dyDescent="0.25">
      <c r="N6655" s="3"/>
      <c r="AW6655" s="7"/>
      <c r="AX6655" s="7"/>
    </row>
    <row r="6656" spans="14:50" x14ac:dyDescent="0.25">
      <c r="N6656" s="3"/>
      <c r="AW6656" s="7"/>
      <c r="AX6656" s="7"/>
    </row>
    <row r="6657" spans="14:50" x14ac:dyDescent="0.25">
      <c r="N6657" s="3"/>
      <c r="AW6657" s="7"/>
      <c r="AX6657" s="7"/>
    </row>
    <row r="6658" spans="14:50" x14ac:dyDescent="0.25">
      <c r="N6658" s="3"/>
      <c r="AW6658" s="7"/>
      <c r="AX6658" s="7"/>
    </row>
    <row r="6659" spans="14:50" x14ac:dyDescent="0.25">
      <c r="N6659" s="3"/>
      <c r="AW6659" s="7"/>
      <c r="AX6659" s="7"/>
    </row>
    <row r="6660" spans="14:50" x14ac:dyDescent="0.25">
      <c r="N6660" s="3"/>
      <c r="AW6660" s="7"/>
      <c r="AX6660" s="7"/>
    </row>
    <row r="6661" spans="14:50" x14ac:dyDescent="0.25">
      <c r="N6661" s="3"/>
      <c r="AW6661" s="7"/>
      <c r="AX6661" s="7"/>
    </row>
    <row r="6662" spans="14:50" x14ac:dyDescent="0.25">
      <c r="N6662" s="3"/>
      <c r="AW6662" s="7"/>
      <c r="AX6662" s="7"/>
    </row>
    <row r="6663" spans="14:50" x14ac:dyDescent="0.25">
      <c r="N6663" s="3"/>
      <c r="AW6663" s="7"/>
      <c r="AX6663" s="7"/>
    </row>
    <row r="6664" spans="14:50" x14ac:dyDescent="0.25">
      <c r="N6664" s="3"/>
      <c r="AW6664" s="7"/>
      <c r="AX6664" s="7"/>
    </row>
    <row r="6665" spans="14:50" x14ac:dyDescent="0.25">
      <c r="N6665" s="3"/>
      <c r="AW6665" s="7"/>
      <c r="AX6665" s="7"/>
    </row>
    <row r="6666" spans="14:50" x14ac:dyDescent="0.25">
      <c r="N6666" s="3"/>
      <c r="AW6666" s="7"/>
      <c r="AX6666" s="7"/>
    </row>
    <row r="6667" spans="14:50" x14ac:dyDescent="0.25">
      <c r="N6667" s="3"/>
      <c r="AW6667" s="7"/>
      <c r="AX6667" s="7"/>
    </row>
    <row r="6668" spans="14:50" x14ac:dyDescent="0.25">
      <c r="N6668" s="3"/>
      <c r="AW6668" s="7"/>
      <c r="AX6668" s="7"/>
    </row>
    <row r="6669" spans="14:50" x14ac:dyDescent="0.25">
      <c r="N6669" s="3"/>
      <c r="AW6669" s="7"/>
      <c r="AX6669" s="7"/>
    </row>
    <row r="6670" spans="14:50" x14ac:dyDescent="0.25">
      <c r="N6670" s="3"/>
      <c r="AW6670" s="7"/>
      <c r="AX6670" s="7"/>
    </row>
    <row r="6671" spans="14:50" x14ac:dyDescent="0.25">
      <c r="N6671" s="3"/>
      <c r="AW6671" s="7"/>
      <c r="AX6671" s="7"/>
    </row>
    <row r="6672" spans="14:50" x14ac:dyDescent="0.25">
      <c r="N6672" s="3"/>
      <c r="AW6672" s="7"/>
      <c r="AX6672" s="7"/>
    </row>
    <row r="6673" spans="14:50" x14ac:dyDescent="0.25">
      <c r="N6673" s="3"/>
      <c r="AW6673" s="7"/>
      <c r="AX6673" s="7"/>
    </row>
    <row r="6674" spans="14:50" x14ac:dyDescent="0.25">
      <c r="N6674" s="3"/>
      <c r="AW6674" s="7"/>
      <c r="AX6674" s="7"/>
    </row>
    <row r="6675" spans="14:50" x14ac:dyDescent="0.25">
      <c r="N6675" s="3"/>
      <c r="AW6675" s="7"/>
      <c r="AX6675" s="7"/>
    </row>
    <row r="6676" spans="14:50" x14ac:dyDescent="0.25">
      <c r="N6676" s="3"/>
      <c r="AW6676" s="7"/>
      <c r="AX6676" s="7"/>
    </row>
    <row r="6677" spans="14:50" x14ac:dyDescent="0.25">
      <c r="N6677" s="3"/>
      <c r="AW6677" s="7"/>
      <c r="AX6677" s="7"/>
    </row>
    <row r="6678" spans="14:50" x14ac:dyDescent="0.25">
      <c r="N6678" s="3"/>
      <c r="AW6678" s="7"/>
      <c r="AX6678" s="7"/>
    </row>
    <row r="6679" spans="14:50" x14ac:dyDescent="0.25">
      <c r="N6679" s="3"/>
      <c r="AW6679" s="7"/>
      <c r="AX6679" s="7"/>
    </row>
    <row r="6680" spans="14:50" x14ac:dyDescent="0.25">
      <c r="N6680" s="3"/>
      <c r="AW6680" s="7"/>
      <c r="AX6680" s="7"/>
    </row>
    <row r="6681" spans="14:50" x14ac:dyDescent="0.25">
      <c r="N6681" s="3"/>
      <c r="AW6681" s="7"/>
      <c r="AX6681" s="7"/>
    </row>
    <row r="6682" spans="14:50" x14ac:dyDescent="0.25">
      <c r="N6682" s="3"/>
      <c r="AW6682" s="7"/>
      <c r="AX6682" s="7"/>
    </row>
    <row r="6683" spans="14:50" x14ac:dyDescent="0.25">
      <c r="N6683" s="3"/>
      <c r="AW6683" s="7"/>
      <c r="AX6683" s="7"/>
    </row>
    <row r="6684" spans="14:50" x14ac:dyDescent="0.25">
      <c r="N6684" s="3"/>
      <c r="AW6684" s="7"/>
      <c r="AX6684" s="7"/>
    </row>
    <row r="6685" spans="14:50" x14ac:dyDescent="0.25">
      <c r="N6685" s="3"/>
      <c r="AW6685" s="7"/>
      <c r="AX6685" s="7"/>
    </row>
    <row r="6686" spans="14:50" x14ac:dyDescent="0.25">
      <c r="N6686" s="3"/>
      <c r="AW6686" s="7"/>
      <c r="AX6686" s="7"/>
    </row>
    <row r="6687" spans="14:50" x14ac:dyDescent="0.25">
      <c r="N6687" s="3"/>
      <c r="AW6687" s="7"/>
      <c r="AX6687" s="7"/>
    </row>
    <row r="6688" spans="14:50" x14ac:dyDescent="0.25">
      <c r="N6688" s="3"/>
      <c r="AW6688" s="7"/>
      <c r="AX6688" s="7"/>
    </row>
    <row r="6689" spans="14:50" x14ac:dyDescent="0.25">
      <c r="N6689" s="3"/>
      <c r="AW6689" s="7"/>
      <c r="AX6689" s="7"/>
    </row>
    <row r="6690" spans="14:50" x14ac:dyDescent="0.25">
      <c r="N6690" s="3"/>
      <c r="AW6690" s="7"/>
      <c r="AX6690" s="7"/>
    </row>
    <row r="6691" spans="14:50" x14ac:dyDescent="0.25">
      <c r="N6691" s="3"/>
      <c r="AW6691" s="7"/>
      <c r="AX6691" s="7"/>
    </row>
    <row r="6692" spans="14:50" x14ac:dyDescent="0.25">
      <c r="N6692" s="3"/>
      <c r="AW6692" s="7"/>
      <c r="AX6692" s="7"/>
    </row>
    <row r="6693" spans="14:50" x14ac:dyDescent="0.25">
      <c r="N6693" s="3"/>
      <c r="AW6693" s="7"/>
      <c r="AX6693" s="7"/>
    </row>
    <row r="6694" spans="14:50" x14ac:dyDescent="0.25">
      <c r="N6694" s="3"/>
      <c r="AW6694" s="7"/>
      <c r="AX6694" s="7"/>
    </row>
    <row r="6695" spans="14:50" x14ac:dyDescent="0.25">
      <c r="N6695" s="3"/>
      <c r="AW6695" s="7"/>
      <c r="AX6695" s="7"/>
    </row>
    <row r="6696" spans="14:50" x14ac:dyDescent="0.25">
      <c r="N6696" s="3"/>
      <c r="AW6696" s="7"/>
      <c r="AX6696" s="7"/>
    </row>
    <row r="6697" spans="14:50" x14ac:dyDescent="0.25">
      <c r="N6697" s="3"/>
      <c r="AW6697" s="7"/>
      <c r="AX6697" s="7"/>
    </row>
    <row r="6698" spans="14:50" x14ac:dyDescent="0.25">
      <c r="N6698" s="3"/>
      <c r="AW6698" s="7"/>
      <c r="AX6698" s="7"/>
    </row>
    <row r="6699" spans="14:50" x14ac:dyDescent="0.25">
      <c r="N6699" s="3"/>
      <c r="AW6699" s="7"/>
      <c r="AX6699" s="7"/>
    </row>
    <row r="6700" spans="14:50" x14ac:dyDescent="0.25">
      <c r="N6700" s="3"/>
      <c r="AW6700" s="7"/>
      <c r="AX6700" s="7"/>
    </row>
    <row r="6701" spans="14:50" x14ac:dyDescent="0.25">
      <c r="N6701" s="3"/>
      <c r="AW6701" s="7"/>
      <c r="AX6701" s="7"/>
    </row>
    <row r="6702" spans="14:50" x14ac:dyDescent="0.25">
      <c r="N6702" s="3"/>
      <c r="AW6702" s="7"/>
      <c r="AX6702" s="7"/>
    </row>
    <row r="6703" spans="14:50" x14ac:dyDescent="0.25">
      <c r="N6703" s="3"/>
      <c r="AW6703" s="7"/>
      <c r="AX6703" s="7"/>
    </row>
    <row r="6704" spans="14:50" x14ac:dyDescent="0.25">
      <c r="N6704" s="3"/>
      <c r="AW6704" s="7"/>
      <c r="AX6704" s="7"/>
    </row>
    <row r="6705" spans="14:50" x14ac:dyDescent="0.25">
      <c r="N6705" s="3"/>
      <c r="AW6705" s="7"/>
      <c r="AX6705" s="7"/>
    </row>
    <row r="6706" spans="14:50" x14ac:dyDescent="0.25">
      <c r="N6706" s="3"/>
      <c r="AW6706" s="7"/>
      <c r="AX6706" s="7"/>
    </row>
    <row r="6707" spans="14:50" x14ac:dyDescent="0.25">
      <c r="N6707" s="3"/>
      <c r="AW6707" s="7"/>
      <c r="AX6707" s="7"/>
    </row>
    <row r="6708" spans="14:50" x14ac:dyDescent="0.25">
      <c r="N6708" s="3"/>
      <c r="AW6708" s="7"/>
      <c r="AX6708" s="7"/>
    </row>
    <row r="6709" spans="14:50" x14ac:dyDescent="0.25">
      <c r="N6709" s="3"/>
      <c r="AW6709" s="7"/>
      <c r="AX6709" s="7"/>
    </row>
    <row r="6710" spans="14:50" x14ac:dyDescent="0.25">
      <c r="N6710" s="3"/>
      <c r="AW6710" s="7"/>
      <c r="AX6710" s="7"/>
    </row>
    <row r="6711" spans="14:50" x14ac:dyDescent="0.25">
      <c r="N6711" s="3"/>
      <c r="AW6711" s="7"/>
      <c r="AX6711" s="7"/>
    </row>
    <row r="6712" spans="14:50" x14ac:dyDescent="0.25">
      <c r="N6712" s="3"/>
      <c r="AW6712" s="7"/>
      <c r="AX6712" s="7"/>
    </row>
    <row r="6713" spans="14:50" x14ac:dyDescent="0.25">
      <c r="N6713" s="3"/>
      <c r="AW6713" s="7"/>
      <c r="AX6713" s="7"/>
    </row>
    <row r="6714" spans="14:50" x14ac:dyDescent="0.25">
      <c r="N6714" s="3"/>
      <c r="AW6714" s="7"/>
      <c r="AX6714" s="7"/>
    </row>
    <row r="6715" spans="14:50" x14ac:dyDescent="0.25">
      <c r="N6715" s="3"/>
      <c r="AW6715" s="7"/>
      <c r="AX6715" s="7"/>
    </row>
    <row r="6716" spans="14:50" x14ac:dyDescent="0.25">
      <c r="N6716" s="3"/>
      <c r="AW6716" s="7"/>
      <c r="AX6716" s="7"/>
    </row>
    <row r="6717" spans="14:50" x14ac:dyDescent="0.25">
      <c r="N6717" s="3"/>
      <c r="AW6717" s="7"/>
      <c r="AX6717" s="7"/>
    </row>
    <row r="6718" spans="14:50" x14ac:dyDescent="0.25">
      <c r="N6718" s="3"/>
      <c r="AW6718" s="7"/>
      <c r="AX6718" s="7"/>
    </row>
    <row r="6719" spans="14:50" x14ac:dyDescent="0.25">
      <c r="N6719" s="3"/>
      <c r="AW6719" s="7"/>
      <c r="AX6719" s="7"/>
    </row>
    <row r="6720" spans="14:50" x14ac:dyDescent="0.25">
      <c r="N6720" s="3"/>
      <c r="AW6720" s="7"/>
      <c r="AX6720" s="7"/>
    </row>
    <row r="6721" spans="14:50" x14ac:dyDescent="0.25">
      <c r="N6721" s="3"/>
      <c r="AW6721" s="7"/>
      <c r="AX6721" s="7"/>
    </row>
    <row r="6722" spans="14:50" x14ac:dyDescent="0.25">
      <c r="N6722" s="3"/>
      <c r="AW6722" s="7"/>
      <c r="AX6722" s="7"/>
    </row>
    <row r="6723" spans="14:50" x14ac:dyDescent="0.25">
      <c r="N6723" s="3"/>
      <c r="AW6723" s="7"/>
      <c r="AX6723" s="7"/>
    </row>
    <row r="6724" spans="14:50" x14ac:dyDescent="0.25">
      <c r="N6724" s="3"/>
      <c r="AW6724" s="7"/>
      <c r="AX6724" s="7"/>
    </row>
    <row r="6725" spans="14:50" x14ac:dyDescent="0.25">
      <c r="N6725" s="3"/>
      <c r="AW6725" s="7"/>
      <c r="AX6725" s="7"/>
    </row>
    <row r="6726" spans="14:50" x14ac:dyDescent="0.25">
      <c r="N6726" s="3"/>
      <c r="AW6726" s="7"/>
      <c r="AX6726" s="7"/>
    </row>
    <row r="6727" spans="14:50" x14ac:dyDescent="0.25">
      <c r="N6727" s="3"/>
      <c r="AW6727" s="7"/>
      <c r="AX6727" s="7"/>
    </row>
    <row r="6728" spans="14:50" x14ac:dyDescent="0.25">
      <c r="N6728" s="3"/>
      <c r="AW6728" s="7"/>
      <c r="AX6728" s="7"/>
    </row>
    <row r="6729" spans="14:50" x14ac:dyDescent="0.25">
      <c r="N6729" s="3"/>
      <c r="AW6729" s="7"/>
      <c r="AX6729" s="7"/>
    </row>
    <row r="6730" spans="14:50" x14ac:dyDescent="0.25">
      <c r="N6730" s="3"/>
      <c r="AW6730" s="7"/>
      <c r="AX6730" s="7"/>
    </row>
    <row r="6731" spans="14:50" x14ac:dyDescent="0.25">
      <c r="N6731" s="3"/>
      <c r="AW6731" s="7"/>
      <c r="AX6731" s="7"/>
    </row>
    <row r="6732" spans="14:50" x14ac:dyDescent="0.25">
      <c r="N6732" s="3"/>
      <c r="AW6732" s="7"/>
      <c r="AX6732" s="7"/>
    </row>
    <row r="6733" spans="14:50" x14ac:dyDescent="0.25">
      <c r="N6733" s="3"/>
      <c r="AW6733" s="7"/>
      <c r="AX6733" s="7"/>
    </row>
    <row r="6734" spans="14:50" x14ac:dyDescent="0.25">
      <c r="N6734" s="3"/>
      <c r="AW6734" s="7"/>
      <c r="AX6734" s="7"/>
    </row>
    <row r="6735" spans="14:50" x14ac:dyDescent="0.25">
      <c r="N6735" s="3"/>
      <c r="AW6735" s="7"/>
      <c r="AX6735" s="7"/>
    </row>
    <row r="6736" spans="14:50" x14ac:dyDescent="0.25">
      <c r="N6736" s="3"/>
      <c r="AW6736" s="7"/>
      <c r="AX6736" s="7"/>
    </row>
    <row r="6737" spans="14:50" x14ac:dyDescent="0.25">
      <c r="N6737" s="3"/>
      <c r="AW6737" s="7"/>
      <c r="AX6737" s="7"/>
    </row>
    <row r="6738" spans="14:50" x14ac:dyDescent="0.25">
      <c r="N6738" s="3"/>
      <c r="AW6738" s="7"/>
      <c r="AX6738" s="7"/>
    </row>
    <row r="6739" spans="14:50" x14ac:dyDescent="0.25">
      <c r="N6739" s="3"/>
      <c r="AW6739" s="7"/>
      <c r="AX6739" s="7"/>
    </row>
    <row r="6740" spans="14:50" x14ac:dyDescent="0.25">
      <c r="N6740" s="3"/>
      <c r="AW6740" s="7"/>
      <c r="AX6740" s="7"/>
    </row>
    <row r="6741" spans="14:50" x14ac:dyDescent="0.25">
      <c r="N6741" s="3"/>
      <c r="AW6741" s="7"/>
      <c r="AX6741" s="7"/>
    </row>
    <row r="6742" spans="14:50" x14ac:dyDescent="0.25">
      <c r="N6742" s="3"/>
      <c r="AW6742" s="7"/>
      <c r="AX6742" s="7"/>
    </row>
    <row r="6743" spans="14:50" x14ac:dyDescent="0.25">
      <c r="N6743" s="3"/>
      <c r="AW6743" s="7"/>
      <c r="AX6743" s="7"/>
    </row>
    <row r="6744" spans="14:50" x14ac:dyDescent="0.25">
      <c r="N6744" s="3"/>
      <c r="AW6744" s="7"/>
      <c r="AX6744" s="7"/>
    </row>
    <row r="6745" spans="14:50" x14ac:dyDescent="0.25">
      <c r="N6745" s="3"/>
      <c r="AW6745" s="7"/>
      <c r="AX6745" s="7"/>
    </row>
    <row r="6746" spans="14:50" x14ac:dyDescent="0.25">
      <c r="N6746" s="3"/>
      <c r="AW6746" s="7"/>
      <c r="AX6746" s="7"/>
    </row>
    <row r="6747" spans="14:50" x14ac:dyDescent="0.25">
      <c r="N6747" s="3"/>
      <c r="AW6747" s="7"/>
      <c r="AX6747" s="7"/>
    </row>
    <row r="6748" spans="14:50" x14ac:dyDescent="0.25">
      <c r="N6748" s="3"/>
      <c r="AW6748" s="7"/>
      <c r="AX6748" s="7"/>
    </row>
    <row r="6749" spans="14:50" x14ac:dyDescent="0.25">
      <c r="N6749" s="3"/>
      <c r="AW6749" s="7"/>
      <c r="AX6749" s="7"/>
    </row>
    <row r="6750" spans="14:50" x14ac:dyDescent="0.25">
      <c r="N6750" s="3"/>
      <c r="AW6750" s="7"/>
      <c r="AX6750" s="7"/>
    </row>
    <row r="6751" spans="14:50" x14ac:dyDescent="0.25">
      <c r="N6751" s="3"/>
      <c r="AW6751" s="7"/>
      <c r="AX6751" s="7"/>
    </row>
    <row r="6752" spans="14:50" x14ac:dyDescent="0.25">
      <c r="N6752" s="3"/>
      <c r="AW6752" s="7"/>
      <c r="AX6752" s="7"/>
    </row>
    <row r="6753" spans="14:50" x14ac:dyDescent="0.25">
      <c r="N6753" s="3"/>
      <c r="AW6753" s="7"/>
      <c r="AX6753" s="7"/>
    </row>
    <row r="6754" spans="14:50" x14ac:dyDescent="0.25">
      <c r="N6754" s="3"/>
      <c r="AW6754" s="7"/>
      <c r="AX6754" s="7"/>
    </row>
    <row r="6755" spans="14:50" x14ac:dyDescent="0.25">
      <c r="N6755" s="3"/>
      <c r="AW6755" s="7"/>
      <c r="AX6755" s="7"/>
    </row>
    <row r="6756" spans="14:50" x14ac:dyDescent="0.25">
      <c r="N6756" s="3"/>
      <c r="AW6756" s="7"/>
      <c r="AX6756" s="7"/>
    </row>
    <row r="6757" spans="14:50" x14ac:dyDescent="0.25">
      <c r="N6757" s="3"/>
      <c r="AW6757" s="7"/>
      <c r="AX6757" s="7"/>
    </row>
    <row r="6758" spans="14:50" x14ac:dyDescent="0.25">
      <c r="N6758" s="3"/>
      <c r="AW6758" s="7"/>
      <c r="AX6758" s="7"/>
    </row>
    <row r="6759" spans="14:50" x14ac:dyDescent="0.25">
      <c r="N6759" s="3"/>
      <c r="AW6759" s="7"/>
      <c r="AX6759" s="7"/>
    </row>
    <row r="6760" spans="14:50" x14ac:dyDescent="0.25">
      <c r="N6760" s="3"/>
      <c r="AW6760" s="7"/>
      <c r="AX6760" s="7"/>
    </row>
    <row r="6761" spans="14:50" x14ac:dyDescent="0.25">
      <c r="N6761" s="3"/>
      <c r="AW6761" s="7"/>
      <c r="AX6761" s="7"/>
    </row>
    <row r="6762" spans="14:50" x14ac:dyDescent="0.25">
      <c r="N6762" s="3"/>
      <c r="AW6762" s="7"/>
      <c r="AX6762" s="7"/>
    </row>
    <row r="6763" spans="14:50" x14ac:dyDescent="0.25">
      <c r="N6763" s="3"/>
      <c r="AW6763" s="7"/>
      <c r="AX6763" s="7"/>
    </row>
    <row r="6764" spans="14:50" x14ac:dyDescent="0.25">
      <c r="N6764" s="3"/>
      <c r="AW6764" s="7"/>
      <c r="AX6764" s="7"/>
    </row>
    <row r="6765" spans="14:50" x14ac:dyDescent="0.25">
      <c r="N6765" s="3"/>
      <c r="AW6765" s="7"/>
      <c r="AX6765" s="7"/>
    </row>
    <row r="6766" spans="14:50" x14ac:dyDescent="0.25">
      <c r="N6766" s="3"/>
      <c r="AW6766" s="7"/>
      <c r="AX6766" s="7"/>
    </row>
    <row r="6767" spans="14:50" x14ac:dyDescent="0.25">
      <c r="N6767" s="3"/>
      <c r="AW6767" s="7"/>
      <c r="AX6767" s="7"/>
    </row>
    <row r="6768" spans="14:50" x14ac:dyDescent="0.25">
      <c r="N6768" s="3"/>
      <c r="AW6768" s="7"/>
      <c r="AX6768" s="7"/>
    </row>
    <row r="6769" spans="14:50" x14ac:dyDescent="0.25">
      <c r="N6769" s="3"/>
      <c r="AW6769" s="7"/>
      <c r="AX6769" s="7"/>
    </row>
    <row r="6770" spans="14:50" x14ac:dyDescent="0.25">
      <c r="N6770" s="3"/>
      <c r="AW6770" s="7"/>
      <c r="AX6770" s="7"/>
    </row>
    <row r="6771" spans="14:50" x14ac:dyDescent="0.25">
      <c r="N6771" s="3"/>
      <c r="AW6771" s="7"/>
      <c r="AX6771" s="7"/>
    </row>
    <row r="6772" spans="14:50" x14ac:dyDescent="0.25">
      <c r="N6772" s="3"/>
      <c r="AW6772" s="7"/>
      <c r="AX6772" s="7"/>
    </row>
    <row r="6773" spans="14:50" x14ac:dyDescent="0.25">
      <c r="N6773" s="3"/>
      <c r="AW6773" s="7"/>
      <c r="AX6773" s="7"/>
    </row>
    <row r="6774" spans="14:50" x14ac:dyDescent="0.25">
      <c r="N6774" s="3"/>
      <c r="AW6774" s="7"/>
      <c r="AX6774" s="7"/>
    </row>
    <row r="6775" spans="14:50" x14ac:dyDescent="0.25">
      <c r="N6775" s="3"/>
      <c r="AW6775" s="7"/>
      <c r="AX6775" s="7"/>
    </row>
    <row r="6776" spans="14:50" x14ac:dyDescent="0.25">
      <c r="N6776" s="3"/>
      <c r="AW6776" s="7"/>
      <c r="AX6776" s="7"/>
    </row>
    <row r="6777" spans="14:50" x14ac:dyDescent="0.25">
      <c r="N6777" s="3"/>
      <c r="AW6777" s="7"/>
      <c r="AX6777" s="7"/>
    </row>
    <row r="6778" spans="14:50" x14ac:dyDescent="0.25">
      <c r="N6778" s="3"/>
      <c r="AW6778" s="7"/>
      <c r="AX6778" s="7"/>
    </row>
    <row r="6779" spans="14:50" x14ac:dyDescent="0.25">
      <c r="N6779" s="3"/>
      <c r="AW6779" s="7"/>
      <c r="AX6779" s="7"/>
    </row>
    <row r="6780" spans="14:50" x14ac:dyDescent="0.25">
      <c r="N6780" s="3"/>
      <c r="AW6780" s="7"/>
      <c r="AX6780" s="7"/>
    </row>
    <row r="6781" spans="14:50" x14ac:dyDescent="0.25">
      <c r="N6781" s="3"/>
      <c r="AW6781" s="7"/>
      <c r="AX6781" s="7"/>
    </row>
    <row r="6782" spans="14:50" x14ac:dyDescent="0.25">
      <c r="N6782" s="3"/>
      <c r="AW6782" s="7"/>
      <c r="AX6782" s="7"/>
    </row>
    <row r="6783" spans="14:50" x14ac:dyDescent="0.25">
      <c r="N6783" s="3"/>
      <c r="AW6783" s="7"/>
      <c r="AX6783" s="7"/>
    </row>
    <row r="6784" spans="14:50" x14ac:dyDescent="0.25">
      <c r="N6784" s="3"/>
      <c r="AW6784" s="7"/>
      <c r="AX6784" s="7"/>
    </row>
    <row r="6785" spans="14:50" x14ac:dyDescent="0.25">
      <c r="N6785" s="3"/>
      <c r="AW6785" s="7"/>
      <c r="AX6785" s="7"/>
    </row>
    <row r="6786" spans="14:50" x14ac:dyDescent="0.25">
      <c r="N6786" s="3"/>
      <c r="AW6786" s="7"/>
      <c r="AX6786" s="7"/>
    </row>
    <row r="6787" spans="14:50" x14ac:dyDescent="0.25">
      <c r="N6787" s="3"/>
      <c r="AW6787" s="7"/>
      <c r="AX6787" s="7"/>
    </row>
    <row r="6788" spans="14:50" x14ac:dyDescent="0.25">
      <c r="N6788" s="3"/>
      <c r="AW6788" s="7"/>
      <c r="AX6788" s="7"/>
    </row>
    <row r="6789" spans="14:50" x14ac:dyDescent="0.25">
      <c r="N6789" s="3"/>
      <c r="AW6789" s="7"/>
      <c r="AX6789" s="7"/>
    </row>
    <row r="6790" spans="14:50" x14ac:dyDescent="0.25">
      <c r="N6790" s="3"/>
      <c r="AW6790" s="7"/>
      <c r="AX6790" s="7"/>
    </row>
    <row r="6791" spans="14:50" x14ac:dyDescent="0.25">
      <c r="N6791" s="3"/>
      <c r="AW6791" s="7"/>
      <c r="AX6791" s="7"/>
    </row>
    <row r="6792" spans="14:50" x14ac:dyDescent="0.25">
      <c r="N6792" s="3"/>
      <c r="AW6792" s="7"/>
      <c r="AX6792" s="7"/>
    </row>
    <row r="6793" spans="14:50" x14ac:dyDescent="0.25">
      <c r="N6793" s="3"/>
      <c r="AW6793" s="7"/>
      <c r="AX6793" s="7"/>
    </row>
    <row r="6794" spans="14:50" x14ac:dyDescent="0.25">
      <c r="N6794" s="3"/>
      <c r="AW6794" s="7"/>
      <c r="AX6794" s="7"/>
    </row>
    <row r="6795" spans="14:50" x14ac:dyDescent="0.25">
      <c r="N6795" s="3"/>
      <c r="AW6795" s="7"/>
      <c r="AX6795" s="7"/>
    </row>
    <row r="6796" spans="14:50" x14ac:dyDescent="0.25">
      <c r="N6796" s="3"/>
      <c r="AW6796" s="7"/>
      <c r="AX6796" s="7"/>
    </row>
    <row r="6797" spans="14:50" x14ac:dyDescent="0.25">
      <c r="N6797" s="3"/>
      <c r="AW6797" s="7"/>
      <c r="AX6797" s="7"/>
    </row>
    <row r="6798" spans="14:50" x14ac:dyDescent="0.25">
      <c r="N6798" s="3"/>
      <c r="AW6798" s="7"/>
      <c r="AX6798" s="7"/>
    </row>
    <row r="6799" spans="14:50" x14ac:dyDescent="0.25">
      <c r="N6799" s="3"/>
      <c r="AW6799" s="7"/>
      <c r="AX6799" s="7"/>
    </row>
    <row r="6800" spans="14:50" x14ac:dyDescent="0.25">
      <c r="N6800" s="3"/>
      <c r="AW6800" s="7"/>
      <c r="AX6800" s="7"/>
    </row>
    <row r="6801" spans="14:50" x14ac:dyDescent="0.25">
      <c r="N6801" s="3"/>
      <c r="AW6801" s="7"/>
      <c r="AX6801" s="7"/>
    </row>
    <row r="6802" spans="14:50" x14ac:dyDescent="0.25">
      <c r="N6802" s="3"/>
      <c r="AW6802" s="7"/>
      <c r="AX6802" s="7"/>
    </row>
    <row r="6803" spans="14:50" x14ac:dyDescent="0.25">
      <c r="N6803" s="3"/>
      <c r="AW6803" s="7"/>
      <c r="AX6803" s="7"/>
    </row>
    <row r="6804" spans="14:50" x14ac:dyDescent="0.25">
      <c r="N6804" s="3"/>
      <c r="AW6804" s="7"/>
      <c r="AX6804" s="7"/>
    </row>
    <row r="6805" spans="14:50" x14ac:dyDescent="0.25">
      <c r="N6805" s="3"/>
      <c r="AW6805" s="7"/>
      <c r="AX6805" s="7"/>
    </row>
    <row r="6806" spans="14:50" x14ac:dyDescent="0.25">
      <c r="N6806" s="3"/>
      <c r="AW6806" s="7"/>
      <c r="AX6806" s="7"/>
    </row>
    <row r="6807" spans="14:50" x14ac:dyDescent="0.25">
      <c r="N6807" s="3"/>
      <c r="AW6807" s="7"/>
      <c r="AX6807" s="7"/>
    </row>
    <row r="6808" spans="14:50" x14ac:dyDescent="0.25">
      <c r="N6808" s="3"/>
      <c r="AW6808" s="7"/>
      <c r="AX6808" s="7"/>
    </row>
    <row r="6809" spans="14:50" x14ac:dyDescent="0.25">
      <c r="N6809" s="3"/>
      <c r="AW6809" s="7"/>
      <c r="AX6809" s="7"/>
    </row>
    <row r="6810" spans="14:50" x14ac:dyDescent="0.25">
      <c r="N6810" s="3"/>
      <c r="AW6810" s="7"/>
      <c r="AX6810" s="7"/>
    </row>
    <row r="6811" spans="14:50" x14ac:dyDescent="0.25">
      <c r="N6811" s="3"/>
      <c r="AW6811" s="7"/>
      <c r="AX6811" s="7"/>
    </row>
    <row r="6812" spans="14:50" x14ac:dyDescent="0.25">
      <c r="N6812" s="3"/>
      <c r="AW6812" s="7"/>
      <c r="AX6812" s="7"/>
    </row>
    <row r="6813" spans="14:50" x14ac:dyDescent="0.25">
      <c r="N6813" s="3"/>
      <c r="AW6813" s="7"/>
      <c r="AX6813" s="7"/>
    </row>
    <row r="6814" spans="14:50" x14ac:dyDescent="0.25">
      <c r="N6814" s="3"/>
      <c r="AW6814" s="7"/>
      <c r="AX6814" s="7"/>
    </row>
    <row r="6815" spans="14:50" x14ac:dyDescent="0.25">
      <c r="N6815" s="3"/>
      <c r="AW6815" s="7"/>
      <c r="AX6815" s="7"/>
    </row>
    <row r="6816" spans="14:50" x14ac:dyDescent="0.25">
      <c r="N6816" s="3"/>
      <c r="AW6816" s="7"/>
      <c r="AX6816" s="7"/>
    </row>
    <row r="6817" spans="14:50" x14ac:dyDescent="0.25">
      <c r="N6817" s="3"/>
      <c r="AW6817" s="7"/>
      <c r="AX6817" s="7"/>
    </row>
    <row r="6818" spans="14:50" x14ac:dyDescent="0.25">
      <c r="N6818" s="3"/>
      <c r="AW6818" s="7"/>
      <c r="AX6818" s="7"/>
    </row>
    <row r="6819" spans="14:50" x14ac:dyDescent="0.25">
      <c r="N6819" s="3"/>
      <c r="AW6819" s="7"/>
      <c r="AX6819" s="7"/>
    </row>
    <row r="6820" spans="14:50" x14ac:dyDescent="0.25">
      <c r="N6820" s="3"/>
      <c r="AW6820" s="7"/>
      <c r="AX6820" s="7"/>
    </row>
    <row r="6821" spans="14:50" x14ac:dyDescent="0.25">
      <c r="N6821" s="3"/>
      <c r="AW6821" s="7"/>
      <c r="AX6821" s="7"/>
    </row>
    <row r="6822" spans="14:50" x14ac:dyDescent="0.25">
      <c r="N6822" s="3"/>
      <c r="AW6822" s="7"/>
      <c r="AX6822" s="7"/>
    </row>
    <row r="6823" spans="14:50" x14ac:dyDescent="0.25">
      <c r="N6823" s="3"/>
      <c r="AW6823" s="7"/>
      <c r="AX6823" s="7"/>
    </row>
    <row r="6824" spans="14:50" x14ac:dyDescent="0.25">
      <c r="N6824" s="3"/>
      <c r="AW6824" s="7"/>
      <c r="AX6824" s="7"/>
    </row>
    <row r="6825" spans="14:50" x14ac:dyDescent="0.25">
      <c r="N6825" s="3"/>
      <c r="AW6825" s="7"/>
      <c r="AX6825" s="7"/>
    </row>
    <row r="6826" spans="14:50" x14ac:dyDescent="0.25">
      <c r="N6826" s="3"/>
      <c r="AW6826" s="7"/>
      <c r="AX6826" s="7"/>
    </row>
    <row r="6827" spans="14:50" x14ac:dyDescent="0.25">
      <c r="N6827" s="3"/>
      <c r="AW6827" s="7"/>
      <c r="AX6827" s="7"/>
    </row>
    <row r="6828" spans="14:50" x14ac:dyDescent="0.25">
      <c r="N6828" s="3"/>
      <c r="AW6828" s="7"/>
      <c r="AX6828" s="7"/>
    </row>
    <row r="6829" spans="14:50" x14ac:dyDescent="0.25">
      <c r="N6829" s="3"/>
      <c r="AW6829" s="7"/>
      <c r="AX6829" s="7"/>
    </row>
    <row r="6830" spans="14:50" x14ac:dyDescent="0.25">
      <c r="N6830" s="3"/>
      <c r="AW6830" s="7"/>
      <c r="AX6830" s="7"/>
    </row>
    <row r="6831" spans="14:50" x14ac:dyDescent="0.25">
      <c r="N6831" s="3"/>
      <c r="AW6831" s="7"/>
      <c r="AX6831" s="7"/>
    </row>
    <row r="6832" spans="14:50" x14ac:dyDescent="0.25">
      <c r="N6832" s="3"/>
      <c r="AW6832" s="7"/>
      <c r="AX6832" s="7"/>
    </row>
    <row r="6833" spans="14:50" x14ac:dyDescent="0.25">
      <c r="N6833" s="3"/>
      <c r="AW6833" s="7"/>
      <c r="AX6833" s="7"/>
    </row>
    <row r="6834" spans="14:50" x14ac:dyDescent="0.25">
      <c r="N6834" s="3"/>
      <c r="AW6834" s="7"/>
      <c r="AX6834" s="7"/>
    </row>
    <row r="6835" spans="14:50" x14ac:dyDescent="0.25">
      <c r="N6835" s="3"/>
      <c r="AW6835" s="7"/>
      <c r="AX6835" s="7"/>
    </row>
    <row r="6836" spans="14:50" x14ac:dyDescent="0.25">
      <c r="N6836" s="3"/>
      <c r="AW6836" s="7"/>
      <c r="AX6836" s="7"/>
    </row>
    <row r="6837" spans="14:50" x14ac:dyDescent="0.25">
      <c r="N6837" s="3"/>
      <c r="AW6837" s="7"/>
      <c r="AX6837" s="7"/>
    </row>
    <row r="6838" spans="14:50" x14ac:dyDescent="0.25">
      <c r="N6838" s="3"/>
      <c r="AW6838" s="7"/>
      <c r="AX6838" s="7"/>
    </row>
    <row r="6839" spans="14:50" x14ac:dyDescent="0.25">
      <c r="N6839" s="3"/>
      <c r="AW6839" s="7"/>
      <c r="AX6839" s="7"/>
    </row>
    <row r="6840" spans="14:50" x14ac:dyDescent="0.25">
      <c r="N6840" s="3"/>
      <c r="AW6840" s="7"/>
      <c r="AX6840" s="7"/>
    </row>
    <row r="6841" spans="14:50" x14ac:dyDescent="0.25">
      <c r="N6841" s="3"/>
      <c r="AW6841" s="7"/>
      <c r="AX6841" s="7"/>
    </row>
    <row r="6842" spans="14:50" x14ac:dyDescent="0.25">
      <c r="N6842" s="3"/>
      <c r="AW6842" s="7"/>
      <c r="AX6842" s="7"/>
    </row>
    <row r="6843" spans="14:50" x14ac:dyDescent="0.25">
      <c r="N6843" s="3"/>
      <c r="AW6843" s="7"/>
      <c r="AX6843" s="7"/>
    </row>
    <row r="6844" spans="14:50" x14ac:dyDescent="0.25">
      <c r="N6844" s="3"/>
      <c r="AW6844" s="7"/>
      <c r="AX6844" s="7"/>
    </row>
    <row r="6845" spans="14:50" x14ac:dyDescent="0.25">
      <c r="N6845" s="3"/>
      <c r="AW6845" s="7"/>
      <c r="AX6845" s="7"/>
    </row>
    <row r="6846" spans="14:50" x14ac:dyDescent="0.25">
      <c r="N6846" s="3"/>
      <c r="AW6846" s="7"/>
      <c r="AX6846" s="7"/>
    </row>
    <row r="6847" spans="14:50" x14ac:dyDescent="0.25">
      <c r="N6847" s="3"/>
      <c r="AW6847" s="7"/>
      <c r="AX6847" s="7"/>
    </row>
    <row r="6848" spans="14:50" x14ac:dyDescent="0.25">
      <c r="N6848" s="3"/>
      <c r="AW6848" s="7"/>
      <c r="AX6848" s="7"/>
    </row>
    <row r="6849" spans="14:50" x14ac:dyDescent="0.25">
      <c r="N6849" s="3"/>
      <c r="AW6849" s="7"/>
      <c r="AX6849" s="7"/>
    </row>
    <row r="6850" spans="14:50" x14ac:dyDescent="0.25">
      <c r="N6850" s="3"/>
      <c r="AW6850" s="7"/>
      <c r="AX6850" s="7"/>
    </row>
    <row r="6851" spans="14:50" x14ac:dyDescent="0.25">
      <c r="N6851" s="3"/>
      <c r="AW6851" s="7"/>
      <c r="AX6851" s="7"/>
    </row>
    <row r="6852" spans="14:50" x14ac:dyDescent="0.25">
      <c r="N6852" s="3"/>
      <c r="AW6852" s="7"/>
      <c r="AX6852" s="7"/>
    </row>
    <row r="6853" spans="14:50" x14ac:dyDescent="0.25">
      <c r="N6853" s="3"/>
      <c r="AW6853" s="7"/>
      <c r="AX6853" s="7"/>
    </row>
    <row r="6854" spans="14:50" x14ac:dyDescent="0.25">
      <c r="N6854" s="3"/>
      <c r="AW6854" s="7"/>
      <c r="AX6854" s="7"/>
    </row>
    <row r="6855" spans="14:50" x14ac:dyDescent="0.25">
      <c r="N6855" s="3"/>
      <c r="AW6855" s="7"/>
      <c r="AX6855" s="7"/>
    </row>
    <row r="6856" spans="14:50" x14ac:dyDescent="0.25">
      <c r="N6856" s="3"/>
      <c r="AW6856" s="7"/>
      <c r="AX6856" s="7"/>
    </row>
    <row r="6857" spans="14:50" x14ac:dyDescent="0.25">
      <c r="N6857" s="3"/>
      <c r="AW6857" s="7"/>
      <c r="AX6857" s="7"/>
    </row>
    <row r="6858" spans="14:50" x14ac:dyDescent="0.25">
      <c r="N6858" s="3"/>
      <c r="AW6858" s="7"/>
      <c r="AX6858" s="7"/>
    </row>
    <row r="6859" spans="14:50" x14ac:dyDescent="0.25">
      <c r="N6859" s="3"/>
      <c r="AW6859" s="7"/>
      <c r="AX6859" s="7"/>
    </row>
    <row r="6860" spans="14:50" x14ac:dyDescent="0.25">
      <c r="N6860" s="3"/>
      <c r="AW6860" s="7"/>
      <c r="AX6860" s="7"/>
    </row>
    <row r="6861" spans="14:50" x14ac:dyDescent="0.25">
      <c r="N6861" s="3"/>
      <c r="AW6861" s="7"/>
      <c r="AX6861" s="7"/>
    </row>
    <row r="6862" spans="14:50" x14ac:dyDescent="0.25">
      <c r="N6862" s="3"/>
      <c r="AW6862" s="7"/>
      <c r="AX6862" s="7"/>
    </row>
    <row r="6863" spans="14:50" x14ac:dyDescent="0.25">
      <c r="N6863" s="3"/>
      <c r="AW6863" s="7"/>
      <c r="AX6863" s="7"/>
    </row>
    <row r="6864" spans="14:50" x14ac:dyDescent="0.25">
      <c r="N6864" s="3"/>
      <c r="AW6864" s="7"/>
      <c r="AX6864" s="7"/>
    </row>
    <row r="6865" spans="14:50" x14ac:dyDescent="0.25">
      <c r="N6865" s="3"/>
      <c r="AW6865" s="7"/>
      <c r="AX6865" s="7"/>
    </row>
    <row r="6866" spans="14:50" x14ac:dyDescent="0.25">
      <c r="N6866" s="3"/>
      <c r="AW6866" s="7"/>
      <c r="AX6866" s="7"/>
    </row>
    <row r="6867" spans="14:50" x14ac:dyDescent="0.25">
      <c r="N6867" s="3"/>
      <c r="AW6867" s="7"/>
      <c r="AX6867" s="7"/>
    </row>
    <row r="6868" spans="14:50" x14ac:dyDescent="0.25">
      <c r="N6868" s="3"/>
      <c r="AW6868" s="7"/>
      <c r="AX6868" s="7"/>
    </row>
    <row r="6869" spans="14:50" x14ac:dyDescent="0.25">
      <c r="N6869" s="3"/>
      <c r="AW6869" s="7"/>
      <c r="AX6869" s="7"/>
    </row>
    <row r="6870" spans="14:50" x14ac:dyDescent="0.25">
      <c r="N6870" s="3"/>
      <c r="AW6870" s="7"/>
      <c r="AX6870" s="7"/>
    </row>
    <row r="6871" spans="14:50" x14ac:dyDescent="0.25">
      <c r="N6871" s="3"/>
      <c r="AW6871" s="7"/>
      <c r="AX6871" s="7"/>
    </row>
    <row r="6872" spans="14:50" x14ac:dyDescent="0.25">
      <c r="N6872" s="3"/>
      <c r="AW6872" s="7"/>
      <c r="AX6872" s="7"/>
    </row>
    <row r="6873" spans="14:50" x14ac:dyDescent="0.25">
      <c r="N6873" s="3"/>
      <c r="AW6873" s="7"/>
      <c r="AX6873" s="7"/>
    </row>
    <row r="6874" spans="14:50" x14ac:dyDescent="0.25">
      <c r="N6874" s="3"/>
      <c r="AW6874" s="7"/>
      <c r="AX6874" s="7"/>
    </row>
    <row r="6875" spans="14:50" x14ac:dyDescent="0.25">
      <c r="N6875" s="3"/>
      <c r="AW6875" s="7"/>
      <c r="AX6875" s="7"/>
    </row>
    <row r="6876" spans="14:50" x14ac:dyDescent="0.25">
      <c r="N6876" s="3"/>
      <c r="AW6876" s="7"/>
      <c r="AX6876" s="7"/>
    </row>
    <row r="6877" spans="14:50" x14ac:dyDescent="0.25">
      <c r="N6877" s="3"/>
      <c r="AW6877" s="7"/>
      <c r="AX6877" s="7"/>
    </row>
    <row r="6878" spans="14:50" x14ac:dyDescent="0.25">
      <c r="N6878" s="3"/>
      <c r="AW6878" s="7"/>
      <c r="AX6878" s="7"/>
    </row>
    <row r="6879" spans="14:50" x14ac:dyDescent="0.25">
      <c r="N6879" s="3"/>
      <c r="AW6879" s="7"/>
      <c r="AX6879" s="7"/>
    </row>
    <row r="6880" spans="14:50" x14ac:dyDescent="0.25">
      <c r="N6880" s="3"/>
      <c r="AW6880" s="7"/>
      <c r="AX6880" s="7"/>
    </row>
    <row r="6881" spans="14:50" x14ac:dyDescent="0.25">
      <c r="N6881" s="3"/>
      <c r="AW6881" s="7"/>
      <c r="AX6881" s="7"/>
    </row>
    <row r="6882" spans="14:50" x14ac:dyDescent="0.25">
      <c r="N6882" s="3"/>
      <c r="AW6882" s="7"/>
      <c r="AX6882" s="7"/>
    </row>
    <row r="6883" spans="14:50" x14ac:dyDescent="0.25">
      <c r="N6883" s="3"/>
      <c r="AW6883" s="7"/>
      <c r="AX6883" s="7"/>
    </row>
    <row r="6884" spans="14:50" x14ac:dyDescent="0.25">
      <c r="N6884" s="3"/>
      <c r="AW6884" s="7"/>
      <c r="AX6884" s="7"/>
    </row>
    <row r="6885" spans="14:50" x14ac:dyDescent="0.25">
      <c r="N6885" s="3"/>
      <c r="AW6885" s="7"/>
      <c r="AX6885" s="7"/>
    </row>
    <row r="6886" spans="14:50" x14ac:dyDescent="0.25">
      <c r="N6886" s="3"/>
      <c r="AW6886" s="7"/>
      <c r="AX6886" s="7"/>
    </row>
    <row r="6887" spans="14:50" x14ac:dyDescent="0.25">
      <c r="N6887" s="3"/>
      <c r="AW6887" s="7"/>
      <c r="AX6887" s="7"/>
    </row>
    <row r="6888" spans="14:50" x14ac:dyDescent="0.25">
      <c r="N6888" s="3"/>
      <c r="AW6888" s="7"/>
      <c r="AX6888" s="7"/>
    </row>
    <row r="6889" spans="14:50" x14ac:dyDescent="0.25">
      <c r="N6889" s="3"/>
      <c r="AW6889" s="7"/>
      <c r="AX6889" s="7"/>
    </row>
    <row r="6890" spans="14:50" x14ac:dyDescent="0.25">
      <c r="N6890" s="3"/>
      <c r="AW6890" s="7"/>
      <c r="AX6890" s="7"/>
    </row>
    <row r="6891" spans="14:50" x14ac:dyDescent="0.25">
      <c r="N6891" s="3"/>
      <c r="AW6891" s="7"/>
      <c r="AX6891" s="7"/>
    </row>
    <row r="6892" spans="14:50" x14ac:dyDescent="0.25">
      <c r="N6892" s="3"/>
      <c r="AW6892" s="7"/>
      <c r="AX6892" s="7"/>
    </row>
    <row r="6893" spans="14:50" x14ac:dyDescent="0.25">
      <c r="N6893" s="3"/>
      <c r="AW6893" s="7"/>
      <c r="AX6893" s="7"/>
    </row>
    <row r="6894" spans="14:50" x14ac:dyDescent="0.25">
      <c r="N6894" s="3"/>
      <c r="AW6894" s="7"/>
      <c r="AX6894" s="7"/>
    </row>
    <row r="6895" spans="14:50" x14ac:dyDescent="0.25">
      <c r="N6895" s="3"/>
      <c r="AW6895" s="7"/>
      <c r="AX6895" s="7"/>
    </row>
    <row r="6896" spans="14:50" x14ac:dyDescent="0.25">
      <c r="N6896" s="3"/>
      <c r="AW6896" s="7"/>
      <c r="AX6896" s="7"/>
    </row>
    <row r="6897" spans="14:50" x14ac:dyDescent="0.25">
      <c r="N6897" s="3"/>
      <c r="AW6897" s="7"/>
      <c r="AX6897" s="7"/>
    </row>
    <row r="6898" spans="14:50" x14ac:dyDescent="0.25">
      <c r="N6898" s="3"/>
      <c r="AW6898" s="7"/>
      <c r="AX6898" s="7"/>
    </row>
    <row r="6899" spans="14:50" x14ac:dyDescent="0.25">
      <c r="N6899" s="3"/>
      <c r="AW6899" s="7"/>
      <c r="AX6899" s="7"/>
    </row>
    <row r="6900" spans="14:50" x14ac:dyDescent="0.25">
      <c r="N6900" s="3"/>
      <c r="AW6900" s="7"/>
      <c r="AX6900" s="7"/>
    </row>
    <row r="6901" spans="14:50" x14ac:dyDescent="0.25">
      <c r="N6901" s="3"/>
      <c r="AW6901" s="7"/>
      <c r="AX6901" s="7"/>
    </row>
    <row r="6902" spans="14:50" x14ac:dyDescent="0.25">
      <c r="N6902" s="3"/>
      <c r="AW6902" s="7"/>
      <c r="AX6902" s="7"/>
    </row>
    <row r="6903" spans="14:50" x14ac:dyDescent="0.25">
      <c r="N6903" s="3"/>
      <c r="AW6903" s="7"/>
      <c r="AX6903" s="7"/>
    </row>
    <row r="6904" spans="14:50" x14ac:dyDescent="0.25">
      <c r="N6904" s="3"/>
      <c r="AW6904" s="7"/>
      <c r="AX6904" s="7"/>
    </row>
    <row r="6905" spans="14:50" x14ac:dyDescent="0.25">
      <c r="N6905" s="3"/>
      <c r="AW6905" s="7"/>
      <c r="AX6905" s="7"/>
    </row>
    <row r="6906" spans="14:50" x14ac:dyDescent="0.25">
      <c r="N6906" s="3"/>
      <c r="AW6906" s="7"/>
      <c r="AX6906" s="7"/>
    </row>
    <row r="6907" spans="14:50" x14ac:dyDescent="0.25">
      <c r="N6907" s="3"/>
      <c r="AW6907" s="7"/>
      <c r="AX6907" s="7"/>
    </row>
    <row r="6908" spans="14:50" x14ac:dyDescent="0.25">
      <c r="N6908" s="3"/>
      <c r="AW6908" s="7"/>
      <c r="AX6908" s="7"/>
    </row>
    <row r="6909" spans="14:50" x14ac:dyDescent="0.25">
      <c r="N6909" s="3"/>
      <c r="AW6909" s="7"/>
      <c r="AX6909" s="7"/>
    </row>
    <row r="6910" spans="14:50" x14ac:dyDescent="0.25">
      <c r="N6910" s="3"/>
      <c r="AW6910" s="7"/>
      <c r="AX6910" s="7"/>
    </row>
    <row r="6911" spans="14:50" x14ac:dyDescent="0.25">
      <c r="N6911" s="3"/>
      <c r="AW6911" s="7"/>
      <c r="AX6911" s="7"/>
    </row>
    <row r="6912" spans="14:50" x14ac:dyDescent="0.25">
      <c r="N6912" s="3"/>
      <c r="AW6912" s="7"/>
      <c r="AX6912" s="7"/>
    </row>
    <row r="6913" spans="14:50" x14ac:dyDescent="0.25">
      <c r="N6913" s="3"/>
      <c r="AW6913" s="7"/>
      <c r="AX6913" s="7"/>
    </row>
    <row r="6914" spans="14:50" x14ac:dyDescent="0.25">
      <c r="N6914" s="3"/>
      <c r="AW6914" s="7"/>
      <c r="AX6914" s="7"/>
    </row>
    <row r="6915" spans="14:50" x14ac:dyDescent="0.25">
      <c r="N6915" s="3"/>
      <c r="AW6915" s="7"/>
      <c r="AX6915" s="7"/>
    </row>
    <row r="6916" spans="14:50" x14ac:dyDescent="0.25">
      <c r="N6916" s="3"/>
      <c r="AW6916" s="7"/>
      <c r="AX6916" s="7"/>
    </row>
    <row r="6917" spans="14:50" x14ac:dyDescent="0.25">
      <c r="N6917" s="3"/>
      <c r="AW6917" s="7"/>
      <c r="AX6917" s="7"/>
    </row>
    <row r="6918" spans="14:50" x14ac:dyDescent="0.25">
      <c r="N6918" s="3"/>
      <c r="AW6918" s="7"/>
      <c r="AX6918" s="7"/>
    </row>
    <row r="6919" spans="14:50" x14ac:dyDescent="0.25">
      <c r="N6919" s="3"/>
      <c r="AW6919" s="7"/>
      <c r="AX6919" s="7"/>
    </row>
    <row r="6920" spans="14:50" x14ac:dyDescent="0.25">
      <c r="N6920" s="3"/>
      <c r="AW6920" s="7"/>
      <c r="AX6920" s="7"/>
    </row>
    <row r="6921" spans="14:50" x14ac:dyDescent="0.25">
      <c r="N6921" s="3"/>
      <c r="AW6921" s="7"/>
      <c r="AX6921" s="7"/>
    </row>
    <row r="6922" spans="14:50" x14ac:dyDescent="0.25">
      <c r="N6922" s="3"/>
      <c r="AW6922" s="7"/>
      <c r="AX6922" s="7"/>
    </row>
    <row r="6923" spans="14:50" x14ac:dyDescent="0.25">
      <c r="N6923" s="3"/>
      <c r="AW6923" s="7"/>
      <c r="AX6923" s="7"/>
    </row>
    <row r="6924" spans="14:50" x14ac:dyDescent="0.25">
      <c r="N6924" s="3"/>
      <c r="AW6924" s="7"/>
      <c r="AX6924" s="7"/>
    </row>
    <row r="6925" spans="14:50" x14ac:dyDescent="0.25">
      <c r="N6925" s="3"/>
      <c r="AW6925" s="7"/>
      <c r="AX6925" s="7"/>
    </row>
    <row r="6926" spans="14:50" x14ac:dyDescent="0.25">
      <c r="N6926" s="3"/>
      <c r="AW6926" s="7"/>
      <c r="AX6926" s="7"/>
    </row>
    <row r="6927" spans="14:50" x14ac:dyDescent="0.25">
      <c r="N6927" s="3"/>
      <c r="AW6927" s="7"/>
      <c r="AX6927" s="7"/>
    </row>
    <row r="6928" spans="14:50" x14ac:dyDescent="0.25">
      <c r="N6928" s="3"/>
      <c r="AW6928" s="7"/>
      <c r="AX6928" s="7"/>
    </row>
    <row r="6929" spans="14:50" x14ac:dyDescent="0.25">
      <c r="N6929" s="3"/>
      <c r="AW6929" s="7"/>
      <c r="AX6929" s="7"/>
    </row>
    <row r="6930" spans="14:50" x14ac:dyDescent="0.25">
      <c r="N6930" s="3"/>
      <c r="AW6930" s="7"/>
      <c r="AX6930" s="7"/>
    </row>
    <row r="6931" spans="14:50" x14ac:dyDescent="0.25">
      <c r="N6931" s="3"/>
      <c r="AW6931" s="7"/>
      <c r="AX6931" s="7"/>
    </row>
    <row r="6932" spans="14:50" x14ac:dyDescent="0.25">
      <c r="N6932" s="3"/>
      <c r="AW6932" s="7"/>
      <c r="AX6932" s="7"/>
    </row>
    <row r="6933" spans="14:50" x14ac:dyDescent="0.25">
      <c r="N6933" s="3"/>
      <c r="AW6933" s="7"/>
      <c r="AX6933" s="7"/>
    </row>
    <row r="6934" spans="14:50" x14ac:dyDescent="0.25">
      <c r="N6934" s="3"/>
      <c r="AW6934" s="7"/>
      <c r="AX6934" s="7"/>
    </row>
    <row r="6935" spans="14:50" x14ac:dyDescent="0.25">
      <c r="N6935" s="3"/>
      <c r="AW6935" s="7"/>
      <c r="AX6935" s="7"/>
    </row>
    <row r="6936" spans="14:50" x14ac:dyDescent="0.25">
      <c r="N6936" s="3"/>
      <c r="AW6936" s="7"/>
      <c r="AX6936" s="7"/>
    </row>
    <row r="6937" spans="14:50" x14ac:dyDescent="0.25">
      <c r="N6937" s="3"/>
      <c r="AW6937" s="7"/>
      <c r="AX6937" s="7"/>
    </row>
    <row r="6938" spans="14:50" x14ac:dyDescent="0.25">
      <c r="N6938" s="3"/>
      <c r="AW6938" s="7"/>
      <c r="AX6938" s="7"/>
    </row>
    <row r="6939" spans="14:50" x14ac:dyDescent="0.25">
      <c r="N6939" s="3"/>
      <c r="AW6939" s="7"/>
      <c r="AX6939" s="7"/>
    </row>
    <row r="6940" spans="14:50" x14ac:dyDescent="0.25">
      <c r="N6940" s="3"/>
      <c r="AW6940" s="7"/>
      <c r="AX6940" s="7"/>
    </row>
    <row r="6941" spans="14:50" x14ac:dyDescent="0.25">
      <c r="N6941" s="3"/>
      <c r="AW6941" s="7"/>
      <c r="AX6941" s="7"/>
    </row>
    <row r="6942" spans="14:50" x14ac:dyDescent="0.25">
      <c r="N6942" s="3"/>
      <c r="AW6942" s="7"/>
      <c r="AX6942" s="7"/>
    </row>
    <row r="6943" spans="14:50" x14ac:dyDescent="0.25">
      <c r="N6943" s="3"/>
      <c r="AW6943" s="7"/>
      <c r="AX6943" s="7"/>
    </row>
    <row r="6944" spans="14:50" x14ac:dyDescent="0.25">
      <c r="N6944" s="3"/>
      <c r="AW6944" s="7"/>
      <c r="AX6944" s="7"/>
    </row>
    <row r="6945" spans="14:50" x14ac:dyDescent="0.25">
      <c r="N6945" s="3"/>
      <c r="AW6945" s="7"/>
      <c r="AX6945" s="7"/>
    </row>
    <row r="6946" spans="14:50" x14ac:dyDescent="0.25">
      <c r="N6946" s="3"/>
      <c r="AW6946" s="7"/>
      <c r="AX6946" s="7"/>
    </row>
    <row r="6947" spans="14:50" x14ac:dyDescent="0.25">
      <c r="N6947" s="3"/>
      <c r="AW6947" s="7"/>
      <c r="AX6947" s="7"/>
    </row>
    <row r="6948" spans="14:50" x14ac:dyDescent="0.25">
      <c r="N6948" s="3"/>
      <c r="AW6948" s="7"/>
      <c r="AX6948" s="7"/>
    </row>
    <row r="6949" spans="14:50" x14ac:dyDescent="0.25">
      <c r="N6949" s="3"/>
      <c r="AW6949" s="7"/>
      <c r="AX6949" s="7"/>
    </row>
    <row r="6950" spans="14:50" x14ac:dyDescent="0.25">
      <c r="N6950" s="3"/>
      <c r="AW6950" s="7"/>
      <c r="AX6950" s="7"/>
    </row>
    <row r="6951" spans="14:50" x14ac:dyDescent="0.25">
      <c r="N6951" s="3"/>
      <c r="AW6951" s="7"/>
      <c r="AX6951" s="7"/>
    </row>
    <row r="6952" spans="14:50" x14ac:dyDescent="0.25">
      <c r="N6952" s="3"/>
      <c r="AW6952" s="7"/>
      <c r="AX6952" s="7"/>
    </row>
    <row r="6953" spans="14:50" x14ac:dyDescent="0.25">
      <c r="N6953" s="3"/>
      <c r="AW6953" s="7"/>
      <c r="AX6953" s="7"/>
    </row>
    <row r="6954" spans="14:50" x14ac:dyDescent="0.25">
      <c r="N6954" s="3"/>
      <c r="AW6954" s="7"/>
      <c r="AX6954" s="7"/>
    </row>
    <row r="6955" spans="14:50" x14ac:dyDescent="0.25">
      <c r="N6955" s="3"/>
      <c r="AW6955" s="7"/>
      <c r="AX6955" s="7"/>
    </row>
    <row r="6956" spans="14:50" x14ac:dyDescent="0.25">
      <c r="N6956" s="3"/>
      <c r="AW6956" s="7"/>
      <c r="AX6956" s="7"/>
    </row>
    <row r="6957" spans="14:50" x14ac:dyDescent="0.25">
      <c r="N6957" s="3"/>
      <c r="AW6957" s="7"/>
      <c r="AX6957" s="7"/>
    </row>
    <row r="6958" spans="14:50" x14ac:dyDescent="0.25">
      <c r="N6958" s="3"/>
      <c r="AW6958" s="7"/>
      <c r="AX6958" s="7"/>
    </row>
    <row r="6959" spans="14:50" x14ac:dyDescent="0.25">
      <c r="N6959" s="3"/>
      <c r="AW6959" s="7"/>
      <c r="AX6959" s="7"/>
    </row>
    <row r="6960" spans="14:50" x14ac:dyDescent="0.25">
      <c r="N6960" s="3"/>
      <c r="AW6960" s="7"/>
      <c r="AX6960" s="7"/>
    </row>
    <row r="6961" spans="14:50" x14ac:dyDescent="0.25">
      <c r="N6961" s="3"/>
      <c r="AW6961" s="7"/>
      <c r="AX6961" s="7"/>
    </row>
    <row r="6962" spans="14:50" x14ac:dyDescent="0.25">
      <c r="N6962" s="3"/>
      <c r="AW6962" s="7"/>
      <c r="AX6962" s="7"/>
    </row>
    <row r="6963" spans="14:50" x14ac:dyDescent="0.25">
      <c r="N6963" s="3"/>
      <c r="AW6963" s="7"/>
      <c r="AX6963" s="7"/>
    </row>
    <row r="6964" spans="14:50" x14ac:dyDescent="0.25">
      <c r="N6964" s="3"/>
      <c r="AW6964" s="7"/>
      <c r="AX6964" s="7"/>
    </row>
    <row r="6965" spans="14:50" x14ac:dyDescent="0.25">
      <c r="N6965" s="3"/>
      <c r="AW6965" s="7"/>
      <c r="AX6965" s="7"/>
    </row>
    <row r="6966" spans="14:50" x14ac:dyDescent="0.25">
      <c r="N6966" s="3"/>
      <c r="AW6966" s="7"/>
      <c r="AX6966" s="7"/>
    </row>
    <row r="6967" spans="14:50" x14ac:dyDescent="0.25">
      <c r="N6967" s="3"/>
      <c r="AW6967" s="7"/>
      <c r="AX6967" s="7"/>
    </row>
    <row r="6968" spans="14:50" x14ac:dyDescent="0.25">
      <c r="N6968" s="3"/>
      <c r="AW6968" s="7"/>
      <c r="AX6968" s="7"/>
    </row>
    <row r="6969" spans="14:50" x14ac:dyDescent="0.25">
      <c r="N6969" s="3"/>
      <c r="AW6969" s="7"/>
      <c r="AX6969" s="7"/>
    </row>
    <row r="6970" spans="14:50" x14ac:dyDescent="0.25">
      <c r="N6970" s="3"/>
      <c r="AW6970" s="7"/>
      <c r="AX6970" s="7"/>
    </row>
    <row r="6971" spans="14:50" x14ac:dyDescent="0.25">
      <c r="N6971" s="3"/>
      <c r="AW6971" s="7"/>
      <c r="AX6971" s="7"/>
    </row>
    <row r="6972" spans="14:50" x14ac:dyDescent="0.25">
      <c r="N6972" s="3"/>
      <c r="AW6972" s="7"/>
      <c r="AX6972" s="7"/>
    </row>
    <row r="6973" spans="14:50" x14ac:dyDescent="0.25">
      <c r="N6973" s="3"/>
      <c r="AW6973" s="7"/>
      <c r="AX6973" s="7"/>
    </row>
    <row r="6974" spans="14:50" x14ac:dyDescent="0.25">
      <c r="N6974" s="3"/>
      <c r="AW6974" s="7"/>
      <c r="AX6974" s="7"/>
    </row>
    <row r="6975" spans="14:50" x14ac:dyDescent="0.25">
      <c r="N6975" s="3"/>
      <c r="AW6975" s="7"/>
      <c r="AX6975" s="7"/>
    </row>
    <row r="6976" spans="14:50" x14ac:dyDescent="0.25">
      <c r="N6976" s="3"/>
      <c r="AW6976" s="7"/>
      <c r="AX6976" s="7"/>
    </row>
    <row r="6977" spans="14:50" x14ac:dyDescent="0.25">
      <c r="N6977" s="3"/>
      <c r="AW6977" s="7"/>
      <c r="AX6977" s="7"/>
    </row>
    <row r="6978" spans="14:50" x14ac:dyDescent="0.25">
      <c r="N6978" s="3"/>
      <c r="AW6978" s="7"/>
      <c r="AX6978" s="7"/>
    </row>
    <row r="6979" spans="14:50" x14ac:dyDescent="0.25">
      <c r="N6979" s="3"/>
      <c r="AW6979" s="7"/>
      <c r="AX6979" s="7"/>
    </row>
    <row r="6980" spans="14:50" x14ac:dyDescent="0.25">
      <c r="N6980" s="3"/>
      <c r="AW6980" s="7"/>
      <c r="AX6980" s="7"/>
    </row>
    <row r="6981" spans="14:50" x14ac:dyDescent="0.25">
      <c r="N6981" s="3"/>
      <c r="AW6981" s="7"/>
      <c r="AX6981" s="7"/>
    </row>
    <row r="6982" spans="14:50" x14ac:dyDescent="0.25">
      <c r="N6982" s="3"/>
      <c r="AW6982" s="7"/>
      <c r="AX6982" s="7"/>
    </row>
    <row r="6983" spans="14:50" x14ac:dyDescent="0.25">
      <c r="N6983" s="3"/>
      <c r="AW6983" s="7"/>
      <c r="AX6983" s="7"/>
    </row>
    <row r="6984" spans="14:50" x14ac:dyDescent="0.25">
      <c r="N6984" s="3"/>
      <c r="AW6984" s="7"/>
      <c r="AX6984" s="7"/>
    </row>
    <row r="6985" spans="14:50" x14ac:dyDescent="0.25">
      <c r="N6985" s="3"/>
      <c r="AW6985" s="7"/>
      <c r="AX6985" s="7"/>
    </row>
    <row r="6986" spans="14:50" x14ac:dyDescent="0.25">
      <c r="N6986" s="3"/>
      <c r="AW6986" s="7"/>
      <c r="AX6986" s="7"/>
    </row>
    <row r="6987" spans="14:50" x14ac:dyDescent="0.25">
      <c r="N6987" s="3"/>
      <c r="AW6987" s="7"/>
      <c r="AX6987" s="7"/>
    </row>
    <row r="6988" spans="14:50" x14ac:dyDescent="0.25">
      <c r="N6988" s="3"/>
      <c r="AW6988" s="7"/>
      <c r="AX6988" s="7"/>
    </row>
    <row r="6989" spans="14:50" x14ac:dyDescent="0.25">
      <c r="N6989" s="3"/>
      <c r="AW6989" s="7"/>
      <c r="AX6989" s="7"/>
    </row>
    <row r="6990" spans="14:50" x14ac:dyDescent="0.25">
      <c r="N6990" s="3"/>
      <c r="AW6990" s="7"/>
      <c r="AX6990" s="7"/>
    </row>
    <row r="6991" spans="14:50" x14ac:dyDescent="0.25">
      <c r="N6991" s="3"/>
      <c r="AW6991" s="7"/>
      <c r="AX6991" s="7"/>
    </row>
    <row r="6992" spans="14:50" x14ac:dyDescent="0.25">
      <c r="N6992" s="3"/>
      <c r="AW6992" s="7"/>
      <c r="AX6992" s="7"/>
    </row>
    <row r="6993" spans="14:50" x14ac:dyDescent="0.25">
      <c r="N6993" s="3"/>
      <c r="AW6993" s="7"/>
      <c r="AX6993" s="7"/>
    </row>
    <row r="6994" spans="14:50" x14ac:dyDescent="0.25">
      <c r="N6994" s="3"/>
      <c r="AW6994" s="7"/>
      <c r="AX6994" s="7"/>
    </row>
    <row r="6995" spans="14:50" x14ac:dyDescent="0.25">
      <c r="N6995" s="3"/>
      <c r="AW6995" s="7"/>
      <c r="AX6995" s="7"/>
    </row>
    <row r="6996" spans="14:50" x14ac:dyDescent="0.25">
      <c r="N6996" s="3"/>
      <c r="AW6996" s="7"/>
      <c r="AX6996" s="7"/>
    </row>
    <row r="6997" spans="14:50" x14ac:dyDescent="0.25">
      <c r="N6997" s="3"/>
      <c r="AW6997" s="7"/>
      <c r="AX6997" s="7"/>
    </row>
    <row r="6998" spans="14:50" x14ac:dyDescent="0.25">
      <c r="N6998" s="3"/>
      <c r="AW6998" s="7"/>
      <c r="AX6998" s="7"/>
    </row>
    <row r="6999" spans="14:50" x14ac:dyDescent="0.25">
      <c r="N6999" s="3"/>
      <c r="AW6999" s="7"/>
      <c r="AX6999" s="7"/>
    </row>
    <row r="7000" spans="14:50" x14ac:dyDescent="0.25">
      <c r="N7000" s="3"/>
      <c r="AW7000" s="7"/>
      <c r="AX7000" s="7"/>
    </row>
    <row r="7001" spans="14:50" x14ac:dyDescent="0.25">
      <c r="N7001" s="3"/>
      <c r="AW7001" s="7"/>
      <c r="AX7001" s="7"/>
    </row>
    <row r="7002" spans="14:50" x14ac:dyDescent="0.25">
      <c r="N7002" s="3"/>
      <c r="AW7002" s="7"/>
      <c r="AX7002" s="7"/>
    </row>
    <row r="7003" spans="14:50" x14ac:dyDescent="0.25">
      <c r="N7003" s="3"/>
      <c r="AW7003" s="7"/>
      <c r="AX7003" s="7"/>
    </row>
    <row r="7004" spans="14:50" x14ac:dyDescent="0.25">
      <c r="N7004" s="3"/>
      <c r="AW7004" s="7"/>
      <c r="AX7004" s="7"/>
    </row>
    <row r="7005" spans="14:50" x14ac:dyDescent="0.25">
      <c r="N7005" s="3"/>
      <c r="AW7005" s="7"/>
      <c r="AX7005" s="7"/>
    </row>
    <row r="7006" spans="14:50" x14ac:dyDescent="0.25">
      <c r="N7006" s="3"/>
      <c r="AW7006" s="7"/>
      <c r="AX7006" s="7"/>
    </row>
    <row r="7007" spans="14:50" x14ac:dyDescent="0.25">
      <c r="N7007" s="3"/>
      <c r="AW7007" s="7"/>
      <c r="AX7007" s="7"/>
    </row>
    <row r="7008" spans="14:50" x14ac:dyDescent="0.25">
      <c r="N7008" s="3"/>
      <c r="AW7008" s="7"/>
      <c r="AX7008" s="7"/>
    </row>
    <row r="7009" spans="14:50" x14ac:dyDescent="0.25">
      <c r="N7009" s="3"/>
      <c r="AW7009" s="7"/>
      <c r="AX7009" s="7"/>
    </row>
    <row r="7010" spans="14:50" x14ac:dyDescent="0.25">
      <c r="N7010" s="3"/>
      <c r="AW7010" s="7"/>
      <c r="AX7010" s="7"/>
    </row>
    <row r="7011" spans="14:50" x14ac:dyDescent="0.25">
      <c r="N7011" s="3"/>
      <c r="AW7011" s="7"/>
      <c r="AX7011" s="7"/>
    </row>
    <row r="7012" spans="14:50" x14ac:dyDescent="0.25">
      <c r="N7012" s="3"/>
      <c r="AW7012" s="7"/>
      <c r="AX7012" s="7"/>
    </row>
    <row r="7013" spans="14:50" x14ac:dyDescent="0.25">
      <c r="N7013" s="3"/>
      <c r="AW7013" s="7"/>
      <c r="AX7013" s="7"/>
    </row>
    <row r="7014" spans="14:50" x14ac:dyDescent="0.25">
      <c r="N7014" s="3"/>
      <c r="AW7014" s="7"/>
      <c r="AX7014" s="7"/>
    </row>
    <row r="7015" spans="14:50" x14ac:dyDescent="0.25">
      <c r="N7015" s="3"/>
      <c r="AW7015" s="7"/>
      <c r="AX7015" s="7"/>
    </row>
    <row r="7016" spans="14:50" x14ac:dyDescent="0.25">
      <c r="N7016" s="3"/>
      <c r="AW7016" s="7"/>
      <c r="AX7016" s="7"/>
    </row>
    <row r="7017" spans="14:50" x14ac:dyDescent="0.25">
      <c r="N7017" s="3"/>
      <c r="AW7017" s="7"/>
      <c r="AX7017" s="7"/>
    </row>
    <row r="7018" spans="14:50" x14ac:dyDescent="0.25">
      <c r="N7018" s="3"/>
      <c r="AW7018" s="7"/>
      <c r="AX7018" s="7"/>
    </row>
    <row r="7019" spans="14:50" x14ac:dyDescent="0.25">
      <c r="N7019" s="3"/>
      <c r="AW7019" s="7"/>
      <c r="AX7019" s="7"/>
    </row>
    <row r="7020" spans="14:50" x14ac:dyDescent="0.25">
      <c r="N7020" s="3"/>
      <c r="AW7020" s="7"/>
      <c r="AX7020" s="7"/>
    </row>
    <row r="7021" spans="14:50" x14ac:dyDescent="0.25">
      <c r="N7021" s="3"/>
      <c r="AW7021" s="7"/>
      <c r="AX7021" s="7"/>
    </row>
    <row r="7022" spans="14:50" x14ac:dyDescent="0.25">
      <c r="N7022" s="3"/>
      <c r="AW7022" s="7"/>
      <c r="AX7022" s="7"/>
    </row>
    <row r="7023" spans="14:50" x14ac:dyDescent="0.25">
      <c r="N7023" s="3"/>
      <c r="AW7023" s="7"/>
      <c r="AX7023" s="7"/>
    </row>
    <row r="7024" spans="14:50" x14ac:dyDescent="0.25">
      <c r="N7024" s="3"/>
      <c r="AW7024" s="7"/>
      <c r="AX7024" s="7"/>
    </row>
    <row r="7025" spans="14:50" x14ac:dyDescent="0.25">
      <c r="N7025" s="3"/>
      <c r="AW7025" s="7"/>
      <c r="AX7025" s="7"/>
    </row>
    <row r="7026" spans="14:50" x14ac:dyDescent="0.25">
      <c r="N7026" s="3"/>
      <c r="AW7026" s="7"/>
      <c r="AX7026" s="7"/>
    </row>
    <row r="7027" spans="14:50" x14ac:dyDescent="0.25">
      <c r="N7027" s="3"/>
      <c r="AW7027" s="7"/>
      <c r="AX7027" s="7"/>
    </row>
    <row r="7028" spans="14:50" x14ac:dyDescent="0.25">
      <c r="N7028" s="3"/>
      <c r="AW7028" s="7"/>
      <c r="AX7028" s="7"/>
    </row>
    <row r="7029" spans="14:50" x14ac:dyDescent="0.25">
      <c r="N7029" s="3"/>
      <c r="AW7029" s="7"/>
      <c r="AX7029" s="7"/>
    </row>
    <row r="7030" spans="14:50" x14ac:dyDescent="0.25">
      <c r="N7030" s="3"/>
      <c r="AW7030" s="7"/>
      <c r="AX7030" s="7"/>
    </row>
    <row r="7031" spans="14:50" x14ac:dyDescent="0.25">
      <c r="N7031" s="3"/>
      <c r="AW7031" s="7"/>
      <c r="AX7031" s="7"/>
    </row>
    <row r="7032" spans="14:50" x14ac:dyDescent="0.25">
      <c r="N7032" s="3"/>
      <c r="AW7032" s="7"/>
      <c r="AX7032" s="7"/>
    </row>
    <row r="7033" spans="14:50" x14ac:dyDescent="0.25">
      <c r="N7033" s="3"/>
      <c r="AW7033" s="7"/>
      <c r="AX7033" s="7"/>
    </row>
    <row r="7034" spans="14:50" x14ac:dyDescent="0.25">
      <c r="N7034" s="3"/>
      <c r="AW7034" s="7"/>
      <c r="AX7034" s="7"/>
    </row>
    <row r="7035" spans="14:50" x14ac:dyDescent="0.25">
      <c r="N7035" s="3"/>
      <c r="AW7035" s="7"/>
      <c r="AX7035" s="7"/>
    </row>
    <row r="7036" spans="14:50" x14ac:dyDescent="0.25">
      <c r="N7036" s="3"/>
      <c r="AW7036" s="7"/>
      <c r="AX7036" s="7"/>
    </row>
    <row r="7037" spans="14:50" x14ac:dyDescent="0.25">
      <c r="N7037" s="3"/>
      <c r="AW7037" s="7"/>
      <c r="AX7037" s="7"/>
    </row>
    <row r="7038" spans="14:50" x14ac:dyDescent="0.25">
      <c r="N7038" s="3"/>
      <c r="AW7038" s="7"/>
      <c r="AX7038" s="7"/>
    </row>
    <row r="7039" spans="14:50" x14ac:dyDescent="0.25">
      <c r="N7039" s="3"/>
      <c r="AW7039" s="7"/>
      <c r="AX7039" s="7"/>
    </row>
    <row r="7040" spans="14:50" x14ac:dyDescent="0.25">
      <c r="N7040" s="3"/>
      <c r="AW7040" s="7"/>
      <c r="AX7040" s="7"/>
    </row>
    <row r="7041" spans="14:50" x14ac:dyDescent="0.25">
      <c r="N7041" s="3"/>
      <c r="AW7041" s="7"/>
      <c r="AX7041" s="7"/>
    </row>
    <row r="7042" spans="14:50" x14ac:dyDescent="0.25">
      <c r="N7042" s="3"/>
      <c r="AW7042" s="7"/>
      <c r="AX7042" s="7"/>
    </row>
    <row r="7043" spans="14:50" x14ac:dyDescent="0.25">
      <c r="N7043" s="3"/>
      <c r="AW7043" s="7"/>
      <c r="AX7043" s="7"/>
    </row>
    <row r="7044" spans="14:50" x14ac:dyDescent="0.25">
      <c r="N7044" s="3"/>
      <c r="AW7044" s="7"/>
      <c r="AX7044" s="7"/>
    </row>
    <row r="7045" spans="14:50" x14ac:dyDescent="0.25">
      <c r="N7045" s="3"/>
      <c r="AW7045" s="7"/>
      <c r="AX7045" s="7"/>
    </row>
    <row r="7046" spans="14:50" x14ac:dyDescent="0.25">
      <c r="N7046" s="3"/>
      <c r="AW7046" s="7"/>
      <c r="AX7046" s="7"/>
    </row>
    <row r="7047" spans="14:50" x14ac:dyDescent="0.25">
      <c r="N7047" s="3"/>
      <c r="AW7047" s="7"/>
      <c r="AX7047" s="7"/>
    </row>
    <row r="7048" spans="14:50" x14ac:dyDescent="0.25">
      <c r="N7048" s="3"/>
      <c r="AW7048" s="7"/>
      <c r="AX7048" s="7"/>
    </row>
    <row r="7049" spans="14:50" x14ac:dyDescent="0.25">
      <c r="N7049" s="3"/>
      <c r="AW7049" s="7"/>
      <c r="AX7049" s="7"/>
    </row>
    <row r="7050" spans="14:50" x14ac:dyDescent="0.25">
      <c r="N7050" s="3"/>
      <c r="AW7050" s="7"/>
      <c r="AX7050" s="7"/>
    </row>
    <row r="7051" spans="14:50" x14ac:dyDescent="0.25">
      <c r="N7051" s="3"/>
      <c r="AW7051" s="7"/>
      <c r="AX7051" s="7"/>
    </row>
    <row r="7052" spans="14:50" x14ac:dyDescent="0.25">
      <c r="N7052" s="3"/>
      <c r="AW7052" s="7"/>
      <c r="AX7052" s="7"/>
    </row>
    <row r="7053" spans="14:50" x14ac:dyDescent="0.25">
      <c r="N7053" s="3"/>
      <c r="AW7053" s="7"/>
      <c r="AX7053" s="7"/>
    </row>
    <row r="7054" spans="14:50" x14ac:dyDescent="0.25">
      <c r="N7054" s="3"/>
      <c r="AW7054" s="7"/>
      <c r="AX7054" s="7"/>
    </row>
    <row r="7055" spans="14:50" x14ac:dyDescent="0.25">
      <c r="N7055" s="3"/>
      <c r="AW7055" s="7"/>
      <c r="AX7055" s="7"/>
    </row>
    <row r="7056" spans="14:50" x14ac:dyDescent="0.25">
      <c r="N7056" s="3"/>
      <c r="AW7056" s="7"/>
      <c r="AX7056" s="7"/>
    </row>
    <row r="7057" spans="14:50" x14ac:dyDescent="0.25">
      <c r="N7057" s="3"/>
      <c r="AW7057" s="7"/>
      <c r="AX7057" s="7"/>
    </row>
    <row r="7058" spans="14:50" x14ac:dyDescent="0.25">
      <c r="N7058" s="3"/>
      <c r="AW7058" s="7"/>
      <c r="AX7058" s="7"/>
    </row>
    <row r="7059" spans="14:50" x14ac:dyDescent="0.25">
      <c r="N7059" s="3"/>
      <c r="AW7059" s="7"/>
      <c r="AX7059" s="7"/>
    </row>
    <row r="7060" spans="14:50" x14ac:dyDescent="0.25">
      <c r="N7060" s="3"/>
      <c r="AW7060" s="7"/>
      <c r="AX7060" s="7"/>
    </row>
    <row r="7061" spans="14:50" x14ac:dyDescent="0.25">
      <c r="N7061" s="3"/>
      <c r="AW7061" s="7"/>
      <c r="AX7061" s="7"/>
    </row>
    <row r="7062" spans="14:50" x14ac:dyDescent="0.25">
      <c r="N7062" s="3"/>
      <c r="AW7062" s="7"/>
      <c r="AX7062" s="7"/>
    </row>
    <row r="7063" spans="14:50" x14ac:dyDescent="0.25">
      <c r="N7063" s="3"/>
      <c r="AW7063" s="7"/>
      <c r="AX7063" s="7"/>
    </row>
    <row r="7064" spans="14:50" x14ac:dyDescent="0.25">
      <c r="N7064" s="3"/>
      <c r="AW7064" s="7"/>
      <c r="AX7064" s="7"/>
    </row>
    <row r="7065" spans="14:50" x14ac:dyDescent="0.25">
      <c r="N7065" s="3"/>
      <c r="AW7065" s="7"/>
      <c r="AX7065" s="7"/>
    </row>
    <row r="7066" spans="14:50" x14ac:dyDescent="0.25">
      <c r="N7066" s="3"/>
      <c r="AW7066" s="7"/>
      <c r="AX7066" s="7"/>
    </row>
    <row r="7067" spans="14:50" x14ac:dyDescent="0.25">
      <c r="N7067" s="3"/>
      <c r="AW7067" s="7"/>
      <c r="AX7067" s="7"/>
    </row>
    <row r="7068" spans="14:50" x14ac:dyDescent="0.25">
      <c r="N7068" s="3"/>
      <c r="AW7068" s="7"/>
      <c r="AX7068" s="7"/>
    </row>
    <row r="7069" spans="14:50" x14ac:dyDescent="0.25">
      <c r="N7069" s="3"/>
      <c r="AW7069" s="7"/>
      <c r="AX7069" s="7"/>
    </row>
    <row r="7070" spans="14:50" x14ac:dyDescent="0.25">
      <c r="N7070" s="3"/>
      <c r="AW7070" s="7"/>
      <c r="AX7070" s="7"/>
    </row>
    <row r="7071" spans="14:50" x14ac:dyDescent="0.25">
      <c r="N7071" s="3"/>
      <c r="AW7071" s="7"/>
      <c r="AX7071" s="7"/>
    </row>
    <row r="7072" spans="14:50" x14ac:dyDescent="0.25">
      <c r="N7072" s="3"/>
      <c r="AW7072" s="7"/>
      <c r="AX7072" s="7"/>
    </row>
    <row r="7073" spans="14:50" x14ac:dyDescent="0.25">
      <c r="N7073" s="3"/>
      <c r="AW7073" s="7"/>
      <c r="AX7073" s="7"/>
    </row>
    <row r="7074" spans="14:50" x14ac:dyDescent="0.25">
      <c r="N7074" s="3"/>
      <c r="AW7074" s="7"/>
      <c r="AX7074" s="7"/>
    </row>
    <row r="7075" spans="14:50" x14ac:dyDescent="0.25">
      <c r="N7075" s="3"/>
      <c r="AW7075" s="7"/>
      <c r="AX7075" s="7"/>
    </row>
    <row r="7076" spans="14:50" x14ac:dyDescent="0.25">
      <c r="N7076" s="3"/>
      <c r="AW7076" s="7"/>
      <c r="AX7076" s="7"/>
    </row>
    <row r="7077" spans="14:50" x14ac:dyDescent="0.25">
      <c r="N7077" s="3"/>
      <c r="AW7077" s="7"/>
      <c r="AX7077" s="7"/>
    </row>
    <row r="7078" spans="14:50" x14ac:dyDescent="0.25">
      <c r="N7078" s="3"/>
      <c r="AW7078" s="7"/>
      <c r="AX7078" s="7"/>
    </row>
    <row r="7079" spans="14:50" x14ac:dyDescent="0.25">
      <c r="N7079" s="3"/>
      <c r="AW7079" s="7"/>
      <c r="AX7079" s="7"/>
    </row>
    <row r="7080" spans="14:50" x14ac:dyDescent="0.25">
      <c r="N7080" s="3"/>
      <c r="AW7080" s="7"/>
      <c r="AX7080" s="7"/>
    </row>
    <row r="7081" spans="14:50" x14ac:dyDescent="0.25">
      <c r="N7081" s="3"/>
      <c r="AW7081" s="7"/>
      <c r="AX7081" s="7"/>
    </row>
    <row r="7082" spans="14:50" x14ac:dyDescent="0.25">
      <c r="N7082" s="3"/>
      <c r="AW7082" s="7"/>
      <c r="AX7082" s="7"/>
    </row>
    <row r="7083" spans="14:50" x14ac:dyDescent="0.25">
      <c r="N7083" s="3"/>
      <c r="AW7083" s="7"/>
      <c r="AX7083" s="7"/>
    </row>
    <row r="7084" spans="14:50" x14ac:dyDescent="0.25">
      <c r="N7084" s="3"/>
      <c r="AW7084" s="7"/>
      <c r="AX7084" s="7"/>
    </row>
    <row r="7085" spans="14:50" x14ac:dyDescent="0.25">
      <c r="N7085" s="3"/>
      <c r="AW7085" s="7"/>
      <c r="AX7085" s="7"/>
    </row>
    <row r="7086" spans="14:50" x14ac:dyDescent="0.25">
      <c r="N7086" s="3"/>
      <c r="AW7086" s="7"/>
      <c r="AX7086" s="7"/>
    </row>
    <row r="7087" spans="14:50" x14ac:dyDescent="0.25">
      <c r="N7087" s="3"/>
      <c r="AW7087" s="7"/>
      <c r="AX7087" s="7"/>
    </row>
    <row r="7088" spans="14:50" x14ac:dyDescent="0.25">
      <c r="N7088" s="3"/>
      <c r="AW7088" s="7"/>
      <c r="AX7088" s="7"/>
    </row>
    <row r="7089" spans="14:50" x14ac:dyDescent="0.25">
      <c r="N7089" s="3"/>
      <c r="AW7089" s="7"/>
      <c r="AX7089" s="7"/>
    </row>
    <row r="7090" spans="14:50" x14ac:dyDescent="0.25">
      <c r="N7090" s="3"/>
      <c r="AW7090" s="7"/>
      <c r="AX7090" s="7"/>
    </row>
    <row r="7091" spans="14:50" x14ac:dyDescent="0.25">
      <c r="N7091" s="3"/>
      <c r="AW7091" s="7"/>
      <c r="AX7091" s="7"/>
    </row>
    <row r="7092" spans="14:50" x14ac:dyDescent="0.25">
      <c r="N7092" s="3"/>
      <c r="AW7092" s="7"/>
      <c r="AX7092" s="7"/>
    </row>
    <row r="7093" spans="14:50" x14ac:dyDescent="0.25">
      <c r="N7093" s="3"/>
      <c r="AW7093" s="7"/>
      <c r="AX7093" s="7"/>
    </row>
    <row r="7094" spans="14:50" x14ac:dyDescent="0.25">
      <c r="N7094" s="3"/>
      <c r="AW7094" s="7"/>
      <c r="AX7094" s="7"/>
    </row>
    <row r="7095" spans="14:50" x14ac:dyDescent="0.25">
      <c r="N7095" s="3"/>
      <c r="AW7095" s="7"/>
      <c r="AX7095" s="7"/>
    </row>
    <row r="7096" spans="14:50" x14ac:dyDescent="0.25">
      <c r="N7096" s="3"/>
      <c r="AW7096" s="7"/>
      <c r="AX7096" s="7"/>
    </row>
    <row r="7097" spans="14:50" x14ac:dyDescent="0.25">
      <c r="N7097" s="3"/>
      <c r="AW7097" s="7"/>
      <c r="AX7097" s="7"/>
    </row>
    <row r="7098" spans="14:50" x14ac:dyDescent="0.25">
      <c r="N7098" s="3"/>
      <c r="AW7098" s="7"/>
      <c r="AX7098" s="7"/>
    </row>
    <row r="7099" spans="14:50" x14ac:dyDescent="0.25">
      <c r="N7099" s="3"/>
      <c r="AW7099" s="7"/>
      <c r="AX7099" s="7"/>
    </row>
    <row r="7100" spans="14:50" x14ac:dyDescent="0.25">
      <c r="N7100" s="3"/>
      <c r="AW7100" s="7"/>
      <c r="AX7100" s="7"/>
    </row>
    <row r="7101" spans="14:50" x14ac:dyDescent="0.25">
      <c r="N7101" s="3"/>
      <c r="AW7101" s="7"/>
      <c r="AX7101" s="7"/>
    </row>
    <row r="7102" spans="14:50" x14ac:dyDescent="0.25">
      <c r="N7102" s="3"/>
      <c r="AW7102" s="7"/>
      <c r="AX7102" s="7"/>
    </row>
    <row r="7103" spans="14:50" x14ac:dyDescent="0.25">
      <c r="N7103" s="3"/>
      <c r="AW7103" s="7"/>
      <c r="AX7103" s="7"/>
    </row>
    <row r="7104" spans="14:50" x14ac:dyDescent="0.25">
      <c r="N7104" s="3"/>
      <c r="AW7104" s="7"/>
      <c r="AX7104" s="7"/>
    </row>
    <row r="7105" spans="14:50" x14ac:dyDescent="0.25">
      <c r="N7105" s="3"/>
      <c r="AW7105" s="7"/>
      <c r="AX7105" s="7"/>
    </row>
    <row r="7106" spans="14:50" x14ac:dyDescent="0.25">
      <c r="N7106" s="3"/>
      <c r="AW7106" s="7"/>
      <c r="AX7106" s="7"/>
    </row>
    <row r="7107" spans="14:50" x14ac:dyDescent="0.25">
      <c r="N7107" s="3"/>
      <c r="AW7107" s="7"/>
      <c r="AX7107" s="7"/>
    </row>
    <row r="7108" spans="14:50" x14ac:dyDescent="0.25">
      <c r="N7108" s="3"/>
      <c r="AW7108" s="7"/>
      <c r="AX7108" s="7"/>
    </row>
    <row r="7109" spans="14:50" x14ac:dyDescent="0.25">
      <c r="N7109" s="3"/>
      <c r="AW7109" s="7"/>
      <c r="AX7109" s="7"/>
    </row>
    <row r="7110" spans="14:50" x14ac:dyDescent="0.25">
      <c r="N7110" s="3"/>
      <c r="AW7110" s="7"/>
      <c r="AX7110" s="7"/>
    </row>
    <row r="7111" spans="14:50" x14ac:dyDescent="0.25">
      <c r="N7111" s="3"/>
      <c r="AW7111" s="7"/>
      <c r="AX7111" s="7"/>
    </row>
    <row r="7112" spans="14:50" x14ac:dyDescent="0.25">
      <c r="N7112" s="3"/>
      <c r="AW7112" s="7"/>
      <c r="AX7112" s="7"/>
    </row>
    <row r="7113" spans="14:50" x14ac:dyDescent="0.25">
      <c r="N7113" s="3"/>
      <c r="AW7113" s="7"/>
      <c r="AX7113" s="7"/>
    </row>
    <row r="7114" spans="14:50" x14ac:dyDescent="0.25">
      <c r="N7114" s="3"/>
      <c r="AW7114" s="7"/>
      <c r="AX7114" s="7"/>
    </row>
    <row r="7115" spans="14:50" x14ac:dyDescent="0.25">
      <c r="N7115" s="3"/>
      <c r="AW7115" s="7"/>
      <c r="AX7115" s="7"/>
    </row>
    <row r="7116" spans="14:50" x14ac:dyDescent="0.25">
      <c r="N7116" s="3"/>
      <c r="AW7116" s="7"/>
      <c r="AX7116" s="7"/>
    </row>
    <row r="7117" spans="14:50" x14ac:dyDescent="0.25">
      <c r="N7117" s="3"/>
      <c r="AW7117" s="7"/>
      <c r="AX7117" s="7"/>
    </row>
    <row r="7118" spans="14:50" x14ac:dyDescent="0.25">
      <c r="N7118" s="3"/>
      <c r="AW7118" s="7"/>
      <c r="AX7118" s="7"/>
    </row>
    <row r="7119" spans="14:50" x14ac:dyDescent="0.25">
      <c r="N7119" s="3"/>
      <c r="AW7119" s="7"/>
      <c r="AX7119" s="7"/>
    </row>
    <row r="7120" spans="14:50" x14ac:dyDescent="0.25">
      <c r="N7120" s="3"/>
      <c r="AW7120" s="7"/>
      <c r="AX7120" s="7"/>
    </row>
    <row r="7121" spans="14:50" x14ac:dyDescent="0.25">
      <c r="N7121" s="3"/>
      <c r="AW7121" s="7"/>
      <c r="AX7121" s="7"/>
    </row>
    <row r="7122" spans="14:50" x14ac:dyDescent="0.25">
      <c r="N7122" s="3"/>
      <c r="AW7122" s="7"/>
      <c r="AX7122" s="7"/>
    </row>
    <row r="7123" spans="14:50" x14ac:dyDescent="0.25">
      <c r="N7123" s="3"/>
      <c r="AW7123" s="7"/>
      <c r="AX7123" s="7"/>
    </row>
    <row r="7124" spans="14:50" x14ac:dyDescent="0.25">
      <c r="N7124" s="3"/>
      <c r="AW7124" s="7"/>
      <c r="AX7124" s="7"/>
    </row>
    <row r="7125" spans="14:50" x14ac:dyDescent="0.25">
      <c r="N7125" s="3"/>
      <c r="AW7125" s="7"/>
      <c r="AX7125" s="7"/>
    </row>
    <row r="7126" spans="14:50" x14ac:dyDescent="0.25">
      <c r="N7126" s="3"/>
      <c r="AW7126" s="7"/>
      <c r="AX7126" s="7"/>
    </row>
    <row r="7127" spans="14:50" x14ac:dyDescent="0.25">
      <c r="N7127" s="3"/>
      <c r="AW7127" s="7"/>
      <c r="AX7127" s="7"/>
    </row>
    <row r="7128" spans="14:50" x14ac:dyDescent="0.25">
      <c r="N7128" s="3"/>
      <c r="AW7128" s="7"/>
      <c r="AX7128" s="7"/>
    </row>
    <row r="7129" spans="14:50" x14ac:dyDescent="0.25">
      <c r="N7129" s="3"/>
      <c r="AW7129" s="7"/>
      <c r="AX7129" s="7"/>
    </row>
    <row r="7130" spans="14:50" x14ac:dyDescent="0.25">
      <c r="N7130" s="3"/>
      <c r="AW7130" s="7"/>
      <c r="AX7130" s="7"/>
    </row>
    <row r="7131" spans="14:50" x14ac:dyDescent="0.25">
      <c r="N7131" s="3"/>
      <c r="AW7131" s="7"/>
      <c r="AX7131" s="7"/>
    </row>
    <row r="7132" spans="14:50" x14ac:dyDescent="0.25">
      <c r="N7132" s="3"/>
      <c r="AW7132" s="7"/>
      <c r="AX7132" s="7"/>
    </row>
    <row r="7133" spans="14:50" x14ac:dyDescent="0.25">
      <c r="N7133" s="3"/>
      <c r="AW7133" s="7"/>
      <c r="AX7133" s="7"/>
    </row>
    <row r="7134" spans="14:50" x14ac:dyDescent="0.25">
      <c r="N7134" s="3"/>
      <c r="AW7134" s="7"/>
      <c r="AX7134" s="7"/>
    </row>
    <row r="7135" spans="14:50" x14ac:dyDescent="0.25">
      <c r="N7135" s="3"/>
      <c r="AW7135" s="7"/>
      <c r="AX7135" s="7"/>
    </row>
    <row r="7136" spans="14:50" x14ac:dyDescent="0.25">
      <c r="N7136" s="3"/>
      <c r="AW7136" s="7"/>
      <c r="AX7136" s="7"/>
    </row>
    <row r="7137" spans="14:50" x14ac:dyDescent="0.25">
      <c r="N7137" s="3"/>
      <c r="AW7137" s="7"/>
      <c r="AX7137" s="7"/>
    </row>
    <row r="7138" spans="14:50" x14ac:dyDescent="0.25">
      <c r="N7138" s="3"/>
      <c r="AW7138" s="7"/>
      <c r="AX7138" s="7"/>
    </row>
    <row r="7139" spans="14:50" x14ac:dyDescent="0.25">
      <c r="N7139" s="3"/>
      <c r="AW7139" s="7"/>
      <c r="AX7139" s="7"/>
    </row>
    <row r="7140" spans="14:50" x14ac:dyDescent="0.25">
      <c r="N7140" s="3"/>
      <c r="AW7140" s="7"/>
      <c r="AX7140" s="7"/>
    </row>
    <row r="7141" spans="14:50" x14ac:dyDescent="0.25">
      <c r="N7141" s="3"/>
      <c r="AW7141" s="7"/>
      <c r="AX7141" s="7"/>
    </row>
    <row r="7142" spans="14:50" x14ac:dyDescent="0.25">
      <c r="N7142" s="3"/>
      <c r="AW7142" s="7"/>
      <c r="AX7142" s="7"/>
    </row>
    <row r="7143" spans="14:50" x14ac:dyDescent="0.25">
      <c r="N7143" s="3"/>
      <c r="AW7143" s="7"/>
      <c r="AX7143" s="7"/>
    </row>
    <row r="7144" spans="14:50" x14ac:dyDescent="0.25">
      <c r="N7144" s="3"/>
      <c r="AW7144" s="7"/>
      <c r="AX7144" s="7"/>
    </row>
    <row r="7145" spans="14:50" x14ac:dyDescent="0.25">
      <c r="N7145" s="3"/>
      <c r="AW7145" s="7"/>
      <c r="AX7145" s="7"/>
    </row>
    <row r="7146" spans="14:50" x14ac:dyDescent="0.25">
      <c r="N7146" s="3"/>
      <c r="AW7146" s="7"/>
      <c r="AX7146" s="7"/>
    </row>
    <row r="7147" spans="14:50" x14ac:dyDescent="0.25">
      <c r="N7147" s="3"/>
      <c r="AW7147" s="7"/>
      <c r="AX7147" s="7"/>
    </row>
    <row r="7148" spans="14:50" x14ac:dyDescent="0.25">
      <c r="N7148" s="3"/>
      <c r="AW7148" s="7"/>
      <c r="AX7148" s="7"/>
    </row>
    <row r="7149" spans="14:50" x14ac:dyDescent="0.25">
      <c r="N7149" s="3"/>
      <c r="AW7149" s="7"/>
      <c r="AX7149" s="7"/>
    </row>
    <row r="7150" spans="14:50" x14ac:dyDescent="0.25">
      <c r="N7150" s="3"/>
      <c r="AW7150" s="7"/>
      <c r="AX7150" s="7"/>
    </row>
    <row r="7151" spans="14:50" x14ac:dyDescent="0.25">
      <c r="N7151" s="3"/>
      <c r="AW7151" s="7"/>
      <c r="AX7151" s="7"/>
    </row>
    <row r="7152" spans="14:50" x14ac:dyDescent="0.25">
      <c r="N7152" s="3"/>
      <c r="AW7152" s="7"/>
      <c r="AX7152" s="7"/>
    </row>
    <row r="7153" spans="14:50" x14ac:dyDescent="0.25">
      <c r="N7153" s="3"/>
      <c r="AW7153" s="7"/>
      <c r="AX7153" s="7"/>
    </row>
    <row r="7154" spans="14:50" x14ac:dyDescent="0.25">
      <c r="N7154" s="3"/>
      <c r="AW7154" s="7"/>
      <c r="AX7154" s="7"/>
    </row>
    <row r="7155" spans="14:50" x14ac:dyDescent="0.25">
      <c r="N7155" s="3"/>
      <c r="AW7155" s="7"/>
      <c r="AX7155" s="7"/>
    </row>
    <row r="7156" spans="14:50" x14ac:dyDescent="0.25">
      <c r="N7156" s="3"/>
      <c r="AW7156" s="7"/>
      <c r="AX7156" s="7"/>
    </row>
    <row r="7157" spans="14:50" x14ac:dyDescent="0.25">
      <c r="N7157" s="3"/>
      <c r="AW7157" s="7"/>
      <c r="AX7157" s="7"/>
    </row>
    <row r="7158" spans="14:50" x14ac:dyDescent="0.25">
      <c r="N7158" s="3"/>
      <c r="AW7158" s="7"/>
      <c r="AX7158" s="7"/>
    </row>
    <row r="7159" spans="14:50" x14ac:dyDescent="0.25">
      <c r="N7159" s="3"/>
      <c r="AW7159" s="7"/>
      <c r="AX7159" s="7"/>
    </row>
    <row r="7160" spans="14:50" x14ac:dyDescent="0.25">
      <c r="N7160" s="3"/>
      <c r="AW7160" s="7"/>
      <c r="AX7160" s="7"/>
    </row>
    <row r="7161" spans="14:50" x14ac:dyDescent="0.25">
      <c r="N7161" s="3"/>
      <c r="AW7161" s="7"/>
      <c r="AX7161" s="7"/>
    </row>
    <row r="7162" spans="14:50" x14ac:dyDescent="0.25">
      <c r="N7162" s="3"/>
      <c r="AW7162" s="7"/>
      <c r="AX7162" s="7"/>
    </row>
    <row r="7163" spans="14:50" x14ac:dyDescent="0.25">
      <c r="N7163" s="3"/>
      <c r="AW7163" s="7"/>
      <c r="AX7163" s="7"/>
    </row>
    <row r="7164" spans="14:50" x14ac:dyDescent="0.25">
      <c r="N7164" s="3"/>
      <c r="AW7164" s="7"/>
      <c r="AX7164" s="7"/>
    </row>
    <row r="7165" spans="14:50" x14ac:dyDescent="0.25">
      <c r="N7165" s="3"/>
      <c r="AW7165" s="7"/>
      <c r="AX7165" s="7"/>
    </row>
    <row r="7166" spans="14:50" x14ac:dyDescent="0.25">
      <c r="N7166" s="3"/>
      <c r="AW7166" s="7"/>
      <c r="AX7166" s="7"/>
    </row>
    <row r="7167" spans="14:50" x14ac:dyDescent="0.25">
      <c r="N7167" s="3"/>
      <c r="AW7167" s="7"/>
      <c r="AX7167" s="7"/>
    </row>
    <row r="7168" spans="14:50" x14ac:dyDescent="0.25">
      <c r="N7168" s="3"/>
      <c r="AW7168" s="7"/>
      <c r="AX7168" s="7"/>
    </row>
    <row r="7169" spans="14:50" x14ac:dyDescent="0.25">
      <c r="N7169" s="3"/>
      <c r="AW7169" s="7"/>
      <c r="AX7169" s="7"/>
    </row>
    <row r="7170" spans="14:50" x14ac:dyDescent="0.25">
      <c r="N7170" s="3"/>
      <c r="AW7170" s="7"/>
      <c r="AX7170" s="7"/>
    </row>
    <row r="7171" spans="14:50" x14ac:dyDescent="0.25">
      <c r="N7171" s="3"/>
      <c r="AW7171" s="7"/>
      <c r="AX7171" s="7"/>
    </row>
    <row r="7172" spans="14:50" x14ac:dyDescent="0.25">
      <c r="N7172" s="3"/>
      <c r="AW7172" s="7"/>
      <c r="AX7172" s="7"/>
    </row>
    <row r="7173" spans="14:50" x14ac:dyDescent="0.25">
      <c r="N7173" s="3"/>
      <c r="AW7173" s="7"/>
      <c r="AX7173" s="7"/>
    </row>
    <row r="7174" spans="14:50" x14ac:dyDescent="0.25">
      <c r="N7174" s="3"/>
      <c r="AW7174" s="7"/>
      <c r="AX7174" s="7"/>
    </row>
    <row r="7175" spans="14:50" x14ac:dyDescent="0.25">
      <c r="N7175" s="3"/>
      <c r="AW7175" s="7"/>
      <c r="AX7175" s="7"/>
    </row>
    <row r="7176" spans="14:50" x14ac:dyDescent="0.25">
      <c r="N7176" s="3"/>
      <c r="AW7176" s="7"/>
      <c r="AX7176" s="7"/>
    </row>
    <row r="7177" spans="14:50" x14ac:dyDescent="0.25">
      <c r="N7177" s="3"/>
      <c r="AW7177" s="7"/>
      <c r="AX7177" s="7"/>
    </row>
    <row r="7178" spans="14:50" x14ac:dyDescent="0.25">
      <c r="N7178" s="3"/>
      <c r="AW7178" s="7"/>
      <c r="AX7178" s="7"/>
    </row>
    <row r="7179" spans="14:50" x14ac:dyDescent="0.25">
      <c r="N7179" s="3"/>
      <c r="AW7179" s="7"/>
      <c r="AX7179" s="7"/>
    </row>
    <row r="7180" spans="14:50" x14ac:dyDescent="0.25">
      <c r="N7180" s="3"/>
      <c r="AW7180" s="7"/>
      <c r="AX7180" s="7"/>
    </row>
    <row r="7181" spans="14:50" x14ac:dyDescent="0.25">
      <c r="N7181" s="3"/>
      <c r="AW7181" s="7"/>
      <c r="AX7181" s="7"/>
    </row>
    <row r="7182" spans="14:50" x14ac:dyDescent="0.25">
      <c r="N7182" s="3"/>
      <c r="AW7182" s="7"/>
      <c r="AX7182" s="7"/>
    </row>
    <row r="7183" spans="14:50" x14ac:dyDescent="0.25">
      <c r="N7183" s="3"/>
      <c r="AW7183" s="7"/>
      <c r="AX7183" s="7"/>
    </row>
    <row r="7184" spans="14:50" x14ac:dyDescent="0.25">
      <c r="N7184" s="3"/>
      <c r="AW7184" s="7"/>
      <c r="AX7184" s="7"/>
    </row>
    <row r="7185" spans="14:50" x14ac:dyDescent="0.25">
      <c r="N7185" s="3"/>
      <c r="AW7185" s="7"/>
      <c r="AX7185" s="7"/>
    </row>
    <row r="7186" spans="14:50" x14ac:dyDescent="0.25">
      <c r="N7186" s="3"/>
      <c r="AW7186" s="7"/>
      <c r="AX7186" s="7"/>
    </row>
    <row r="7187" spans="14:50" x14ac:dyDescent="0.25">
      <c r="N7187" s="3"/>
      <c r="AW7187" s="7"/>
      <c r="AX7187" s="7"/>
    </row>
    <row r="7188" spans="14:50" x14ac:dyDescent="0.25">
      <c r="N7188" s="3"/>
      <c r="AW7188" s="7"/>
      <c r="AX7188" s="7"/>
    </row>
    <row r="7189" spans="14:50" x14ac:dyDescent="0.25">
      <c r="N7189" s="3"/>
      <c r="AW7189" s="7"/>
      <c r="AX7189" s="7"/>
    </row>
    <row r="7190" spans="14:50" x14ac:dyDescent="0.25">
      <c r="N7190" s="3"/>
      <c r="AW7190" s="7"/>
      <c r="AX7190" s="7"/>
    </row>
    <row r="7191" spans="14:50" x14ac:dyDescent="0.25">
      <c r="N7191" s="3"/>
      <c r="AW7191" s="7"/>
      <c r="AX7191" s="7"/>
    </row>
    <row r="7192" spans="14:50" x14ac:dyDescent="0.25">
      <c r="N7192" s="3"/>
      <c r="AW7192" s="7"/>
      <c r="AX7192" s="7"/>
    </row>
    <row r="7193" spans="14:50" x14ac:dyDescent="0.25">
      <c r="N7193" s="3"/>
      <c r="AW7193" s="7"/>
      <c r="AX7193" s="7"/>
    </row>
    <row r="7194" spans="14:50" x14ac:dyDescent="0.25">
      <c r="N7194" s="3"/>
      <c r="AW7194" s="7"/>
      <c r="AX7194" s="7"/>
    </row>
    <row r="7195" spans="14:50" x14ac:dyDescent="0.25">
      <c r="N7195" s="3"/>
      <c r="AW7195" s="7"/>
      <c r="AX7195" s="7"/>
    </row>
    <row r="7196" spans="14:50" x14ac:dyDescent="0.25">
      <c r="N7196" s="3"/>
      <c r="AW7196" s="7"/>
      <c r="AX7196" s="7"/>
    </row>
    <row r="7197" spans="14:50" x14ac:dyDescent="0.25">
      <c r="N7197" s="3"/>
      <c r="AW7197" s="7"/>
      <c r="AX7197" s="7"/>
    </row>
    <row r="7198" spans="14:50" x14ac:dyDescent="0.25">
      <c r="N7198" s="3"/>
      <c r="AW7198" s="7"/>
      <c r="AX7198" s="7"/>
    </row>
    <row r="7199" spans="14:50" x14ac:dyDescent="0.25">
      <c r="N7199" s="3"/>
      <c r="AW7199" s="7"/>
      <c r="AX7199" s="7"/>
    </row>
    <row r="7200" spans="14:50" x14ac:dyDescent="0.25">
      <c r="N7200" s="3"/>
      <c r="AW7200" s="7"/>
      <c r="AX7200" s="7"/>
    </row>
    <row r="7201" spans="14:50" x14ac:dyDescent="0.25">
      <c r="N7201" s="3"/>
      <c r="AW7201" s="7"/>
      <c r="AX7201" s="7"/>
    </row>
    <row r="7202" spans="14:50" x14ac:dyDescent="0.25">
      <c r="N7202" s="3"/>
      <c r="AW7202" s="7"/>
      <c r="AX7202" s="7"/>
    </row>
    <row r="7203" spans="14:50" x14ac:dyDescent="0.25">
      <c r="N7203" s="3"/>
      <c r="AW7203" s="7"/>
      <c r="AX7203" s="7"/>
    </row>
    <row r="7204" spans="14:50" x14ac:dyDescent="0.25">
      <c r="N7204" s="3"/>
      <c r="AW7204" s="7"/>
      <c r="AX7204" s="7"/>
    </row>
    <row r="7205" spans="14:50" x14ac:dyDescent="0.25">
      <c r="N7205" s="3"/>
      <c r="AW7205" s="7"/>
      <c r="AX7205" s="7"/>
    </row>
    <row r="7206" spans="14:50" x14ac:dyDescent="0.25">
      <c r="N7206" s="3"/>
      <c r="AW7206" s="7"/>
      <c r="AX7206" s="7"/>
    </row>
    <row r="7207" spans="14:50" x14ac:dyDescent="0.25">
      <c r="N7207" s="3"/>
      <c r="AW7207" s="7"/>
      <c r="AX7207" s="7"/>
    </row>
    <row r="7208" spans="14:50" x14ac:dyDescent="0.25">
      <c r="N7208" s="3"/>
      <c r="AW7208" s="7"/>
      <c r="AX7208" s="7"/>
    </row>
    <row r="7209" spans="14:50" x14ac:dyDescent="0.25">
      <c r="N7209" s="3"/>
      <c r="AW7209" s="7"/>
      <c r="AX7209" s="7"/>
    </row>
    <row r="7210" spans="14:50" x14ac:dyDescent="0.25">
      <c r="N7210" s="3"/>
      <c r="AW7210" s="7"/>
      <c r="AX7210" s="7"/>
    </row>
    <row r="7211" spans="14:50" x14ac:dyDescent="0.25">
      <c r="N7211" s="3"/>
      <c r="AW7211" s="7"/>
      <c r="AX7211" s="7"/>
    </row>
    <row r="7212" spans="14:50" x14ac:dyDescent="0.25">
      <c r="N7212" s="3"/>
      <c r="AW7212" s="7"/>
      <c r="AX7212" s="7"/>
    </row>
    <row r="7213" spans="14:50" x14ac:dyDescent="0.25">
      <c r="N7213" s="3"/>
      <c r="AW7213" s="7"/>
      <c r="AX7213" s="7"/>
    </row>
    <row r="7214" spans="14:50" x14ac:dyDescent="0.25">
      <c r="N7214" s="3"/>
      <c r="AW7214" s="7"/>
      <c r="AX7214" s="7"/>
    </row>
    <row r="7215" spans="14:50" x14ac:dyDescent="0.25">
      <c r="N7215" s="3"/>
      <c r="AW7215" s="7"/>
      <c r="AX7215" s="7"/>
    </row>
    <row r="7216" spans="14:50" x14ac:dyDescent="0.25">
      <c r="N7216" s="3"/>
      <c r="AW7216" s="7"/>
      <c r="AX7216" s="7"/>
    </row>
    <row r="7217" spans="14:50" x14ac:dyDescent="0.25">
      <c r="N7217" s="3"/>
      <c r="AW7217" s="7"/>
      <c r="AX7217" s="7"/>
    </row>
    <row r="7218" spans="14:50" x14ac:dyDescent="0.25">
      <c r="N7218" s="3"/>
      <c r="AW7218" s="7"/>
      <c r="AX7218" s="7"/>
    </row>
    <row r="7219" spans="14:50" x14ac:dyDescent="0.25">
      <c r="N7219" s="3"/>
      <c r="AW7219" s="7"/>
      <c r="AX7219" s="7"/>
    </row>
    <row r="7220" spans="14:50" x14ac:dyDescent="0.25">
      <c r="N7220" s="3"/>
      <c r="AW7220" s="7"/>
      <c r="AX7220" s="7"/>
    </row>
    <row r="7221" spans="14:50" x14ac:dyDescent="0.25">
      <c r="N7221" s="3"/>
      <c r="AW7221" s="7"/>
      <c r="AX7221" s="7"/>
    </row>
    <row r="7222" spans="14:50" x14ac:dyDescent="0.25">
      <c r="N7222" s="3"/>
      <c r="AW7222" s="7"/>
      <c r="AX7222" s="7"/>
    </row>
    <row r="7223" spans="14:50" x14ac:dyDescent="0.25">
      <c r="N7223" s="3"/>
      <c r="AW7223" s="7"/>
      <c r="AX7223" s="7"/>
    </row>
    <row r="7224" spans="14:50" x14ac:dyDescent="0.25">
      <c r="N7224" s="3"/>
      <c r="AW7224" s="7"/>
      <c r="AX7224" s="7"/>
    </row>
    <row r="7225" spans="14:50" x14ac:dyDescent="0.25">
      <c r="N7225" s="3"/>
      <c r="AW7225" s="7"/>
      <c r="AX7225" s="7"/>
    </row>
    <row r="7226" spans="14:50" x14ac:dyDescent="0.25">
      <c r="N7226" s="3"/>
      <c r="AW7226" s="7"/>
      <c r="AX7226" s="7"/>
    </row>
    <row r="7227" spans="14:50" x14ac:dyDescent="0.25">
      <c r="N7227" s="3"/>
      <c r="AW7227" s="7"/>
      <c r="AX7227" s="7"/>
    </row>
    <row r="7228" spans="14:50" x14ac:dyDescent="0.25">
      <c r="N7228" s="3"/>
      <c r="AW7228" s="7"/>
      <c r="AX7228" s="7"/>
    </row>
    <row r="7229" spans="14:50" x14ac:dyDescent="0.25">
      <c r="N7229" s="3"/>
      <c r="AW7229" s="7"/>
      <c r="AX7229" s="7"/>
    </row>
    <row r="7230" spans="14:50" x14ac:dyDescent="0.25">
      <c r="N7230" s="3"/>
      <c r="AW7230" s="7"/>
      <c r="AX7230" s="7"/>
    </row>
    <row r="7231" spans="14:50" x14ac:dyDescent="0.25">
      <c r="N7231" s="3"/>
      <c r="AW7231" s="7"/>
      <c r="AX7231" s="7"/>
    </row>
    <row r="7232" spans="14:50" x14ac:dyDescent="0.25">
      <c r="N7232" s="3"/>
      <c r="AW7232" s="7"/>
      <c r="AX7232" s="7"/>
    </row>
    <row r="7233" spans="14:50" x14ac:dyDescent="0.25">
      <c r="N7233" s="3"/>
      <c r="AW7233" s="7"/>
      <c r="AX7233" s="7"/>
    </row>
    <row r="7234" spans="14:50" x14ac:dyDescent="0.25">
      <c r="N7234" s="3"/>
      <c r="AW7234" s="7"/>
      <c r="AX7234" s="7"/>
    </row>
    <row r="7235" spans="14:50" x14ac:dyDescent="0.25">
      <c r="N7235" s="3"/>
      <c r="AW7235" s="7"/>
      <c r="AX7235" s="7"/>
    </row>
    <row r="7236" spans="14:50" x14ac:dyDescent="0.25">
      <c r="N7236" s="3"/>
      <c r="AW7236" s="7"/>
      <c r="AX7236" s="7"/>
    </row>
    <row r="7237" spans="14:50" x14ac:dyDescent="0.25">
      <c r="N7237" s="3"/>
      <c r="AW7237" s="7"/>
      <c r="AX7237" s="7"/>
    </row>
    <row r="7238" spans="14:50" x14ac:dyDescent="0.25">
      <c r="N7238" s="3"/>
      <c r="AW7238" s="7"/>
      <c r="AX7238" s="7"/>
    </row>
    <row r="7239" spans="14:50" x14ac:dyDescent="0.25">
      <c r="N7239" s="3"/>
      <c r="AW7239" s="7"/>
      <c r="AX7239" s="7"/>
    </row>
    <row r="7240" spans="14:50" x14ac:dyDescent="0.25">
      <c r="N7240" s="3"/>
      <c r="AW7240" s="7"/>
      <c r="AX7240" s="7"/>
    </row>
    <row r="7241" spans="14:50" x14ac:dyDescent="0.25">
      <c r="N7241" s="3"/>
      <c r="AW7241" s="7"/>
      <c r="AX7241" s="7"/>
    </row>
    <row r="7242" spans="14:50" x14ac:dyDescent="0.25">
      <c r="N7242" s="3"/>
      <c r="AW7242" s="7"/>
      <c r="AX7242" s="7"/>
    </row>
    <row r="7243" spans="14:50" x14ac:dyDescent="0.25">
      <c r="N7243" s="3"/>
      <c r="AW7243" s="7"/>
      <c r="AX7243" s="7"/>
    </row>
    <row r="7244" spans="14:50" x14ac:dyDescent="0.25">
      <c r="N7244" s="3"/>
      <c r="AW7244" s="7"/>
      <c r="AX7244" s="7"/>
    </row>
    <row r="7245" spans="14:50" x14ac:dyDescent="0.25">
      <c r="N7245" s="3"/>
      <c r="AW7245" s="7"/>
      <c r="AX7245" s="7"/>
    </row>
    <row r="7246" spans="14:50" x14ac:dyDescent="0.25">
      <c r="N7246" s="3"/>
      <c r="AW7246" s="7"/>
      <c r="AX7246" s="7"/>
    </row>
    <row r="7247" spans="14:50" x14ac:dyDescent="0.25">
      <c r="N7247" s="3"/>
      <c r="AW7247" s="7"/>
      <c r="AX7247" s="7"/>
    </row>
    <row r="7248" spans="14:50" x14ac:dyDescent="0.25">
      <c r="N7248" s="3"/>
      <c r="AW7248" s="7"/>
      <c r="AX7248" s="7"/>
    </row>
    <row r="7249" spans="14:50" x14ac:dyDescent="0.25">
      <c r="N7249" s="3"/>
      <c r="AW7249" s="7"/>
      <c r="AX7249" s="7"/>
    </row>
    <row r="7250" spans="14:50" x14ac:dyDescent="0.25">
      <c r="N7250" s="3"/>
      <c r="AW7250" s="7"/>
      <c r="AX7250" s="7"/>
    </row>
    <row r="7251" spans="14:50" x14ac:dyDescent="0.25">
      <c r="N7251" s="3"/>
      <c r="AW7251" s="7"/>
      <c r="AX7251" s="7"/>
    </row>
    <row r="7252" spans="14:50" x14ac:dyDescent="0.25">
      <c r="N7252" s="3"/>
      <c r="AW7252" s="7"/>
      <c r="AX7252" s="7"/>
    </row>
    <row r="7253" spans="14:50" x14ac:dyDescent="0.25">
      <c r="N7253" s="3"/>
      <c r="AW7253" s="7"/>
      <c r="AX7253" s="7"/>
    </row>
    <row r="7254" spans="14:50" x14ac:dyDescent="0.25">
      <c r="N7254" s="3"/>
      <c r="AW7254" s="7"/>
      <c r="AX7254" s="7"/>
    </row>
    <row r="7255" spans="14:50" x14ac:dyDescent="0.25">
      <c r="N7255" s="3"/>
      <c r="AW7255" s="7"/>
      <c r="AX7255" s="7"/>
    </row>
    <row r="7256" spans="14:50" x14ac:dyDescent="0.25">
      <c r="N7256" s="3"/>
      <c r="AW7256" s="7"/>
      <c r="AX7256" s="7"/>
    </row>
    <row r="7257" spans="14:50" x14ac:dyDescent="0.25">
      <c r="N7257" s="3"/>
      <c r="AW7257" s="7"/>
      <c r="AX7257" s="7"/>
    </row>
    <row r="7258" spans="14:50" x14ac:dyDescent="0.25">
      <c r="N7258" s="3"/>
      <c r="AW7258" s="7"/>
      <c r="AX7258" s="7"/>
    </row>
    <row r="7259" spans="14:50" x14ac:dyDescent="0.25">
      <c r="N7259" s="3"/>
      <c r="AW7259" s="7"/>
      <c r="AX7259" s="7"/>
    </row>
    <row r="7260" spans="14:50" x14ac:dyDescent="0.25">
      <c r="N7260" s="3"/>
      <c r="AW7260" s="7"/>
      <c r="AX7260" s="7"/>
    </row>
    <row r="7261" spans="14:50" x14ac:dyDescent="0.25">
      <c r="N7261" s="3"/>
      <c r="AW7261" s="7"/>
      <c r="AX7261" s="7"/>
    </row>
    <row r="7262" spans="14:50" x14ac:dyDescent="0.25">
      <c r="N7262" s="3"/>
      <c r="AW7262" s="7"/>
      <c r="AX7262" s="7"/>
    </row>
    <row r="7263" spans="14:50" x14ac:dyDescent="0.25">
      <c r="N7263" s="3"/>
      <c r="AW7263" s="7"/>
      <c r="AX7263" s="7"/>
    </row>
    <row r="7264" spans="14:50" x14ac:dyDescent="0.25">
      <c r="N7264" s="3"/>
      <c r="AW7264" s="7"/>
      <c r="AX7264" s="7"/>
    </row>
    <row r="7265" spans="14:50" x14ac:dyDescent="0.25">
      <c r="N7265" s="3"/>
      <c r="AW7265" s="7"/>
      <c r="AX7265" s="7"/>
    </row>
    <row r="7266" spans="14:50" x14ac:dyDescent="0.25">
      <c r="N7266" s="3"/>
      <c r="AW7266" s="7"/>
      <c r="AX7266" s="7"/>
    </row>
    <row r="7267" spans="14:50" x14ac:dyDescent="0.25">
      <c r="N7267" s="3"/>
      <c r="AW7267" s="7"/>
      <c r="AX7267" s="7"/>
    </row>
    <row r="7268" spans="14:50" x14ac:dyDescent="0.25">
      <c r="N7268" s="3"/>
      <c r="AW7268" s="7"/>
      <c r="AX7268" s="7"/>
    </row>
    <row r="7269" spans="14:50" x14ac:dyDescent="0.25">
      <c r="N7269" s="3"/>
      <c r="AW7269" s="7"/>
      <c r="AX7269" s="7"/>
    </row>
    <row r="7270" spans="14:50" x14ac:dyDescent="0.25">
      <c r="N7270" s="3"/>
      <c r="AW7270" s="7"/>
      <c r="AX7270" s="7"/>
    </row>
    <row r="7271" spans="14:50" x14ac:dyDescent="0.25">
      <c r="N7271" s="3"/>
      <c r="AW7271" s="7"/>
      <c r="AX7271" s="7"/>
    </row>
    <row r="7272" spans="14:50" x14ac:dyDescent="0.25">
      <c r="N7272" s="3"/>
      <c r="AW7272" s="7"/>
      <c r="AX7272" s="7"/>
    </row>
    <row r="7273" spans="14:50" x14ac:dyDescent="0.25">
      <c r="N7273" s="3"/>
      <c r="AW7273" s="7"/>
      <c r="AX7273" s="7"/>
    </row>
    <row r="7274" spans="14:50" x14ac:dyDescent="0.25">
      <c r="N7274" s="3"/>
      <c r="AW7274" s="7"/>
      <c r="AX7274" s="7"/>
    </row>
    <row r="7275" spans="14:50" x14ac:dyDescent="0.25">
      <c r="N7275" s="3"/>
      <c r="AW7275" s="7"/>
      <c r="AX7275" s="7"/>
    </row>
    <row r="7276" spans="14:50" x14ac:dyDescent="0.25">
      <c r="N7276" s="3"/>
      <c r="AW7276" s="7"/>
      <c r="AX7276" s="7"/>
    </row>
    <row r="7277" spans="14:50" x14ac:dyDescent="0.25">
      <c r="N7277" s="3"/>
      <c r="AW7277" s="7"/>
      <c r="AX7277" s="7"/>
    </row>
    <row r="7278" spans="14:50" x14ac:dyDescent="0.25">
      <c r="N7278" s="3"/>
      <c r="AW7278" s="7"/>
      <c r="AX7278" s="7"/>
    </row>
    <row r="7279" spans="14:50" x14ac:dyDescent="0.25">
      <c r="N7279" s="3"/>
      <c r="AW7279" s="7"/>
      <c r="AX7279" s="7"/>
    </row>
    <row r="7280" spans="14:50" x14ac:dyDescent="0.25">
      <c r="N7280" s="3"/>
      <c r="AW7280" s="7"/>
      <c r="AX7280" s="7"/>
    </row>
    <row r="7281" spans="14:50" x14ac:dyDescent="0.25">
      <c r="N7281" s="3"/>
      <c r="AW7281" s="7"/>
      <c r="AX7281" s="7"/>
    </row>
    <row r="7282" spans="14:50" x14ac:dyDescent="0.25">
      <c r="N7282" s="3"/>
      <c r="AW7282" s="7"/>
      <c r="AX7282" s="7"/>
    </row>
    <row r="7283" spans="14:50" x14ac:dyDescent="0.25">
      <c r="N7283" s="3"/>
      <c r="AW7283" s="7"/>
      <c r="AX7283" s="7"/>
    </row>
    <row r="7284" spans="14:50" x14ac:dyDescent="0.25">
      <c r="N7284" s="3"/>
      <c r="AW7284" s="7"/>
      <c r="AX7284" s="7"/>
    </row>
    <row r="7285" spans="14:50" x14ac:dyDescent="0.25">
      <c r="N7285" s="3"/>
      <c r="AW7285" s="7"/>
      <c r="AX7285" s="7"/>
    </row>
    <row r="7286" spans="14:50" x14ac:dyDescent="0.25">
      <c r="N7286" s="3"/>
      <c r="AW7286" s="7"/>
      <c r="AX7286" s="7"/>
    </row>
    <row r="7287" spans="14:50" x14ac:dyDescent="0.25">
      <c r="N7287" s="3"/>
      <c r="AW7287" s="7"/>
      <c r="AX7287" s="7"/>
    </row>
    <row r="7288" spans="14:50" x14ac:dyDescent="0.25">
      <c r="N7288" s="3"/>
      <c r="AW7288" s="7"/>
      <c r="AX7288" s="7"/>
    </row>
    <row r="7289" spans="14:50" x14ac:dyDescent="0.25">
      <c r="N7289" s="3"/>
      <c r="AW7289" s="7"/>
      <c r="AX7289" s="7"/>
    </row>
    <row r="7290" spans="14:50" x14ac:dyDescent="0.25">
      <c r="N7290" s="3"/>
      <c r="AW7290" s="7"/>
      <c r="AX7290" s="7"/>
    </row>
    <row r="7291" spans="14:50" x14ac:dyDescent="0.25">
      <c r="N7291" s="3"/>
      <c r="AW7291" s="7"/>
      <c r="AX7291" s="7"/>
    </row>
    <row r="7292" spans="14:50" x14ac:dyDescent="0.25">
      <c r="N7292" s="3"/>
      <c r="AW7292" s="7"/>
      <c r="AX7292" s="7"/>
    </row>
    <row r="7293" spans="14:50" x14ac:dyDescent="0.25">
      <c r="N7293" s="3"/>
      <c r="AW7293" s="7"/>
      <c r="AX7293" s="7"/>
    </row>
    <row r="7294" spans="14:50" x14ac:dyDescent="0.25">
      <c r="N7294" s="3"/>
      <c r="AW7294" s="7"/>
      <c r="AX7294" s="7"/>
    </row>
    <row r="7295" spans="14:50" x14ac:dyDescent="0.25">
      <c r="N7295" s="3"/>
      <c r="AW7295" s="7"/>
      <c r="AX7295" s="7"/>
    </row>
    <row r="7296" spans="14:50" x14ac:dyDescent="0.25">
      <c r="N7296" s="3"/>
      <c r="AW7296" s="7"/>
      <c r="AX7296" s="7"/>
    </row>
    <row r="7297" spans="14:50" x14ac:dyDescent="0.25">
      <c r="N7297" s="3"/>
      <c r="AW7297" s="7"/>
      <c r="AX7297" s="7"/>
    </row>
    <row r="7298" spans="14:50" x14ac:dyDescent="0.25">
      <c r="N7298" s="3"/>
      <c r="AW7298" s="7"/>
      <c r="AX7298" s="7"/>
    </row>
    <row r="7299" spans="14:50" x14ac:dyDescent="0.25">
      <c r="N7299" s="3"/>
      <c r="AW7299" s="7"/>
      <c r="AX7299" s="7"/>
    </row>
    <row r="7300" spans="14:50" x14ac:dyDescent="0.25">
      <c r="N7300" s="3"/>
      <c r="AW7300" s="7"/>
      <c r="AX7300" s="7"/>
    </row>
    <row r="7301" spans="14:50" x14ac:dyDescent="0.25">
      <c r="N7301" s="3"/>
      <c r="AW7301" s="7"/>
      <c r="AX7301" s="7"/>
    </row>
    <row r="7302" spans="14:50" x14ac:dyDescent="0.25">
      <c r="N7302" s="3"/>
      <c r="AW7302" s="7"/>
      <c r="AX7302" s="7"/>
    </row>
    <row r="7303" spans="14:50" x14ac:dyDescent="0.25">
      <c r="N7303" s="3"/>
      <c r="AW7303" s="7"/>
      <c r="AX7303" s="7"/>
    </row>
    <row r="7304" spans="14:50" x14ac:dyDescent="0.25">
      <c r="N7304" s="3"/>
      <c r="AW7304" s="7"/>
      <c r="AX7304" s="7"/>
    </row>
    <row r="7305" spans="14:50" x14ac:dyDescent="0.25">
      <c r="N7305" s="3"/>
      <c r="AW7305" s="7"/>
      <c r="AX7305" s="7"/>
    </row>
    <row r="7306" spans="14:50" x14ac:dyDescent="0.25">
      <c r="N7306" s="3"/>
      <c r="AW7306" s="7"/>
      <c r="AX7306" s="7"/>
    </row>
    <row r="7307" spans="14:50" x14ac:dyDescent="0.25">
      <c r="N7307" s="3"/>
      <c r="AW7307" s="7"/>
      <c r="AX7307" s="7"/>
    </row>
    <row r="7308" spans="14:50" x14ac:dyDescent="0.25">
      <c r="N7308" s="3"/>
      <c r="AW7308" s="7"/>
      <c r="AX7308" s="7"/>
    </row>
    <row r="7309" spans="14:50" x14ac:dyDescent="0.25">
      <c r="N7309" s="3"/>
      <c r="AW7309" s="7"/>
      <c r="AX7309" s="7"/>
    </row>
    <row r="7310" spans="14:50" x14ac:dyDescent="0.25">
      <c r="N7310" s="3"/>
      <c r="AW7310" s="7"/>
      <c r="AX7310" s="7"/>
    </row>
    <row r="7311" spans="14:50" x14ac:dyDescent="0.25">
      <c r="N7311" s="3"/>
      <c r="AW7311" s="7"/>
      <c r="AX7311" s="7"/>
    </row>
    <row r="7312" spans="14:50" x14ac:dyDescent="0.25">
      <c r="N7312" s="3"/>
      <c r="AW7312" s="7"/>
      <c r="AX7312" s="7"/>
    </row>
    <row r="7313" spans="14:50" x14ac:dyDescent="0.25">
      <c r="N7313" s="3"/>
      <c r="AW7313" s="7"/>
      <c r="AX7313" s="7"/>
    </row>
    <row r="7314" spans="14:50" x14ac:dyDescent="0.25">
      <c r="N7314" s="3"/>
      <c r="AW7314" s="7"/>
      <c r="AX7314" s="7"/>
    </row>
    <row r="7315" spans="14:50" x14ac:dyDescent="0.25">
      <c r="N7315" s="3"/>
      <c r="AW7315" s="7"/>
      <c r="AX7315" s="7"/>
    </row>
    <row r="7316" spans="14:50" x14ac:dyDescent="0.25">
      <c r="N7316" s="3"/>
      <c r="AW7316" s="7"/>
      <c r="AX7316" s="7"/>
    </row>
    <row r="7317" spans="14:50" x14ac:dyDescent="0.25">
      <c r="N7317" s="3"/>
      <c r="AW7317" s="7"/>
      <c r="AX7317" s="7"/>
    </row>
    <row r="7318" spans="14:50" x14ac:dyDescent="0.25">
      <c r="N7318" s="3"/>
      <c r="AW7318" s="7"/>
      <c r="AX7318" s="7"/>
    </row>
    <row r="7319" spans="14:50" x14ac:dyDescent="0.25">
      <c r="N7319" s="3"/>
      <c r="AW7319" s="7"/>
      <c r="AX7319" s="7"/>
    </row>
    <row r="7320" spans="14:50" x14ac:dyDescent="0.25">
      <c r="N7320" s="3"/>
      <c r="AW7320" s="7"/>
      <c r="AX7320" s="7"/>
    </row>
    <row r="7321" spans="14:50" x14ac:dyDescent="0.25">
      <c r="N7321" s="3"/>
      <c r="AW7321" s="7"/>
      <c r="AX7321" s="7"/>
    </row>
    <row r="7322" spans="14:50" x14ac:dyDescent="0.25">
      <c r="N7322" s="3"/>
      <c r="AW7322" s="7"/>
      <c r="AX7322" s="7"/>
    </row>
    <row r="7323" spans="14:50" x14ac:dyDescent="0.25">
      <c r="N7323" s="3"/>
      <c r="AW7323" s="7"/>
      <c r="AX7323" s="7"/>
    </row>
    <row r="7324" spans="14:50" x14ac:dyDescent="0.25">
      <c r="N7324" s="3"/>
      <c r="AW7324" s="7"/>
      <c r="AX7324" s="7"/>
    </row>
    <row r="7325" spans="14:50" x14ac:dyDescent="0.25">
      <c r="N7325" s="3"/>
      <c r="AW7325" s="7"/>
      <c r="AX7325" s="7"/>
    </row>
    <row r="7326" spans="14:50" x14ac:dyDescent="0.25">
      <c r="N7326" s="3"/>
      <c r="AW7326" s="7"/>
      <c r="AX7326" s="7"/>
    </row>
    <row r="7327" spans="14:50" x14ac:dyDescent="0.25">
      <c r="N7327" s="3"/>
      <c r="AW7327" s="7"/>
      <c r="AX7327" s="7"/>
    </row>
    <row r="7328" spans="14:50" x14ac:dyDescent="0.25">
      <c r="N7328" s="3"/>
      <c r="AW7328" s="7"/>
      <c r="AX7328" s="7"/>
    </row>
    <row r="7329" spans="14:50" x14ac:dyDescent="0.25">
      <c r="N7329" s="3"/>
      <c r="AW7329" s="7"/>
      <c r="AX7329" s="7"/>
    </row>
    <row r="7330" spans="14:50" x14ac:dyDescent="0.25">
      <c r="N7330" s="3"/>
      <c r="AW7330" s="7"/>
      <c r="AX7330" s="7"/>
    </row>
    <row r="7331" spans="14:50" x14ac:dyDescent="0.25">
      <c r="N7331" s="3"/>
      <c r="AW7331" s="7"/>
      <c r="AX7331" s="7"/>
    </row>
    <row r="7332" spans="14:50" x14ac:dyDescent="0.25">
      <c r="N7332" s="3"/>
      <c r="AW7332" s="7"/>
      <c r="AX7332" s="7"/>
    </row>
    <row r="7333" spans="14:50" x14ac:dyDescent="0.25">
      <c r="N7333" s="3"/>
      <c r="AW7333" s="7"/>
      <c r="AX7333" s="7"/>
    </row>
    <row r="7334" spans="14:50" x14ac:dyDescent="0.25">
      <c r="N7334" s="3"/>
      <c r="AW7334" s="7"/>
      <c r="AX7334" s="7"/>
    </row>
    <row r="7335" spans="14:50" x14ac:dyDescent="0.25">
      <c r="N7335" s="3"/>
      <c r="AW7335" s="7"/>
      <c r="AX7335" s="7"/>
    </row>
    <row r="7336" spans="14:50" x14ac:dyDescent="0.25">
      <c r="N7336" s="3"/>
      <c r="AW7336" s="7"/>
      <c r="AX7336" s="7"/>
    </row>
    <row r="7337" spans="14:50" x14ac:dyDescent="0.25">
      <c r="N7337" s="3"/>
      <c r="AW7337" s="7"/>
      <c r="AX7337" s="7"/>
    </row>
    <row r="7338" spans="14:50" x14ac:dyDescent="0.25">
      <c r="N7338" s="3"/>
      <c r="AW7338" s="7"/>
      <c r="AX7338" s="7"/>
    </row>
    <row r="7339" spans="14:50" x14ac:dyDescent="0.25">
      <c r="N7339" s="3"/>
      <c r="AW7339" s="7"/>
      <c r="AX7339" s="7"/>
    </row>
    <row r="7340" spans="14:50" x14ac:dyDescent="0.25">
      <c r="N7340" s="3"/>
      <c r="AW7340" s="7"/>
      <c r="AX7340" s="7"/>
    </row>
    <row r="7341" spans="14:50" x14ac:dyDescent="0.25">
      <c r="N7341" s="3"/>
      <c r="AW7341" s="7"/>
      <c r="AX7341" s="7"/>
    </row>
    <row r="7342" spans="14:50" x14ac:dyDescent="0.25">
      <c r="N7342" s="3"/>
      <c r="AW7342" s="7"/>
      <c r="AX7342" s="7"/>
    </row>
    <row r="7343" spans="14:50" x14ac:dyDescent="0.25">
      <c r="N7343" s="3"/>
      <c r="AW7343" s="7"/>
      <c r="AX7343" s="7"/>
    </row>
    <row r="7344" spans="14:50" x14ac:dyDescent="0.25">
      <c r="N7344" s="3"/>
      <c r="AW7344" s="7"/>
      <c r="AX7344" s="7"/>
    </row>
    <row r="7345" spans="14:50" x14ac:dyDescent="0.25">
      <c r="N7345" s="3"/>
      <c r="AW7345" s="7"/>
      <c r="AX7345" s="7"/>
    </row>
    <row r="7346" spans="14:50" x14ac:dyDescent="0.25">
      <c r="N7346" s="3"/>
      <c r="AW7346" s="7"/>
      <c r="AX7346" s="7"/>
    </row>
    <row r="7347" spans="14:50" x14ac:dyDescent="0.25">
      <c r="N7347" s="3"/>
      <c r="AW7347" s="7"/>
      <c r="AX7347" s="7"/>
    </row>
    <row r="7348" spans="14:50" x14ac:dyDescent="0.25">
      <c r="N7348" s="3"/>
      <c r="AW7348" s="7"/>
      <c r="AX7348" s="7"/>
    </row>
    <row r="7349" spans="14:50" x14ac:dyDescent="0.25">
      <c r="N7349" s="3"/>
      <c r="AW7349" s="7"/>
      <c r="AX7349" s="7"/>
    </row>
    <row r="7350" spans="14:50" x14ac:dyDescent="0.25">
      <c r="N7350" s="3"/>
      <c r="AW7350" s="7"/>
      <c r="AX7350" s="7"/>
    </row>
    <row r="7351" spans="14:50" x14ac:dyDescent="0.25">
      <c r="N7351" s="3"/>
      <c r="AW7351" s="7"/>
      <c r="AX7351" s="7"/>
    </row>
    <row r="7352" spans="14:50" x14ac:dyDescent="0.25">
      <c r="N7352" s="3"/>
      <c r="AW7352" s="7"/>
      <c r="AX7352" s="7"/>
    </row>
    <row r="7353" spans="14:50" x14ac:dyDescent="0.25">
      <c r="N7353" s="3"/>
      <c r="AW7353" s="7"/>
      <c r="AX7353" s="7"/>
    </row>
    <row r="7354" spans="14:50" x14ac:dyDescent="0.25">
      <c r="N7354" s="3"/>
      <c r="AW7354" s="7"/>
      <c r="AX7354" s="7"/>
    </row>
    <row r="7355" spans="14:50" x14ac:dyDescent="0.25">
      <c r="N7355" s="3"/>
      <c r="AW7355" s="7"/>
      <c r="AX7355" s="7"/>
    </row>
    <row r="7356" spans="14:50" x14ac:dyDescent="0.25">
      <c r="N7356" s="3"/>
      <c r="AW7356" s="7"/>
      <c r="AX7356" s="7"/>
    </row>
    <row r="7357" spans="14:50" x14ac:dyDescent="0.25">
      <c r="N7357" s="3"/>
      <c r="AW7357" s="7"/>
      <c r="AX7357" s="7"/>
    </row>
    <row r="7358" spans="14:50" x14ac:dyDescent="0.25">
      <c r="N7358" s="3"/>
      <c r="AW7358" s="7"/>
      <c r="AX7358" s="7"/>
    </row>
    <row r="7359" spans="14:50" x14ac:dyDescent="0.25">
      <c r="N7359" s="3"/>
      <c r="AW7359" s="7"/>
      <c r="AX7359" s="7"/>
    </row>
    <row r="7360" spans="14:50" x14ac:dyDescent="0.25">
      <c r="N7360" s="3"/>
      <c r="AW7360" s="7"/>
      <c r="AX7360" s="7"/>
    </row>
    <row r="7361" spans="14:50" x14ac:dyDescent="0.25">
      <c r="N7361" s="3"/>
      <c r="AW7361" s="7"/>
      <c r="AX7361" s="7"/>
    </row>
    <row r="7362" spans="14:50" x14ac:dyDescent="0.25">
      <c r="N7362" s="3"/>
      <c r="AW7362" s="7"/>
      <c r="AX7362" s="7"/>
    </row>
    <row r="7363" spans="14:50" x14ac:dyDescent="0.25">
      <c r="N7363" s="3"/>
      <c r="AW7363" s="7"/>
      <c r="AX7363" s="7"/>
    </row>
    <row r="7364" spans="14:50" x14ac:dyDescent="0.25">
      <c r="N7364" s="3"/>
      <c r="AW7364" s="7"/>
      <c r="AX7364" s="7"/>
    </row>
    <row r="7365" spans="14:50" x14ac:dyDescent="0.25">
      <c r="N7365" s="3"/>
      <c r="AW7365" s="7"/>
      <c r="AX7365" s="7"/>
    </row>
    <row r="7366" spans="14:50" x14ac:dyDescent="0.25">
      <c r="N7366" s="3"/>
      <c r="AW7366" s="7"/>
      <c r="AX7366" s="7"/>
    </row>
    <row r="7367" spans="14:50" x14ac:dyDescent="0.25">
      <c r="N7367" s="3"/>
      <c r="AW7367" s="7"/>
      <c r="AX7367" s="7"/>
    </row>
    <row r="7368" spans="14:50" x14ac:dyDescent="0.25">
      <c r="N7368" s="3"/>
      <c r="AW7368" s="7"/>
      <c r="AX7368" s="7"/>
    </row>
    <row r="7369" spans="14:50" x14ac:dyDescent="0.25">
      <c r="N7369" s="3"/>
      <c r="AW7369" s="7"/>
      <c r="AX7369" s="7"/>
    </row>
    <row r="7370" spans="14:50" x14ac:dyDescent="0.25">
      <c r="N7370" s="3"/>
      <c r="AW7370" s="7"/>
      <c r="AX7370" s="7"/>
    </row>
    <row r="7371" spans="14:50" x14ac:dyDescent="0.25">
      <c r="N7371" s="3"/>
      <c r="AW7371" s="7"/>
      <c r="AX7371" s="7"/>
    </row>
    <row r="7372" spans="14:50" x14ac:dyDescent="0.25">
      <c r="N7372" s="3"/>
      <c r="AW7372" s="7"/>
      <c r="AX7372" s="7"/>
    </row>
    <row r="7373" spans="14:50" x14ac:dyDescent="0.25">
      <c r="N7373" s="3"/>
      <c r="AW7373" s="7"/>
      <c r="AX7373" s="7"/>
    </row>
    <row r="7374" spans="14:50" x14ac:dyDescent="0.25">
      <c r="N7374" s="3"/>
      <c r="AW7374" s="7"/>
      <c r="AX7374" s="7"/>
    </row>
    <row r="7375" spans="14:50" x14ac:dyDescent="0.25">
      <c r="N7375" s="3"/>
      <c r="AW7375" s="7"/>
      <c r="AX7375" s="7"/>
    </row>
    <row r="7376" spans="14:50" x14ac:dyDescent="0.25">
      <c r="N7376" s="3"/>
      <c r="AW7376" s="7"/>
      <c r="AX7376" s="7"/>
    </row>
    <row r="7377" spans="14:50" x14ac:dyDescent="0.25">
      <c r="N7377" s="3"/>
      <c r="AW7377" s="7"/>
      <c r="AX7377" s="7"/>
    </row>
    <row r="7378" spans="14:50" x14ac:dyDescent="0.25">
      <c r="N7378" s="3"/>
      <c r="AW7378" s="7"/>
      <c r="AX7378" s="7"/>
    </row>
    <row r="7379" spans="14:50" x14ac:dyDescent="0.25">
      <c r="N7379" s="3"/>
      <c r="AW7379" s="7"/>
      <c r="AX7379" s="7"/>
    </row>
    <row r="7380" spans="14:50" x14ac:dyDescent="0.25">
      <c r="N7380" s="3"/>
      <c r="AW7380" s="7"/>
      <c r="AX7380" s="7"/>
    </row>
    <row r="7381" spans="14:50" x14ac:dyDescent="0.25">
      <c r="N7381" s="3"/>
      <c r="AW7381" s="7"/>
      <c r="AX7381" s="7"/>
    </row>
    <row r="7382" spans="14:50" x14ac:dyDescent="0.25">
      <c r="N7382" s="3"/>
      <c r="AW7382" s="7"/>
      <c r="AX7382" s="7"/>
    </row>
    <row r="7383" spans="14:50" x14ac:dyDescent="0.25">
      <c r="N7383" s="3"/>
      <c r="AW7383" s="7"/>
      <c r="AX7383" s="7"/>
    </row>
    <row r="7384" spans="14:50" x14ac:dyDescent="0.25">
      <c r="N7384" s="3"/>
      <c r="AW7384" s="7"/>
      <c r="AX7384" s="7"/>
    </row>
    <row r="7385" spans="14:50" x14ac:dyDescent="0.25">
      <c r="N7385" s="3"/>
      <c r="AW7385" s="7"/>
      <c r="AX7385" s="7"/>
    </row>
    <row r="7386" spans="14:50" x14ac:dyDescent="0.25">
      <c r="N7386" s="3"/>
      <c r="AW7386" s="7"/>
      <c r="AX7386" s="7"/>
    </row>
    <row r="7387" spans="14:50" x14ac:dyDescent="0.25">
      <c r="N7387" s="3"/>
      <c r="AW7387" s="7"/>
      <c r="AX7387" s="7"/>
    </row>
    <row r="7388" spans="14:50" x14ac:dyDescent="0.25">
      <c r="N7388" s="3"/>
      <c r="AW7388" s="7"/>
      <c r="AX7388" s="7"/>
    </row>
    <row r="7389" spans="14:50" x14ac:dyDescent="0.25">
      <c r="N7389" s="3"/>
      <c r="AW7389" s="7"/>
      <c r="AX7389" s="7"/>
    </row>
    <row r="7390" spans="14:50" x14ac:dyDescent="0.25">
      <c r="N7390" s="3"/>
      <c r="AW7390" s="7"/>
      <c r="AX7390" s="7"/>
    </row>
    <row r="7391" spans="14:50" x14ac:dyDescent="0.25">
      <c r="N7391" s="3"/>
      <c r="AW7391" s="7"/>
      <c r="AX7391" s="7"/>
    </row>
    <row r="7392" spans="14:50" x14ac:dyDescent="0.25">
      <c r="N7392" s="3"/>
      <c r="AW7392" s="7"/>
      <c r="AX7392" s="7"/>
    </row>
    <row r="7393" spans="14:50" x14ac:dyDescent="0.25">
      <c r="N7393" s="3"/>
      <c r="AW7393" s="7"/>
      <c r="AX7393" s="7"/>
    </row>
    <row r="7394" spans="14:50" x14ac:dyDescent="0.25">
      <c r="N7394" s="3"/>
      <c r="AW7394" s="7"/>
      <c r="AX7394" s="7"/>
    </row>
    <row r="7395" spans="14:50" x14ac:dyDescent="0.25">
      <c r="N7395" s="3"/>
      <c r="AW7395" s="7"/>
      <c r="AX7395" s="7"/>
    </row>
    <row r="7396" spans="14:50" x14ac:dyDescent="0.25">
      <c r="N7396" s="3"/>
      <c r="AW7396" s="7"/>
      <c r="AX7396" s="7"/>
    </row>
    <row r="7397" spans="14:50" x14ac:dyDescent="0.25">
      <c r="N7397" s="3"/>
      <c r="AW7397" s="7"/>
      <c r="AX7397" s="7"/>
    </row>
    <row r="7398" spans="14:50" x14ac:dyDescent="0.25">
      <c r="N7398" s="3"/>
      <c r="AW7398" s="7"/>
      <c r="AX7398" s="7"/>
    </row>
    <row r="7399" spans="14:50" x14ac:dyDescent="0.25">
      <c r="N7399" s="3"/>
      <c r="AW7399" s="7"/>
      <c r="AX7399" s="7"/>
    </row>
    <row r="7400" spans="14:50" x14ac:dyDescent="0.25">
      <c r="N7400" s="3"/>
      <c r="AW7400" s="7"/>
      <c r="AX7400" s="7"/>
    </row>
    <row r="7401" spans="14:50" x14ac:dyDescent="0.25">
      <c r="N7401" s="3"/>
      <c r="AW7401" s="7"/>
      <c r="AX7401" s="7"/>
    </row>
    <row r="7402" spans="14:50" x14ac:dyDescent="0.25">
      <c r="N7402" s="3"/>
      <c r="AW7402" s="7"/>
      <c r="AX7402" s="7"/>
    </row>
    <row r="7403" spans="14:50" x14ac:dyDescent="0.25">
      <c r="N7403" s="3"/>
      <c r="AW7403" s="7"/>
      <c r="AX7403" s="7"/>
    </row>
    <row r="7404" spans="14:50" x14ac:dyDescent="0.25">
      <c r="N7404" s="3"/>
      <c r="AW7404" s="7"/>
      <c r="AX7404" s="7"/>
    </row>
    <row r="7405" spans="14:50" x14ac:dyDescent="0.25">
      <c r="N7405" s="3"/>
      <c r="AW7405" s="7"/>
      <c r="AX7405" s="7"/>
    </row>
    <row r="7406" spans="14:50" x14ac:dyDescent="0.25">
      <c r="N7406" s="3"/>
      <c r="AW7406" s="7"/>
      <c r="AX7406" s="7"/>
    </row>
    <row r="7407" spans="14:50" x14ac:dyDescent="0.25">
      <c r="N7407" s="3"/>
      <c r="AW7407" s="7"/>
      <c r="AX7407" s="7"/>
    </row>
    <row r="7408" spans="14:50" x14ac:dyDescent="0.25">
      <c r="N7408" s="3"/>
      <c r="AW7408" s="7"/>
      <c r="AX7408" s="7"/>
    </row>
    <row r="7409" spans="14:50" x14ac:dyDescent="0.25">
      <c r="N7409" s="3"/>
      <c r="AW7409" s="7"/>
      <c r="AX7409" s="7"/>
    </row>
    <row r="7410" spans="14:50" x14ac:dyDescent="0.25">
      <c r="N7410" s="3"/>
      <c r="AW7410" s="7"/>
      <c r="AX7410" s="7"/>
    </row>
    <row r="7411" spans="14:50" x14ac:dyDescent="0.25">
      <c r="N7411" s="3"/>
      <c r="AW7411" s="7"/>
      <c r="AX7411" s="7"/>
    </row>
    <row r="7412" spans="14:50" x14ac:dyDescent="0.25">
      <c r="N7412" s="3"/>
      <c r="AW7412" s="7"/>
      <c r="AX7412" s="7"/>
    </row>
    <row r="7413" spans="14:50" x14ac:dyDescent="0.25">
      <c r="N7413" s="3"/>
      <c r="AW7413" s="7"/>
      <c r="AX7413" s="7"/>
    </row>
    <row r="7414" spans="14:50" x14ac:dyDescent="0.25">
      <c r="N7414" s="3"/>
      <c r="AW7414" s="7"/>
      <c r="AX7414" s="7"/>
    </row>
    <row r="7415" spans="14:50" x14ac:dyDescent="0.25">
      <c r="N7415" s="3"/>
      <c r="AW7415" s="7"/>
      <c r="AX7415" s="7"/>
    </row>
    <row r="7416" spans="14:50" x14ac:dyDescent="0.25">
      <c r="N7416" s="3"/>
      <c r="AW7416" s="7"/>
      <c r="AX7416" s="7"/>
    </row>
    <row r="7417" spans="14:50" x14ac:dyDescent="0.25">
      <c r="N7417" s="3"/>
      <c r="AW7417" s="7"/>
      <c r="AX7417" s="7"/>
    </row>
    <row r="7418" spans="14:50" x14ac:dyDescent="0.25">
      <c r="N7418" s="3"/>
      <c r="AW7418" s="7"/>
      <c r="AX7418" s="7"/>
    </row>
    <row r="7419" spans="14:50" x14ac:dyDescent="0.25">
      <c r="N7419" s="3"/>
      <c r="AW7419" s="7"/>
      <c r="AX7419" s="7"/>
    </row>
    <row r="7420" spans="14:50" x14ac:dyDescent="0.25">
      <c r="N7420" s="3"/>
      <c r="AW7420" s="7"/>
      <c r="AX7420" s="7"/>
    </row>
    <row r="7421" spans="14:50" x14ac:dyDescent="0.25">
      <c r="N7421" s="3"/>
      <c r="AW7421" s="7"/>
      <c r="AX7421" s="7"/>
    </row>
    <row r="7422" spans="14:50" x14ac:dyDescent="0.25">
      <c r="N7422" s="3"/>
      <c r="AW7422" s="7"/>
      <c r="AX7422" s="7"/>
    </row>
    <row r="7423" spans="14:50" x14ac:dyDescent="0.25">
      <c r="N7423" s="3"/>
      <c r="AW7423" s="7"/>
      <c r="AX7423" s="7"/>
    </row>
    <row r="7424" spans="14:50" x14ac:dyDescent="0.25">
      <c r="N7424" s="3"/>
      <c r="AW7424" s="7"/>
      <c r="AX7424" s="7"/>
    </row>
    <row r="7425" spans="14:50" x14ac:dyDescent="0.25">
      <c r="N7425" s="3"/>
      <c r="AW7425" s="7"/>
      <c r="AX7425" s="7"/>
    </row>
    <row r="7426" spans="14:50" x14ac:dyDescent="0.25">
      <c r="N7426" s="3"/>
      <c r="AW7426" s="7"/>
      <c r="AX7426" s="7"/>
    </row>
    <row r="7427" spans="14:50" x14ac:dyDescent="0.25">
      <c r="N7427" s="3"/>
      <c r="AW7427" s="7"/>
      <c r="AX7427" s="7"/>
    </row>
    <row r="7428" spans="14:50" x14ac:dyDescent="0.25">
      <c r="N7428" s="3"/>
      <c r="AW7428" s="7"/>
      <c r="AX7428" s="7"/>
    </row>
    <row r="7429" spans="14:50" x14ac:dyDescent="0.25">
      <c r="N7429" s="3"/>
      <c r="AW7429" s="7"/>
      <c r="AX7429" s="7"/>
    </row>
    <row r="7430" spans="14:50" x14ac:dyDescent="0.25">
      <c r="N7430" s="3"/>
      <c r="AW7430" s="7"/>
      <c r="AX7430" s="7"/>
    </row>
    <row r="7431" spans="14:50" x14ac:dyDescent="0.25">
      <c r="N7431" s="3"/>
      <c r="AW7431" s="7"/>
      <c r="AX7431" s="7"/>
    </row>
    <row r="7432" spans="14:50" x14ac:dyDescent="0.25">
      <c r="N7432" s="3"/>
      <c r="AW7432" s="7"/>
      <c r="AX7432" s="7"/>
    </row>
    <row r="7433" spans="14:50" x14ac:dyDescent="0.25">
      <c r="N7433" s="3"/>
      <c r="AW7433" s="7"/>
      <c r="AX7433" s="7"/>
    </row>
    <row r="7434" spans="14:50" x14ac:dyDescent="0.25">
      <c r="N7434" s="3"/>
      <c r="AW7434" s="7"/>
      <c r="AX7434" s="7"/>
    </row>
    <row r="7435" spans="14:50" x14ac:dyDescent="0.25">
      <c r="N7435" s="3"/>
      <c r="AW7435" s="7"/>
      <c r="AX7435" s="7"/>
    </row>
    <row r="7436" spans="14:50" x14ac:dyDescent="0.25">
      <c r="N7436" s="3"/>
      <c r="AW7436" s="7"/>
      <c r="AX7436" s="7"/>
    </row>
    <row r="7437" spans="14:50" x14ac:dyDescent="0.25">
      <c r="N7437" s="3"/>
      <c r="AW7437" s="7"/>
      <c r="AX7437" s="7"/>
    </row>
    <row r="7438" spans="14:50" x14ac:dyDescent="0.25">
      <c r="N7438" s="3"/>
      <c r="AW7438" s="7"/>
      <c r="AX7438" s="7"/>
    </row>
    <row r="7439" spans="14:50" x14ac:dyDescent="0.25">
      <c r="N7439" s="3"/>
      <c r="AW7439" s="7"/>
      <c r="AX7439" s="7"/>
    </row>
    <row r="7440" spans="14:50" x14ac:dyDescent="0.25">
      <c r="N7440" s="3"/>
      <c r="AW7440" s="7"/>
      <c r="AX7440" s="7"/>
    </row>
    <row r="7441" spans="14:50" x14ac:dyDescent="0.25">
      <c r="N7441" s="3"/>
      <c r="AW7441" s="7"/>
      <c r="AX7441" s="7"/>
    </row>
    <row r="7442" spans="14:50" x14ac:dyDescent="0.25">
      <c r="N7442" s="3"/>
      <c r="AW7442" s="7"/>
      <c r="AX7442" s="7"/>
    </row>
    <row r="7443" spans="14:50" x14ac:dyDescent="0.25">
      <c r="N7443" s="3"/>
      <c r="AW7443" s="7"/>
      <c r="AX7443" s="7"/>
    </row>
    <row r="7444" spans="14:50" x14ac:dyDescent="0.25">
      <c r="N7444" s="3"/>
      <c r="AW7444" s="7"/>
      <c r="AX7444" s="7"/>
    </row>
    <row r="7445" spans="14:50" x14ac:dyDescent="0.25">
      <c r="N7445" s="3"/>
      <c r="AW7445" s="7"/>
      <c r="AX7445" s="7"/>
    </row>
    <row r="7446" spans="14:50" x14ac:dyDescent="0.25">
      <c r="N7446" s="3"/>
      <c r="AW7446" s="7"/>
      <c r="AX7446" s="7"/>
    </row>
    <row r="7447" spans="14:50" x14ac:dyDescent="0.25">
      <c r="N7447" s="3"/>
      <c r="AW7447" s="7"/>
      <c r="AX7447" s="7"/>
    </row>
    <row r="7448" spans="14:50" x14ac:dyDescent="0.25">
      <c r="N7448" s="3"/>
      <c r="AW7448" s="7"/>
      <c r="AX7448" s="7"/>
    </row>
    <row r="7449" spans="14:50" x14ac:dyDescent="0.25">
      <c r="N7449" s="3"/>
      <c r="AW7449" s="7"/>
      <c r="AX7449" s="7"/>
    </row>
    <row r="7450" spans="14:50" x14ac:dyDescent="0.25">
      <c r="N7450" s="3"/>
      <c r="AW7450" s="7"/>
      <c r="AX7450" s="7"/>
    </row>
    <row r="7451" spans="14:50" x14ac:dyDescent="0.25">
      <c r="N7451" s="3"/>
      <c r="AW7451" s="7"/>
      <c r="AX7451" s="7"/>
    </row>
    <row r="7452" spans="14:50" x14ac:dyDescent="0.25">
      <c r="N7452" s="3"/>
      <c r="AW7452" s="7"/>
      <c r="AX7452" s="7"/>
    </row>
    <row r="7453" spans="14:50" x14ac:dyDescent="0.25">
      <c r="N7453" s="3"/>
      <c r="AW7453" s="7"/>
      <c r="AX7453" s="7"/>
    </row>
    <row r="7454" spans="14:50" x14ac:dyDescent="0.25">
      <c r="N7454" s="3"/>
      <c r="AW7454" s="7"/>
      <c r="AX7454" s="7"/>
    </row>
    <row r="7455" spans="14:50" x14ac:dyDescent="0.25">
      <c r="N7455" s="3"/>
      <c r="AW7455" s="7"/>
      <c r="AX7455" s="7"/>
    </row>
    <row r="7456" spans="14:50" x14ac:dyDescent="0.25">
      <c r="N7456" s="3"/>
      <c r="AW7456" s="7"/>
      <c r="AX7456" s="7"/>
    </row>
    <row r="7457" spans="14:50" x14ac:dyDescent="0.25">
      <c r="N7457" s="3"/>
      <c r="AW7457" s="7"/>
      <c r="AX7457" s="7"/>
    </row>
    <row r="7458" spans="14:50" x14ac:dyDescent="0.25">
      <c r="N7458" s="3"/>
      <c r="AW7458" s="7"/>
      <c r="AX7458" s="7"/>
    </row>
    <row r="7459" spans="14:50" x14ac:dyDescent="0.25">
      <c r="N7459" s="3"/>
      <c r="AW7459" s="7"/>
      <c r="AX7459" s="7"/>
    </row>
    <row r="7460" spans="14:50" x14ac:dyDescent="0.25">
      <c r="N7460" s="3"/>
      <c r="AW7460" s="7"/>
      <c r="AX7460" s="7"/>
    </row>
    <row r="7461" spans="14:50" x14ac:dyDescent="0.25">
      <c r="N7461" s="3"/>
      <c r="AW7461" s="7"/>
      <c r="AX7461" s="7"/>
    </row>
    <row r="7462" spans="14:50" x14ac:dyDescent="0.25">
      <c r="N7462" s="3"/>
      <c r="AW7462" s="7"/>
      <c r="AX7462" s="7"/>
    </row>
    <row r="7463" spans="14:50" x14ac:dyDescent="0.25">
      <c r="N7463" s="3"/>
      <c r="AW7463" s="7"/>
      <c r="AX7463" s="7"/>
    </row>
    <row r="7464" spans="14:50" x14ac:dyDescent="0.25">
      <c r="N7464" s="3"/>
      <c r="AW7464" s="7"/>
      <c r="AX7464" s="7"/>
    </row>
    <row r="7465" spans="14:50" x14ac:dyDescent="0.25">
      <c r="N7465" s="3"/>
      <c r="AW7465" s="7"/>
      <c r="AX7465" s="7"/>
    </row>
    <row r="7466" spans="14:50" x14ac:dyDescent="0.25">
      <c r="N7466" s="3"/>
      <c r="AW7466" s="7"/>
      <c r="AX7466" s="7"/>
    </row>
    <row r="7467" spans="14:50" x14ac:dyDescent="0.25">
      <c r="N7467" s="3"/>
      <c r="AW7467" s="7"/>
      <c r="AX7467" s="7"/>
    </row>
    <row r="7468" spans="14:50" x14ac:dyDescent="0.25">
      <c r="N7468" s="3"/>
      <c r="AW7468" s="7"/>
      <c r="AX7468" s="7"/>
    </row>
    <row r="7469" spans="14:50" x14ac:dyDescent="0.25">
      <c r="N7469" s="3"/>
      <c r="AW7469" s="7"/>
      <c r="AX7469" s="7"/>
    </row>
    <row r="7470" spans="14:50" x14ac:dyDescent="0.25">
      <c r="N7470" s="3"/>
      <c r="AW7470" s="7"/>
      <c r="AX7470" s="7"/>
    </row>
    <row r="7471" spans="14:50" x14ac:dyDescent="0.25">
      <c r="N7471" s="3"/>
      <c r="AW7471" s="7"/>
      <c r="AX7471" s="7"/>
    </row>
    <row r="7472" spans="14:50" x14ac:dyDescent="0.25">
      <c r="N7472" s="3"/>
      <c r="AW7472" s="7"/>
      <c r="AX7472" s="7"/>
    </row>
    <row r="7473" spans="14:50" x14ac:dyDescent="0.25">
      <c r="N7473" s="3"/>
      <c r="AW7473" s="7"/>
      <c r="AX7473" s="7"/>
    </row>
    <row r="7474" spans="14:50" x14ac:dyDescent="0.25">
      <c r="N7474" s="3"/>
      <c r="AW7474" s="7"/>
      <c r="AX7474" s="7"/>
    </row>
    <row r="7475" spans="14:50" x14ac:dyDescent="0.25">
      <c r="N7475" s="3"/>
      <c r="AW7475" s="7"/>
      <c r="AX7475" s="7"/>
    </row>
    <row r="7476" spans="14:50" x14ac:dyDescent="0.25">
      <c r="N7476" s="3"/>
      <c r="AW7476" s="7"/>
      <c r="AX7476" s="7"/>
    </row>
    <row r="7477" spans="14:50" x14ac:dyDescent="0.25">
      <c r="N7477" s="3"/>
      <c r="AW7477" s="7"/>
      <c r="AX7477" s="7"/>
    </row>
    <row r="7478" spans="14:50" x14ac:dyDescent="0.25">
      <c r="N7478" s="3"/>
      <c r="AW7478" s="7"/>
      <c r="AX7478" s="7"/>
    </row>
    <row r="7479" spans="14:50" x14ac:dyDescent="0.25">
      <c r="N7479" s="3"/>
      <c r="AW7479" s="7"/>
      <c r="AX7479" s="7"/>
    </row>
    <row r="7480" spans="14:50" x14ac:dyDescent="0.25">
      <c r="N7480" s="3"/>
      <c r="AW7480" s="7"/>
      <c r="AX7480" s="7"/>
    </row>
    <row r="7481" spans="14:50" x14ac:dyDescent="0.25">
      <c r="N7481" s="3"/>
      <c r="AW7481" s="7"/>
      <c r="AX7481" s="7"/>
    </row>
    <row r="7482" spans="14:50" x14ac:dyDescent="0.25">
      <c r="N7482" s="3"/>
      <c r="AW7482" s="7"/>
      <c r="AX7482" s="7"/>
    </row>
    <row r="7483" spans="14:50" x14ac:dyDescent="0.25">
      <c r="N7483" s="3"/>
      <c r="AW7483" s="7"/>
      <c r="AX7483" s="7"/>
    </row>
    <row r="7484" spans="14:50" x14ac:dyDescent="0.25">
      <c r="N7484" s="3"/>
      <c r="AW7484" s="7"/>
      <c r="AX7484" s="7"/>
    </row>
    <row r="7485" spans="14:50" x14ac:dyDescent="0.25">
      <c r="N7485" s="3"/>
      <c r="AW7485" s="7"/>
      <c r="AX7485" s="7"/>
    </row>
    <row r="7486" spans="14:50" x14ac:dyDescent="0.25">
      <c r="N7486" s="3"/>
      <c r="AW7486" s="7"/>
      <c r="AX7486" s="7"/>
    </row>
    <row r="7487" spans="14:50" x14ac:dyDescent="0.25">
      <c r="N7487" s="3"/>
      <c r="AW7487" s="7"/>
      <c r="AX7487" s="7"/>
    </row>
    <row r="7488" spans="14:50" x14ac:dyDescent="0.25">
      <c r="N7488" s="3"/>
      <c r="AW7488" s="7"/>
      <c r="AX7488" s="7"/>
    </row>
    <row r="7489" spans="14:50" x14ac:dyDescent="0.25">
      <c r="N7489" s="3"/>
      <c r="AW7489" s="7"/>
      <c r="AX7489" s="7"/>
    </row>
    <row r="7490" spans="14:50" x14ac:dyDescent="0.25">
      <c r="N7490" s="3"/>
      <c r="AW7490" s="7"/>
      <c r="AX7490" s="7"/>
    </row>
    <row r="7491" spans="14:50" x14ac:dyDescent="0.25">
      <c r="N7491" s="3"/>
      <c r="AW7491" s="7"/>
      <c r="AX7491" s="7"/>
    </row>
    <row r="7492" spans="14:50" x14ac:dyDescent="0.25">
      <c r="N7492" s="3"/>
      <c r="AW7492" s="7"/>
      <c r="AX7492" s="7"/>
    </row>
    <row r="7493" spans="14:50" x14ac:dyDescent="0.25">
      <c r="N7493" s="3"/>
      <c r="AW7493" s="7"/>
      <c r="AX7493" s="7"/>
    </row>
    <row r="7494" spans="14:50" x14ac:dyDescent="0.25">
      <c r="N7494" s="3"/>
      <c r="AW7494" s="7"/>
      <c r="AX7494" s="7"/>
    </row>
    <row r="7495" spans="14:50" x14ac:dyDescent="0.25">
      <c r="N7495" s="3"/>
      <c r="AW7495" s="7"/>
      <c r="AX7495" s="7"/>
    </row>
    <row r="7496" spans="14:50" x14ac:dyDescent="0.25">
      <c r="N7496" s="3"/>
      <c r="AW7496" s="7"/>
      <c r="AX7496" s="7"/>
    </row>
    <row r="7497" spans="14:50" x14ac:dyDescent="0.25">
      <c r="N7497" s="3"/>
      <c r="AW7497" s="7"/>
      <c r="AX7497" s="7"/>
    </row>
    <row r="7498" spans="14:50" x14ac:dyDescent="0.25">
      <c r="N7498" s="3"/>
      <c r="AW7498" s="7"/>
      <c r="AX7498" s="7"/>
    </row>
    <row r="7499" spans="14:50" x14ac:dyDescent="0.25">
      <c r="N7499" s="3"/>
      <c r="AW7499" s="7"/>
      <c r="AX7499" s="7"/>
    </row>
    <row r="7500" spans="14:50" x14ac:dyDescent="0.25">
      <c r="N7500" s="3"/>
      <c r="AW7500" s="7"/>
      <c r="AX7500" s="7"/>
    </row>
    <row r="7501" spans="14:50" x14ac:dyDescent="0.25">
      <c r="N7501" s="3"/>
      <c r="AW7501" s="7"/>
      <c r="AX7501" s="7"/>
    </row>
    <row r="7502" spans="14:50" x14ac:dyDescent="0.25">
      <c r="N7502" s="3"/>
      <c r="AW7502" s="7"/>
      <c r="AX7502" s="7"/>
    </row>
    <row r="7503" spans="14:50" x14ac:dyDescent="0.25">
      <c r="N7503" s="3"/>
      <c r="AW7503" s="7"/>
      <c r="AX7503" s="7"/>
    </row>
    <row r="7504" spans="14:50" x14ac:dyDescent="0.25">
      <c r="N7504" s="3"/>
      <c r="AW7504" s="7"/>
      <c r="AX7504" s="7"/>
    </row>
    <row r="7505" spans="14:50" x14ac:dyDescent="0.25">
      <c r="N7505" s="3"/>
      <c r="AW7505" s="7"/>
      <c r="AX7505" s="7"/>
    </row>
    <row r="7506" spans="14:50" x14ac:dyDescent="0.25">
      <c r="N7506" s="3"/>
      <c r="AW7506" s="7"/>
      <c r="AX7506" s="7"/>
    </row>
    <row r="7507" spans="14:50" x14ac:dyDescent="0.25">
      <c r="N7507" s="3"/>
      <c r="AW7507" s="7"/>
      <c r="AX7507" s="7"/>
    </row>
    <row r="7508" spans="14:50" x14ac:dyDescent="0.25">
      <c r="N7508" s="3"/>
      <c r="AW7508" s="7"/>
      <c r="AX7508" s="7"/>
    </row>
    <row r="7509" spans="14:50" x14ac:dyDescent="0.25">
      <c r="N7509" s="3"/>
      <c r="AW7509" s="7"/>
      <c r="AX7509" s="7"/>
    </row>
    <row r="7510" spans="14:50" x14ac:dyDescent="0.25">
      <c r="N7510" s="3"/>
      <c r="AW7510" s="7"/>
      <c r="AX7510" s="7"/>
    </row>
    <row r="7511" spans="14:50" x14ac:dyDescent="0.25">
      <c r="N7511" s="3"/>
      <c r="AW7511" s="7"/>
      <c r="AX7511" s="7"/>
    </row>
    <row r="7512" spans="14:50" x14ac:dyDescent="0.25">
      <c r="N7512" s="3"/>
      <c r="AW7512" s="7"/>
      <c r="AX7512" s="7"/>
    </row>
    <row r="7513" spans="14:50" x14ac:dyDescent="0.25">
      <c r="N7513" s="3"/>
      <c r="AW7513" s="7"/>
      <c r="AX7513" s="7"/>
    </row>
    <row r="7514" spans="14:50" x14ac:dyDescent="0.25">
      <c r="N7514" s="3"/>
      <c r="AW7514" s="7"/>
      <c r="AX7514" s="7"/>
    </row>
    <row r="7515" spans="14:50" x14ac:dyDescent="0.25">
      <c r="N7515" s="3"/>
      <c r="AW7515" s="7"/>
      <c r="AX7515" s="7"/>
    </row>
    <row r="7516" spans="14:50" x14ac:dyDescent="0.25">
      <c r="N7516" s="3"/>
      <c r="AW7516" s="7"/>
      <c r="AX7516" s="7"/>
    </row>
    <row r="7517" spans="14:50" x14ac:dyDescent="0.25">
      <c r="N7517" s="3"/>
      <c r="AW7517" s="7"/>
      <c r="AX7517" s="7"/>
    </row>
    <row r="7518" spans="14:50" x14ac:dyDescent="0.25">
      <c r="N7518" s="3"/>
      <c r="AW7518" s="7"/>
      <c r="AX7518" s="7"/>
    </row>
    <row r="7519" spans="14:50" x14ac:dyDescent="0.25">
      <c r="N7519" s="3"/>
      <c r="AW7519" s="7"/>
      <c r="AX7519" s="7"/>
    </row>
    <row r="7520" spans="14:50" x14ac:dyDescent="0.25">
      <c r="N7520" s="3"/>
      <c r="AW7520" s="7"/>
      <c r="AX7520" s="7"/>
    </row>
    <row r="7521" spans="14:50" x14ac:dyDescent="0.25">
      <c r="N7521" s="3"/>
      <c r="AW7521" s="7"/>
      <c r="AX7521" s="7"/>
    </row>
    <row r="7522" spans="14:50" x14ac:dyDescent="0.25">
      <c r="N7522" s="3"/>
      <c r="AW7522" s="7"/>
      <c r="AX7522" s="7"/>
    </row>
    <row r="7523" spans="14:50" x14ac:dyDescent="0.25">
      <c r="N7523" s="3"/>
      <c r="AW7523" s="7"/>
      <c r="AX7523" s="7"/>
    </row>
    <row r="7524" spans="14:50" x14ac:dyDescent="0.25">
      <c r="N7524" s="3"/>
      <c r="AW7524" s="7"/>
      <c r="AX7524" s="7"/>
    </row>
    <row r="7525" spans="14:50" x14ac:dyDescent="0.25">
      <c r="N7525" s="3"/>
      <c r="AW7525" s="7"/>
      <c r="AX7525" s="7"/>
    </row>
    <row r="7526" spans="14:50" x14ac:dyDescent="0.25">
      <c r="N7526" s="3"/>
      <c r="AW7526" s="7"/>
      <c r="AX7526" s="7"/>
    </row>
    <row r="7527" spans="14:50" x14ac:dyDescent="0.25">
      <c r="N7527" s="3"/>
      <c r="AW7527" s="7"/>
      <c r="AX7527" s="7"/>
    </row>
    <row r="7528" spans="14:50" x14ac:dyDescent="0.25">
      <c r="N7528" s="3"/>
      <c r="AW7528" s="7"/>
      <c r="AX7528" s="7"/>
    </row>
    <row r="7529" spans="14:50" x14ac:dyDescent="0.25">
      <c r="N7529" s="3"/>
      <c r="AW7529" s="7"/>
      <c r="AX7529" s="7"/>
    </row>
    <row r="7530" spans="14:50" x14ac:dyDescent="0.25">
      <c r="N7530" s="3"/>
      <c r="AW7530" s="7"/>
      <c r="AX7530" s="7"/>
    </row>
    <row r="7531" spans="14:50" x14ac:dyDescent="0.25">
      <c r="N7531" s="3"/>
      <c r="AW7531" s="7"/>
      <c r="AX7531" s="7"/>
    </row>
    <row r="7532" spans="14:50" x14ac:dyDescent="0.25">
      <c r="N7532" s="3"/>
      <c r="AW7532" s="7"/>
      <c r="AX7532" s="7"/>
    </row>
    <row r="7533" spans="14:50" x14ac:dyDescent="0.25">
      <c r="N7533" s="3"/>
      <c r="AW7533" s="7"/>
      <c r="AX7533" s="7"/>
    </row>
    <row r="7534" spans="14:50" x14ac:dyDescent="0.25">
      <c r="N7534" s="3"/>
      <c r="AW7534" s="7"/>
      <c r="AX7534" s="7"/>
    </row>
    <row r="7535" spans="14:50" x14ac:dyDescent="0.25">
      <c r="N7535" s="3"/>
      <c r="AW7535" s="7"/>
      <c r="AX7535" s="7"/>
    </row>
    <row r="7536" spans="14:50" x14ac:dyDescent="0.25">
      <c r="N7536" s="3"/>
      <c r="AW7536" s="7"/>
      <c r="AX7536" s="7"/>
    </row>
    <row r="7537" spans="14:50" x14ac:dyDescent="0.25">
      <c r="N7537" s="3"/>
      <c r="AW7537" s="7"/>
      <c r="AX7537" s="7"/>
    </row>
    <row r="7538" spans="14:50" x14ac:dyDescent="0.25">
      <c r="N7538" s="3"/>
      <c r="AW7538" s="7"/>
      <c r="AX7538" s="7"/>
    </row>
    <row r="7539" spans="14:50" x14ac:dyDescent="0.25">
      <c r="N7539" s="3"/>
      <c r="AW7539" s="7"/>
      <c r="AX7539" s="7"/>
    </row>
    <row r="7540" spans="14:50" x14ac:dyDescent="0.25">
      <c r="N7540" s="3"/>
      <c r="AW7540" s="7"/>
      <c r="AX7540" s="7"/>
    </row>
    <row r="7541" spans="14:50" x14ac:dyDescent="0.25">
      <c r="N7541" s="3"/>
      <c r="AW7541" s="7"/>
      <c r="AX7541" s="7"/>
    </row>
    <row r="7542" spans="14:50" x14ac:dyDescent="0.25">
      <c r="N7542" s="3"/>
      <c r="AW7542" s="7"/>
      <c r="AX7542" s="7"/>
    </row>
    <row r="7543" spans="14:50" x14ac:dyDescent="0.25">
      <c r="N7543" s="3"/>
      <c r="AW7543" s="7"/>
      <c r="AX7543" s="7"/>
    </row>
    <row r="7544" spans="14:50" x14ac:dyDescent="0.25">
      <c r="N7544" s="3"/>
      <c r="AW7544" s="7"/>
      <c r="AX7544" s="7"/>
    </row>
    <row r="7545" spans="14:50" x14ac:dyDescent="0.25">
      <c r="N7545" s="3"/>
      <c r="AW7545" s="7"/>
      <c r="AX7545" s="7"/>
    </row>
    <row r="7546" spans="14:50" x14ac:dyDescent="0.25">
      <c r="N7546" s="3"/>
      <c r="AW7546" s="7"/>
      <c r="AX7546" s="7"/>
    </row>
    <row r="7547" spans="14:50" x14ac:dyDescent="0.25">
      <c r="N7547" s="3"/>
      <c r="AW7547" s="7"/>
      <c r="AX7547" s="7"/>
    </row>
    <row r="7548" spans="14:50" x14ac:dyDescent="0.25">
      <c r="N7548" s="3"/>
      <c r="AW7548" s="7"/>
      <c r="AX7548" s="7"/>
    </row>
    <row r="7549" spans="14:50" x14ac:dyDescent="0.25">
      <c r="N7549" s="3"/>
      <c r="AW7549" s="7"/>
      <c r="AX7549" s="7"/>
    </row>
    <row r="7550" spans="14:50" x14ac:dyDescent="0.25">
      <c r="N7550" s="3"/>
      <c r="AW7550" s="7"/>
      <c r="AX7550" s="7"/>
    </row>
    <row r="7551" spans="14:50" x14ac:dyDescent="0.25">
      <c r="N7551" s="3"/>
      <c r="AW7551" s="7"/>
      <c r="AX7551" s="7"/>
    </row>
    <row r="7552" spans="14:50" x14ac:dyDescent="0.25">
      <c r="N7552" s="3"/>
      <c r="AW7552" s="7"/>
      <c r="AX7552" s="7"/>
    </row>
    <row r="7553" spans="14:50" x14ac:dyDescent="0.25">
      <c r="N7553" s="3"/>
      <c r="AW7553" s="7"/>
      <c r="AX7553" s="7"/>
    </row>
    <row r="7554" spans="14:50" x14ac:dyDescent="0.25">
      <c r="N7554" s="3"/>
      <c r="AW7554" s="7"/>
      <c r="AX7554" s="7"/>
    </row>
    <row r="7555" spans="14:50" x14ac:dyDescent="0.25">
      <c r="N7555" s="3"/>
      <c r="AW7555" s="7"/>
      <c r="AX7555" s="7"/>
    </row>
    <row r="7556" spans="14:50" x14ac:dyDescent="0.25">
      <c r="N7556" s="3"/>
      <c r="AW7556" s="7"/>
      <c r="AX7556" s="7"/>
    </row>
    <row r="7557" spans="14:50" x14ac:dyDescent="0.25">
      <c r="N7557" s="3"/>
      <c r="AW7557" s="7"/>
      <c r="AX7557" s="7"/>
    </row>
    <row r="7558" spans="14:50" x14ac:dyDescent="0.25">
      <c r="N7558" s="3"/>
      <c r="AW7558" s="7"/>
      <c r="AX7558" s="7"/>
    </row>
    <row r="7559" spans="14:50" x14ac:dyDescent="0.25">
      <c r="N7559" s="3"/>
      <c r="AW7559" s="7"/>
      <c r="AX7559" s="7"/>
    </row>
    <row r="7560" spans="14:50" x14ac:dyDescent="0.25">
      <c r="N7560" s="3"/>
      <c r="AW7560" s="7"/>
      <c r="AX7560" s="7"/>
    </row>
    <row r="7561" spans="14:50" x14ac:dyDescent="0.25">
      <c r="N7561" s="3"/>
      <c r="AW7561" s="7"/>
      <c r="AX7561" s="7"/>
    </row>
    <row r="7562" spans="14:50" x14ac:dyDescent="0.25">
      <c r="N7562" s="3"/>
      <c r="AW7562" s="7"/>
      <c r="AX7562" s="7"/>
    </row>
    <row r="7563" spans="14:50" x14ac:dyDescent="0.25">
      <c r="N7563" s="3"/>
      <c r="AW7563" s="7"/>
      <c r="AX7563" s="7"/>
    </row>
    <row r="7564" spans="14:50" x14ac:dyDescent="0.25">
      <c r="N7564" s="3"/>
      <c r="AW7564" s="7"/>
      <c r="AX7564" s="7"/>
    </row>
    <row r="7565" spans="14:50" x14ac:dyDescent="0.25">
      <c r="N7565" s="3"/>
      <c r="AW7565" s="7"/>
      <c r="AX7565" s="7"/>
    </row>
    <row r="7566" spans="14:50" x14ac:dyDescent="0.25">
      <c r="N7566" s="3"/>
      <c r="AW7566" s="7"/>
      <c r="AX7566" s="7"/>
    </row>
    <row r="7567" spans="14:50" x14ac:dyDescent="0.25">
      <c r="N7567" s="3"/>
      <c r="AW7567" s="7"/>
      <c r="AX7567" s="7"/>
    </row>
    <row r="7568" spans="14:50" x14ac:dyDescent="0.25">
      <c r="N7568" s="3"/>
      <c r="AW7568" s="7"/>
      <c r="AX7568" s="7"/>
    </row>
    <row r="7569" spans="14:50" x14ac:dyDescent="0.25">
      <c r="N7569" s="3"/>
      <c r="AW7569" s="7"/>
      <c r="AX7569" s="7"/>
    </row>
    <row r="7570" spans="14:50" x14ac:dyDescent="0.25">
      <c r="N7570" s="3"/>
      <c r="AW7570" s="7"/>
      <c r="AX7570" s="7"/>
    </row>
    <row r="7571" spans="14:50" x14ac:dyDescent="0.25">
      <c r="N7571" s="3"/>
      <c r="AW7571" s="7"/>
      <c r="AX7571" s="7"/>
    </row>
    <row r="7572" spans="14:50" x14ac:dyDescent="0.25">
      <c r="N7572" s="3"/>
      <c r="AW7572" s="7"/>
      <c r="AX7572" s="7"/>
    </row>
    <row r="7573" spans="14:50" x14ac:dyDescent="0.25">
      <c r="N7573" s="3"/>
      <c r="AW7573" s="7"/>
      <c r="AX7573" s="7"/>
    </row>
    <row r="7574" spans="14:50" x14ac:dyDescent="0.25">
      <c r="N7574" s="3"/>
      <c r="AW7574" s="7"/>
      <c r="AX7574" s="7"/>
    </row>
    <row r="7575" spans="14:50" x14ac:dyDescent="0.25">
      <c r="N7575" s="3"/>
      <c r="AW7575" s="7"/>
      <c r="AX7575" s="7"/>
    </row>
    <row r="7576" spans="14:50" x14ac:dyDescent="0.25">
      <c r="N7576" s="3"/>
      <c r="AW7576" s="7"/>
      <c r="AX7576" s="7"/>
    </row>
    <row r="7577" spans="14:50" x14ac:dyDescent="0.25">
      <c r="N7577" s="3"/>
      <c r="AW7577" s="7"/>
      <c r="AX7577" s="7"/>
    </row>
    <row r="7578" spans="14:50" x14ac:dyDescent="0.25">
      <c r="N7578" s="3"/>
      <c r="AW7578" s="7"/>
      <c r="AX7578" s="7"/>
    </row>
    <row r="7579" spans="14:50" x14ac:dyDescent="0.25">
      <c r="N7579" s="3"/>
      <c r="AW7579" s="7"/>
      <c r="AX7579" s="7"/>
    </row>
    <row r="7580" spans="14:50" x14ac:dyDescent="0.25">
      <c r="N7580" s="3"/>
      <c r="AW7580" s="7"/>
      <c r="AX7580" s="7"/>
    </row>
    <row r="7581" spans="14:50" x14ac:dyDescent="0.25">
      <c r="N7581" s="3"/>
      <c r="AW7581" s="7"/>
      <c r="AX7581" s="7"/>
    </row>
    <row r="7582" spans="14:50" x14ac:dyDescent="0.25">
      <c r="N7582" s="3"/>
      <c r="AW7582" s="7"/>
      <c r="AX7582" s="7"/>
    </row>
    <row r="7583" spans="14:50" x14ac:dyDescent="0.25">
      <c r="N7583" s="3"/>
      <c r="AW7583" s="7"/>
      <c r="AX7583" s="7"/>
    </row>
    <row r="7584" spans="14:50" x14ac:dyDescent="0.25">
      <c r="N7584" s="3"/>
      <c r="AW7584" s="7"/>
      <c r="AX7584" s="7"/>
    </row>
    <row r="7585" spans="14:50" x14ac:dyDescent="0.25">
      <c r="N7585" s="3"/>
      <c r="AW7585" s="7"/>
      <c r="AX7585" s="7"/>
    </row>
    <row r="7586" spans="14:50" x14ac:dyDescent="0.25">
      <c r="N7586" s="3"/>
      <c r="AW7586" s="7"/>
      <c r="AX7586" s="7"/>
    </row>
    <row r="7587" spans="14:50" x14ac:dyDescent="0.25">
      <c r="N7587" s="3"/>
      <c r="AW7587" s="7"/>
      <c r="AX7587" s="7"/>
    </row>
    <row r="7588" spans="14:50" x14ac:dyDescent="0.25">
      <c r="N7588" s="3"/>
      <c r="AW7588" s="7"/>
      <c r="AX7588" s="7"/>
    </row>
    <row r="7589" spans="14:50" x14ac:dyDescent="0.25">
      <c r="N7589" s="3"/>
      <c r="AW7589" s="7"/>
      <c r="AX7589" s="7"/>
    </row>
    <row r="7590" spans="14:50" x14ac:dyDescent="0.25">
      <c r="N7590" s="3"/>
      <c r="AW7590" s="7"/>
      <c r="AX7590" s="7"/>
    </row>
    <row r="7591" spans="14:50" x14ac:dyDescent="0.25">
      <c r="N7591" s="3"/>
      <c r="AW7591" s="7"/>
      <c r="AX7591" s="7"/>
    </row>
    <row r="7592" spans="14:50" x14ac:dyDescent="0.25">
      <c r="N7592" s="3"/>
      <c r="AW7592" s="7"/>
      <c r="AX7592" s="7"/>
    </row>
    <row r="7593" spans="14:50" x14ac:dyDescent="0.25">
      <c r="N7593" s="3"/>
      <c r="AW7593" s="7"/>
      <c r="AX7593" s="7"/>
    </row>
    <row r="7594" spans="14:50" x14ac:dyDescent="0.25">
      <c r="N7594" s="3"/>
      <c r="AW7594" s="7"/>
      <c r="AX7594" s="7"/>
    </row>
    <row r="7595" spans="14:50" x14ac:dyDescent="0.25">
      <c r="N7595" s="3"/>
      <c r="AW7595" s="7"/>
      <c r="AX7595" s="7"/>
    </row>
    <row r="7596" spans="14:50" x14ac:dyDescent="0.25">
      <c r="N7596" s="3"/>
      <c r="AW7596" s="7"/>
      <c r="AX7596" s="7"/>
    </row>
    <row r="7597" spans="14:50" x14ac:dyDescent="0.25">
      <c r="N7597" s="3"/>
      <c r="AW7597" s="7"/>
      <c r="AX7597" s="7"/>
    </row>
    <row r="7598" spans="14:50" x14ac:dyDescent="0.25">
      <c r="N7598" s="3"/>
      <c r="AW7598" s="7"/>
      <c r="AX7598" s="7"/>
    </row>
    <row r="7599" spans="14:50" x14ac:dyDescent="0.25">
      <c r="N7599" s="3"/>
      <c r="AW7599" s="7"/>
      <c r="AX7599" s="7"/>
    </row>
    <row r="7600" spans="14:50" x14ac:dyDescent="0.25">
      <c r="N7600" s="3"/>
      <c r="AW7600" s="7"/>
      <c r="AX7600" s="7"/>
    </row>
    <row r="7601" spans="14:50" x14ac:dyDescent="0.25">
      <c r="N7601" s="3"/>
      <c r="AW7601" s="7"/>
      <c r="AX7601" s="7"/>
    </row>
    <row r="7602" spans="14:50" x14ac:dyDescent="0.25">
      <c r="N7602" s="3"/>
      <c r="AW7602" s="7"/>
      <c r="AX7602" s="7"/>
    </row>
    <row r="7603" spans="14:50" x14ac:dyDescent="0.25">
      <c r="N7603" s="3"/>
      <c r="AW7603" s="7"/>
      <c r="AX7603" s="7"/>
    </row>
    <row r="7604" spans="14:50" x14ac:dyDescent="0.25">
      <c r="N7604" s="3"/>
      <c r="AW7604" s="7"/>
      <c r="AX7604" s="7"/>
    </row>
    <row r="7605" spans="14:50" x14ac:dyDescent="0.25">
      <c r="N7605" s="3"/>
      <c r="AW7605" s="7"/>
      <c r="AX7605" s="7"/>
    </row>
    <row r="7606" spans="14:50" x14ac:dyDescent="0.25">
      <c r="N7606" s="3"/>
      <c r="AW7606" s="7"/>
      <c r="AX7606" s="7"/>
    </row>
    <row r="7607" spans="14:50" x14ac:dyDescent="0.25">
      <c r="N7607" s="3"/>
      <c r="AW7607" s="7"/>
      <c r="AX7607" s="7"/>
    </row>
    <row r="7608" spans="14:50" x14ac:dyDescent="0.25">
      <c r="N7608" s="3"/>
      <c r="AW7608" s="7"/>
      <c r="AX7608" s="7"/>
    </row>
    <row r="7609" spans="14:50" x14ac:dyDescent="0.25">
      <c r="N7609" s="3"/>
      <c r="AW7609" s="7"/>
      <c r="AX7609" s="7"/>
    </row>
    <row r="7610" spans="14:50" x14ac:dyDescent="0.25">
      <c r="N7610" s="3"/>
      <c r="AW7610" s="7"/>
      <c r="AX7610" s="7"/>
    </row>
    <row r="7611" spans="14:50" x14ac:dyDescent="0.25">
      <c r="N7611" s="3"/>
      <c r="AW7611" s="7"/>
      <c r="AX7611" s="7"/>
    </row>
    <row r="7612" spans="14:50" x14ac:dyDescent="0.25">
      <c r="N7612" s="3"/>
      <c r="AW7612" s="7"/>
      <c r="AX7612" s="7"/>
    </row>
    <row r="7613" spans="14:50" x14ac:dyDescent="0.25">
      <c r="N7613" s="3"/>
      <c r="AW7613" s="7"/>
      <c r="AX7613" s="7"/>
    </row>
    <row r="7614" spans="14:50" x14ac:dyDescent="0.25">
      <c r="N7614" s="3"/>
      <c r="AW7614" s="7"/>
      <c r="AX7614" s="7"/>
    </row>
    <row r="7615" spans="14:50" x14ac:dyDescent="0.25">
      <c r="N7615" s="3"/>
      <c r="AW7615" s="7"/>
      <c r="AX7615" s="7"/>
    </row>
    <row r="7616" spans="14:50" x14ac:dyDescent="0.25">
      <c r="N7616" s="3"/>
      <c r="AW7616" s="7"/>
      <c r="AX7616" s="7"/>
    </row>
    <row r="7617" spans="14:50" x14ac:dyDescent="0.25">
      <c r="N7617" s="3"/>
      <c r="AW7617" s="7"/>
      <c r="AX7617" s="7"/>
    </row>
    <row r="7618" spans="14:50" x14ac:dyDescent="0.25">
      <c r="N7618" s="3"/>
      <c r="AW7618" s="7"/>
      <c r="AX7618" s="7"/>
    </row>
    <row r="7619" spans="14:50" x14ac:dyDescent="0.25">
      <c r="N7619" s="3"/>
      <c r="AW7619" s="7"/>
      <c r="AX7619" s="7"/>
    </row>
    <row r="7620" spans="14:50" x14ac:dyDescent="0.25">
      <c r="N7620" s="3"/>
      <c r="AW7620" s="7"/>
      <c r="AX7620" s="7"/>
    </row>
    <row r="7621" spans="14:50" x14ac:dyDescent="0.25">
      <c r="N7621" s="3"/>
      <c r="AW7621" s="7"/>
      <c r="AX7621" s="7"/>
    </row>
    <row r="7622" spans="14:50" x14ac:dyDescent="0.25">
      <c r="N7622" s="3"/>
      <c r="AW7622" s="7"/>
      <c r="AX7622" s="7"/>
    </row>
    <row r="7623" spans="14:50" x14ac:dyDescent="0.25">
      <c r="N7623" s="3"/>
      <c r="AW7623" s="7"/>
      <c r="AX7623" s="7"/>
    </row>
    <row r="7624" spans="14:50" x14ac:dyDescent="0.25">
      <c r="N7624" s="3"/>
      <c r="AW7624" s="7"/>
      <c r="AX7624" s="7"/>
    </row>
    <row r="7625" spans="14:50" x14ac:dyDescent="0.25">
      <c r="N7625" s="3"/>
      <c r="AW7625" s="7"/>
      <c r="AX7625" s="7"/>
    </row>
    <row r="7626" spans="14:50" x14ac:dyDescent="0.25">
      <c r="N7626" s="3"/>
      <c r="AW7626" s="7"/>
      <c r="AX7626" s="7"/>
    </row>
    <row r="7627" spans="14:50" x14ac:dyDescent="0.25">
      <c r="N7627" s="3"/>
      <c r="AW7627" s="7"/>
      <c r="AX7627" s="7"/>
    </row>
    <row r="7628" spans="14:50" x14ac:dyDescent="0.25">
      <c r="N7628" s="3"/>
      <c r="AW7628" s="7"/>
      <c r="AX7628" s="7"/>
    </row>
    <row r="7629" spans="14:50" x14ac:dyDescent="0.25">
      <c r="N7629" s="3"/>
      <c r="AW7629" s="7"/>
      <c r="AX7629" s="7"/>
    </row>
    <row r="7630" spans="14:50" x14ac:dyDescent="0.25">
      <c r="N7630" s="3"/>
      <c r="AW7630" s="7"/>
      <c r="AX7630" s="7"/>
    </row>
    <row r="7631" spans="14:50" x14ac:dyDescent="0.25">
      <c r="N7631" s="3"/>
      <c r="AW7631" s="7"/>
      <c r="AX7631" s="7"/>
    </row>
    <row r="7632" spans="14:50" x14ac:dyDescent="0.25">
      <c r="N7632" s="3"/>
      <c r="AW7632" s="7"/>
      <c r="AX7632" s="7"/>
    </row>
    <row r="7633" spans="14:50" x14ac:dyDescent="0.25">
      <c r="N7633" s="3"/>
      <c r="AW7633" s="7"/>
      <c r="AX7633" s="7"/>
    </row>
    <row r="7634" spans="14:50" x14ac:dyDescent="0.25">
      <c r="N7634" s="3"/>
      <c r="AW7634" s="7"/>
      <c r="AX7634" s="7"/>
    </row>
    <row r="7635" spans="14:50" x14ac:dyDescent="0.25">
      <c r="N7635" s="3"/>
      <c r="AW7635" s="7"/>
      <c r="AX7635" s="7"/>
    </row>
    <row r="7636" spans="14:50" x14ac:dyDescent="0.25">
      <c r="N7636" s="3"/>
      <c r="AW7636" s="7"/>
      <c r="AX7636" s="7"/>
    </row>
    <row r="7637" spans="14:50" x14ac:dyDescent="0.25">
      <c r="N7637" s="3"/>
      <c r="AW7637" s="7"/>
      <c r="AX7637" s="7"/>
    </row>
    <row r="7638" spans="14:50" x14ac:dyDescent="0.25">
      <c r="N7638" s="3"/>
      <c r="AW7638" s="7"/>
      <c r="AX7638" s="7"/>
    </row>
    <row r="7639" spans="14:50" x14ac:dyDescent="0.25">
      <c r="N7639" s="3"/>
      <c r="AW7639" s="7"/>
      <c r="AX7639" s="7"/>
    </row>
    <row r="7640" spans="14:50" x14ac:dyDescent="0.25">
      <c r="N7640" s="3"/>
      <c r="AW7640" s="7"/>
      <c r="AX7640" s="7"/>
    </row>
    <row r="7641" spans="14:50" x14ac:dyDescent="0.25">
      <c r="N7641" s="3"/>
      <c r="AW7641" s="7"/>
      <c r="AX7641" s="7"/>
    </row>
    <row r="7642" spans="14:50" x14ac:dyDescent="0.25">
      <c r="N7642" s="3"/>
      <c r="AW7642" s="7"/>
      <c r="AX7642" s="7"/>
    </row>
    <row r="7643" spans="14:50" x14ac:dyDescent="0.25">
      <c r="N7643" s="3"/>
      <c r="AW7643" s="7"/>
      <c r="AX7643" s="7"/>
    </row>
    <row r="7644" spans="14:50" x14ac:dyDescent="0.25">
      <c r="N7644" s="3"/>
      <c r="AW7644" s="7"/>
      <c r="AX7644" s="7"/>
    </row>
    <row r="7645" spans="14:50" x14ac:dyDescent="0.25">
      <c r="N7645" s="3"/>
      <c r="AW7645" s="7"/>
      <c r="AX7645" s="7"/>
    </row>
    <row r="7646" spans="14:50" x14ac:dyDescent="0.25">
      <c r="N7646" s="3"/>
      <c r="AW7646" s="7"/>
      <c r="AX7646" s="7"/>
    </row>
    <row r="7647" spans="14:50" x14ac:dyDescent="0.25">
      <c r="N7647" s="3"/>
      <c r="AW7647" s="7"/>
      <c r="AX7647" s="7"/>
    </row>
    <row r="7648" spans="14:50" x14ac:dyDescent="0.25">
      <c r="N7648" s="3"/>
      <c r="AW7648" s="7"/>
      <c r="AX7648" s="7"/>
    </row>
    <row r="7649" spans="14:50" x14ac:dyDescent="0.25">
      <c r="N7649" s="3"/>
      <c r="AW7649" s="7"/>
      <c r="AX7649" s="7"/>
    </row>
    <row r="7650" spans="14:50" x14ac:dyDescent="0.25">
      <c r="N7650" s="3"/>
      <c r="AW7650" s="7"/>
      <c r="AX7650" s="7"/>
    </row>
    <row r="7651" spans="14:50" x14ac:dyDescent="0.25">
      <c r="N7651" s="3"/>
      <c r="AW7651" s="7"/>
      <c r="AX7651" s="7"/>
    </row>
    <row r="7652" spans="14:50" x14ac:dyDescent="0.25">
      <c r="N7652" s="3"/>
      <c r="AW7652" s="7"/>
      <c r="AX7652" s="7"/>
    </row>
    <row r="7653" spans="14:50" x14ac:dyDescent="0.25">
      <c r="N7653" s="3"/>
      <c r="AW7653" s="7"/>
      <c r="AX7653" s="7"/>
    </row>
    <row r="7654" spans="14:50" x14ac:dyDescent="0.25">
      <c r="N7654" s="3"/>
      <c r="AW7654" s="7"/>
      <c r="AX7654" s="7"/>
    </row>
    <row r="7655" spans="14:50" x14ac:dyDescent="0.25">
      <c r="N7655" s="3"/>
      <c r="AW7655" s="7"/>
      <c r="AX7655" s="7"/>
    </row>
    <row r="7656" spans="14:50" x14ac:dyDescent="0.25">
      <c r="N7656" s="3"/>
      <c r="AW7656" s="7"/>
      <c r="AX7656" s="7"/>
    </row>
    <row r="7657" spans="14:50" x14ac:dyDescent="0.25">
      <c r="N7657" s="3"/>
      <c r="AW7657" s="7"/>
      <c r="AX7657" s="7"/>
    </row>
    <row r="7658" spans="14:50" x14ac:dyDescent="0.25">
      <c r="N7658" s="3"/>
      <c r="AW7658" s="7"/>
      <c r="AX7658" s="7"/>
    </row>
    <row r="7659" spans="14:50" x14ac:dyDescent="0.25">
      <c r="N7659" s="3"/>
      <c r="AW7659" s="7"/>
      <c r="AX7659" s="7"/>
    </row>
    <row r="7660" spans="14:50" x14ac:dyDescent="0.25">
      <c r="N7660" s="3"/>
      <c r="AW7660" s="7"/>
      <c r="AX7660" s="7"/>
    </row>
    <row r="7661" spans="14:50" x14ac:dyDescent="0.25">
      <c r="N7661" s="3"/>
      <c r="AW7661" s="7"/>
      <c r="AX7661" s="7"/>
    </row>
    <row r="7662" spans="14:50" x14ac:dyDescent="0.25">
      <c r="N7662" s="3"/>
      <c r="AW7662" s="7"/>
      <c r="AX7662" s="7"/>
    </row>
    <row r="7663" spans="14:50" x14ac:dyDescent="0.25">
      <c r="N7663" s="3"/>
      <c r="AW7663" s="7"/>
      <c r="AX7663" s="7"/>
    </row>
    <row r="7664" spans="14:50" x14ac:dyDescent="0.25">
      <c r="N7664" s="3"/>
      <c r="AW7664" s="7"/>
      <c r="AX7664" s="7"/>
    </row>
    <row r="7665" spans="14:50" x14ac:dyDescent="0.25">
      <c r="N7665" s="3"/>
      <c r="AW7665" s="7"/>
      <c r="AX7665" s="7"/>
    </row>
    <row r="7666" spans="14:50" x14ac:dyDescent="0.25">
      <c r="N7666" s="3"/>
      <c r="AW7666" s="7"/>
      <c r="AX7666" s="7"/>
    </row>
    <row r="7667" spans="14:50" x14ac:dyDescent="0.25">
      <c r="N7667" s="3"/>
      <c r="AW7667" s="7"/>
      <c r="AX7667" s="7"/>
    </row>
    <row r="7668" spans="14:50" x14ac:dyDescent="0.25">
      <c r="N7668" s="3"/>
      <c r="AW7668" s="7"/>
      <c r="AX7668" s="7"/>
    </row>
    <row r="7669" spans="14:50" x14ac:dyDescent="0.25">
      <c r="N7669" s="3"/>
      <c r="AW7669" s="7"/>
      <c r="AX7669" s="7"/>
    </row>
    <row r="7670" spans="14:50" x14ac:dyDescent="0.25">
      <c r="N7670" s="3"/>
      <c r="AW7670" s="7"/>
      <c r="AX7670" s="7"/>
    </row>
    <row r="7671" spans="14:50" x14ac:dyDescent="0.25">
      <c r="N7671" s="3"/>
      <c r="AW7671" s="7"/>
      <c r="AX7671" s="7"/>
    </row>
    <row r="7672" spans="14:50" x14ac:dyDescent="0.25">
      <c r="N7672" s="3"/>
      <c r="AW7672" s="7"/>
      <c r="AX7672" s="7"/>
    </row>
    <row r="7673" spans="14:50" x14ac:dyDescent="0.25">
      <c r="N7673" s="3"/>
      <c r="AW7673" s="7"/>
      <c r="AX7673" s="7"/>
    </row>
    <row r="7674" spans="14:50" x14ac:dyDescent="0.25">
      <c r="N7674" s="3"/>
      <c r="AW7674" s="7"/>
      <c r="AX7674" s="7"/>
    </row>
    <row r="7675" spans="14:50" x14ac:dyDescent="0.25">
      <c r="N7675" s="3"/>
      <c r="AW7675" s="7"/>
      <c r="AX7675" s="7"/>
    </row>
    <row r="7676" spans="14:50" x14ac:dyDescent="0.25">
      <c r="N7676" s="3"/>
      <c r="AW7676" s="7"/>
      <c r="AX7676" s="7"/>
    </row>
    <row r="7677" spans="14:50" x14ac:dyDescent="0.25">
      <c r="N7677" s="3"/>
      <c r="AW7677" s="7"/>
      <c r="AX7677" s="7"/>
    </row>
    <row r="7678" spans="14:50" x14ac:dyDescent="0.25">
      <c r="N7678" s="3"/>
      <c r="AW7678" s="7"/>
      <c r="AX7678" s="7"/>
    </row>
    <row r="7679" spans="14:50" x14ac:dyDescent="0.25">
      <c r="N7679" s="3"/>
      <c r="AW7679" s="7"/>
      <c r="AX7679" s="7"/>
    </row>
    <row r="7680" spans="14:50" x14ac:dyDescent="0.25">
      <c r="N7680" s="3"/>
      <c r="AW7680" s="7"/>
      <c r="AX7680" s="7"/>
    </row>
    <row r="7681" spans="14:50" x14ac:dyDescent="0.25">
      <c r="N7681" s="3"/>
      <c r="AW7681" s="7"/>
      <c r="AX7681" s="7"/>
    </row>
    <row r="7682" spans="14:50" x14ac:dyDescent="0.25">
      <c r="N7682" s="3"/>
      <c r="AW7682" s="7"/>
      <c r="AX7682" s="7"/>
    </row>
    <row r="7683" spans="14:50" x14ac:dyDescent="0.25">
      <c r="N7683" s="3"/>
      <c r="AW7683" s="7"/>
      <c r="AX7683" s="7"/>
    </row>
    <row r="7684" spans="14:50" x14ac:dyDescent="0.25">
      <c r="N7684" s="3"/>
      <c r="AW7684" s="7"/>
      <c r="AX7684" s="7"/>
    </row>
    <row r="7685" spans="14:50" x14ac:dyDescent="0.25">
      <c r="N7685" s="3"/>
      <c r="AW7685" s="7"/>
      <c r="AX7685" s="7"/>
    </row>
    <row r="7686" spans="14:50" x14ac:dyDescent="0.25">
      <c r="N7686" s="3"/>
      <c r="AW7686" s="7"/>
      <c r="AX7686" s="7"/>
    </row>
    <row r="7687" spans="14:50" x14ac:dyDescent="0.25">
      <c r="N7687" s="3"/>
      <c r="AW7687" s="7"/>
      <c r="AX7687" s="7"/>
    </row>
    <row r="7688" spans="14:50" x14ac:dyDescent="0.25">
      <c r="N7688" s="3"/>
      <c r="AW7688" s="7"/>
      <c r="AX7688" s="7"/>
    </row>
    <row r="7689" spans="14:50" x14ac:dyDescent="0.25">
      <c r="N7689" s="3"/>
      <c r="AW7689" s="7"/>
      <c r="AX7689" s="7"/>
    </row>
    <row r="7690" spans="14:50" x14ac:dyDescent="0.25">
      <c r="N7690" s="3"/>
      <c r="AW7690" s="7"/>
      <c r="AX7690" s="7"/>
    </row>
    <row r="7691" spans="14:50" x14ac:dyDescent="0.25">
      <c r="N7691" s="3"/>
      <c r="AW7691" s="7"/>
      <c r="AX7691" s="7"/>
    </row>
    <row r="7692" spans="14:50" x14ac:dyDescent="0.25">
      <c r="N7692" s="3"/>
      <c r="AW7692" s="7"/>
      <c r="AX7692" s="7"/>
    </row>
    <row r="7693" spans="14:50" x14ac:dyDescent="0.25">
      <c r="N7693" s="3"/>
      <c r="AW7693" s="7"/>
      <c r="AX7693" s="7"/>
    </row>
    <row r="7694" spans="14:50" x14ac:dyDescent="0.25">
      <c r="N7694" s="3"/>
      <c r="AW7694" s="7"/>
      <c r="AX7694" s="7"/>
    </row>
    <row r="7695" spans="14:50" x14ac:dyDescent="0.25">
      <c r="N7695" s="3"/>
      <c r="AW7695" s="7"/>
      <c r="AX7695" s="7"/>
    </row>
    <row r="7696" spans="14:50" x14ac:dyDescent="0.25">
      <c r="N7696" s="3"/>
      <c r="AW7696" s="7"/>
      <c r="AX7696" s="7"/>
    </row>
    <row r="7697" spans="14:50" x14ac:dyDescent="0.25">
      <c r="N7697" s="3"/>
      <c r="AW7697" s="7"/>
      <c r="AX7697" s="7"/>
    </row>
    <row r="7698" spans="14:50" x14ac:dyDescent="0.25">
      <c r="N7698" s="3"/>
      <c r="AW7698" s="7"/>
      <c r="AX7698" s="7"/>
    </row>
    <row r="7699" spans="14:50" x14ac:dyDescent="0.25">
      <c r="N7699" s="3"/>
      <c r="AW7699" s="7"/>
      <c r="AX7699" s="7"/>
    </row>
    <row r="7700" spans="14:50" x14ac:dyDescent="0.25">
      <c r="N7700" s="3"/>
      <c r="AW7700" s="7"/>
      <c r="AX7700" s="7"/>
    </row>
    <row r="7701" spans="14:50" x14ac:dyDescent="0.25">
      <c r="N7701" s="3"/>
      <c r="AW7701" s="7"/>
      <c r="AX7701" s="7"/>
    </row>
    <row r="7702" spans="14:50" x14ac:dyDescent="0.25">
      <c r="N7702" s="3"/>
      <c r="AW7702" s="7"/>
      <c r="AX7702" s="7"/>
    </row>
    <row r="7703" spans="14:50" x14ac:dyDescent="0.25">
      <c r="N7703" s="3"/>
      <c r="AW7703" s="7"/>
      <c r="AX7703" s="7"/>
    </row>
    <row r="7704" spans="14:50" x14ac:dyDescent="0.25">
      <c r="N7704" s="3"/>
      <c r="AW7704" s="7"/>
      <c r="AX7704" s="7"/>
    </row>
    <row r="7705" spans="14:50" x14ac:dyDescent="0.25">
      <c r="N7705" s="3"/>
      <c r="AW7705" s="7"/>
      <c r="AX7705" s="7"/>
    </row>
    <row r="7706" spans="14:50" x14ac:dyDescent="0.25">
      <c r="N7706" s="3"/>
      <c r="AW7706" s="7"/>
      <c r="AX7706" s="7"/>
    </row>
    <row r="7707" spans="14:50" x14ac:dyDescent="0.25">
      <c r="N7707" s="3"/>
      <c r="AW7707" s="7"/>
      <c r="AX7707" s="7"/>
    </row>
    <row r="7708" spans="14:50" x14ac:dyDescent="0.25">
      <c r="N7708" s="3"/>
      <c r="AW7708" s="7"/>
      <c r="AX7708" s="7"/>
    </row>
    <row r="7709" spans="14:50" x14ac:dyDescent="0.25">
      <c r="N7709" s="3"/>
      <c r="AW7709" s="7"/>
      <c r="AX7709" s="7"/>
    </row>
    <row r="7710" spans="14:50" x14ac:dyDescent="0.25">
      <c r="N7710" s="3"/>
      <c r="AW7710" s="7"/>
      <c r="AX7710" s="7"/>
    </row>
    <row r="7711" spans="14:50" x14ac:dyDescent="0.25">
      <c r="N7711" s="3"/>
      <c r="AW7711" s="7"/>
      <c r="AX7711" s="7"/>
    </row>
    <row r="7712" spans="14:50" x14ac:dyDescent="0.25">
      <c r="N7712" s="3"/>
      <c r="AW7712" s="7"/>
      <c r="AX7712" s="7"/>
    </row>
    <row r="7713" spans="14:50" x14ac:dyDescent="0.25">
      <c r="N7713" s="3"/>
      <c r="AW7713" s="7"/>
      <c r="AX7713" s="7"/>
    </row>
    <row r="7714" spans="14:50" x14ac:dyDescent="0.25">
      <c r="N7714" s="3"/>
      <c r="AW7714" s="7"/>
      <c r="AX7714" s="7"/>
    </row>
    <row r="7715" spans="14:50" x14ac:dyDescent="0.25">
      <c r="N7715" s="3"/>
      <c r="AW7715" s="7"/>
      <c r="AX7715" s="7"/>
    </row>
    <row r="7716" spans="14:50" x14ac:dyDescent="0.25">
      <c r="N7716" s="3"/>
      <c r="AW7716" s="7"/>
      <c r="AX7716" s="7"/>
    </row>
    <row r="7717" spans="14:50" x14ac:dyDescent="0.25">
      <c r="N7717" s="3"/>
      <c r="AW7717" s="7"/>
      <c r="AX7717" s="7"/>
    </row>
    <row r="7718" spans="14:50" x14ac:dyDescent="0.25">
      <c r="N7718" s="3"/>
      <c r="AW7718" s="7"/>
      <c r="AX7718" s="7"/>
    </row>
    <row r="7719" spans="14:50" x14ac:dyDescent="0.25">
      <c r="N7719" s="3"/>
      <c r="AW7719" s="7"/>
      <c r="AX7719" s="7"/>
    </row>
    <row r="7720" spans="14:50" x14ac:dyDescent="0.25">
      <c r="N7720" s="3"/>
      <c r="AW7720" s="7"/>
      <c r="AX7720" s="7"/>
    </row>
    <row r="7721" spans="14:50" x14ac:dyDescent="0.25">
      <c r="N7721" s="3"/>
      <c r="AW7721" s="7"/>
      <c r="AX7721" s="7"/>
    </row>
    <row r="7722" spans="14:50" x14ac:dyDescent="0.25">
      <c r="N7722" s="3"/>
      <c r="AW7722" s="7"/>
      <c r="AX7722" s="7"/>
    </row>
    <row r="7723" spans="14:50" x14ac:dyDescent="0.25">
      <c r="N7723" s="3"/>
      <c r="AW7723" s="7"/>
      <c r="AX7723" s="7"/>
    </row>
    <row r="7724" spans="14:50" x14ac:dyDescent="0.25">
      <c r="N7724" s="3"/>
      <c r="AW7724" s="7"/>
      <c r="AX7724" s="7"/>
    </row>
    <row r="7725" spans="14:50" x14ac:dyDescent="0.25">
      <c r="N7725" s="3"/>
      <c r="AW7725" s="7"/>
      <c r="AX7725" s="7"/>
    </row>
    <row r="7726" spans="14:50" x14ac:dyDescent="0.25">
      <c r="N7726" s="3"/>
      <c r="AW7726" s="7"/>
      <c r="AX7726" s="7"/>
    </row>
    <row r="7727" spans="14:50" x14ac:dyDescent="0.25">
      <c r="N7727" s="3"/>
      <c r="AW7727" s="7"/>
      <c r="AX7727" s="7"/>
    </row>
    <row r="7728" spans="14:50" x14ac:dyDescent="0.25">
      <c r="N7728" s="3"/>
      <c r="AW7728" s="7"/>
      <c r="AX7728" s="7"/>
    </row>
    <row r="7729" spans="14:50" x14ac:dyDescent="0.25">
      <c r="N7729" s="3"/>
      <c r="AW7729" s="7"/>
      <c r="AX7729" s="7"/>
    </row>
    <row r="7730" spans="14:50" x14ac:dyDescent="0.25">
      <c r="N7730" s="3"/>
      <c r="AW7730" s="7"/>
      <c r="AX7730" s="7"/>
    </row>
    <row r="7731" spans="14:50" x14ac:dyDescent="0.25">
      <c r="N7731" s="3"/>
      <c r="AW7731" s="7"/>
      <c r="AX7731" s="7"/>
    </row>
    <row r="7732" spans="14:50" x14ac:dyDescent="0.25">
      <c r="N7732" s="3"/>
      <c r="AW7732" s="7"/>
      <c r="AX7732" s="7"/>
    </row>
    <row r="7733" spans="14:50" x14ac:dyDescent="0.25">
      <c r="N7733" s="3"/>
      <c r="AW7733" s="7"/>
      <c r="AX7733" s="7"/>
    </row>
    <row r="7734" spans="14:50" x14ac:dyDescent="0.25">
      <c r="N7734" s="3"/>
      <c r="AW7734" s="7"/>
      <c r="AX7734" s="7"/>
    </row>
    <row r="7735" spans="14:50" x14ac:dyDescent="0.25">
      <c r="N7735" s="3"/>
      <c r="AW7735" s="7"/>
      <c r="AX7735" s="7"/>
    </row>
    <row r="7736" spans="14:50" x14ac:dyDescent="0.25">
      <c r="N7736" s="3"/>
      <c r="AW7736" s="7"/>
      <c r="AX7736" s="7"/>
    </row>
    <row r="7737" spans="14:50" x14ac:dyDescent="0.25">
      <c r="N7737" s="3"/>
      <c r="AW7737" s="7"/>
      <c r="AX7737" s="7"/>
    </row>
    <row r="7738" spans="14:50" x14ac:dyDescent="0.25">
      <c r="N7738" s="3"/>
      <c r="AW7738" s="7"/>
      <c r="AX7738" s="7"/>
    </row>
    <row r="7739" spans="14:50" x14ac:dyDescent="0.25">
      <c r="N7739" s="3"/>
      <c r="AW7739" s="7"/>
      <c r="AX7739" s="7"/>
    </row>
    <row r="7740" spans="14:50" x14ac:dyDescent="0.25">
      <c r="N7740" s="3"/>
      <c r="AW7740" s="7"/>
      <c r="AX7740" s="7"/>
    </row>
    <row r="7741" spans="14:50" x14ac:dyDescent="0.25">
      <c r="N7741" s="3"/>
      <c r="AW7741" s="7"/>
      <c r="AX7741" s="7"/>
    </row>
    <row r="7742" spans="14:50" x14ac:dyDescent="0.25">
      <c r="N7742" s="3"/>
      <c r="AW7742" s="7"/>
      <c r="AX7742" s="7"/>
    </row>
    <row r="7743" spans="14:50" x14ac:dyDescent="0.25">
      <c r="N7743" s="3"/>
      <c r="AW7743" s="7"/>
      <c r="AX7743" s="7"/>
    </row>
    <row r="7744" spans="14:50" x14ac:dyDescent="0.25">
      <c r="N7744" s="3"/>
      <c r="AW7744" s="7"/>
      <c r="AX7744" s="7"/>
    </row>
    <row r="7745" spans="14:50" x14ac:dyDescent="0.25">
      <c r="N7745" s="3"/>
      <c r="AW7745" s="7"/>
      <c r="AX7745" s="7"/>
    </row>
    <row r="7746" spans="14:50" x14ac:dyDescent="0.25">
      <c r="N7746" s="3"/>
      <c r="AW7746" s="7"/>
      <c r="AX7746" s="7"/>
    </row>
    <row r="7747" spans="14:50" x14ac:dyDescent="0.25">
      <c r="N7747" s="3"/>
      <c r="AW7747" s="7"/>
      <c r="AX7747" s="7"/>
    </row>
    <row r="7748" spans="14:50" x14ac:dyDescent="0.25">
      <c r="N7748" s="3"/>
      <c r="AW7748" s="7"/>
      <c r="AX7748" s="7"/>
    </row>
    <row r="7749" spans="14:50" x14ac:dyDescent="0.25">
      <c r="N7749" s="3"/>
      <c r="AW7749" s="7"/>
      <c r="AX7749" s="7"/>
    </row>
    <row r="7750" spans="14:50" x14ac:dyDescent="0.25">
      <c r="N7750" s="3"/>
      <c r="AW7750" s="7"/>
      <c r="AX7750" s="7"/>
    </row>
    <row r="7751" spans="14:50" x14ac:dyDescent="0.25">
      <c r="N7751" s="3"/>
      <c r="AW7751" s="7"/>
      <c r="AX7751" s="7"/>
    </row>
    <row r="7752" spans="14:50" x14ac:dyDescent="0.25">
      <c r="N7752" s="3"/>
      <c r="AW7752" s="7"/>
      <c r="AX7752" s="7"/>
    </row>
    <row r="7753" spans="14:50" x14ac:dyDescent="0.25">
      <c r="N7753" s="3"/>
      <c r="AW7753" s="7"/>
      <c r="AX7753" s="7"/>
    </row>
    <row r="7754" spans="14:50" x14ac:dyDescent="0.25">
      <c r="N7754" s="3"/>
      <c r="AW7754" s="7"/>
      <c r="AX7754" s="7"/>
    </row>
    <row r="7755" spans="14:50" x14ac:dyDescent="0.25">
      <c r="N7755" s="3"/>
      <c r="AW7755" s="7"/>
      <c r="AX7755" s="7"/>
    </row>
    <row r="7756" spans="14:50" x14ac:dyDescent="0.25">
      <c r="N7756" s="3"/>
      <c r="AW7756" s="7"/>
      <c r="AX7756" s="7"/>
    </row>
    <row r="7757" spans="14:50" x14ac:dyDescent="0.25">
      <c r="N7757" s="3"/>
      <c r="AW7757" s="7"/>
      <c r="AX7757" s="7"/>
    </row>
    <row r="7758" spans="14:50" x14ac:dyDescent="0.25">
      <c r="N7758" s="3"/>
      <c r="AW7758" s="7"/>
      <c r="AX7758" s="7"/>
    </row>
    <row r="7759" spans="14:50" x14ac:dyDescent="0.25">
      <c r="N7759" s="3"/>
      <c r="AW7759" s="7"/>
      <c r="AX7759" s="7"/>
    </row>
    <row r="7760" spans="14:50" x14ac:dyDescent="0.25">
      <c r="N7760" s="3"/>
      <c r="AW7760" s="7"/>
      <c r="AX7760" s="7"/>
    </row>
    <row r="7761" spans="14:50" x14ac:dyDescent="0.25">
      <c r="N7761" s="3"/>
      <c r="AW7761" s="7"/>
      <c r="AX7761" s="7"/>
    </row>
    <row r="7762" spans="14:50" x14ac:dyDescent="0.25">
      <c r="N7762" s="3"/>
      <c r="AW7762" s="7"/>
      <c r="AX7762" s="7"/>
    </row>
    <row r="7763" spans="14:50" x14ac:dyDescent="0.25">
      <c r="N7763" s="3"/>
      <c r="AW7763" s="7"/>
      <c r="AX7763" s="7"/>
    </row>
    <row r="7764" spans="14:50" x14ac:dyDescent="0.25">
      <c r="N7764" s="3"/>
      <c r="AW7764" s="7"/>
      <c r="AX7764" s="7"/>
    </row>
    <row r="7765" spans="14:50" x14ac:dyDescent="0.25">
      <c r="N7765" s="3"/>
      <c r="AW7765" s="7"/>
      <c r="AX7765" s="7"/>
    </row>
    <row r="7766" spans="14:50" x14ac:dyDescent="0.25">
      <c r="N7766" s="3"/>
      <c r="AW7766" s="7"/>
      <c r="AX7766" s="7"/>
    </row>
    <row r="7767" spans="14:50" x14ac:dyDescent="0.25">
      <c r="N7767" s="3"/>
      <c r="AW7767" s="7"/>
      <c r="AX7767" s="7"/>
    </row>
    <row r="7768" spans="14:50" x14ac:dyDescent="0.25">
      <c r="N7768" s="3"/>
      <c r="AW7768" s="7"/>
      <c r="AX7768" s="7"/>
    </row>
    <row r="7769" spans="14:50" x14ac:dyDescent="0.25">
      <c r="N7769" s="3"/>
      <c r="AW7769" s="7"/>
      <c r="AX7769" s="7"/>
    </row>
    <row r="7770" spans="14:50" x14ac:dyDescent="0.25">
      <c r="N7770" s="3"/>
      <c r="AW7770" s="7"/>
      <c r="AX7770" s="7"/>
    </row>
    <row r="7771" spans="14:50" x14ac:dyDescent="0.25">
      <c r="N7771" s="3"/>
      <c r="AW7771" s="7"/>
      <c r="AX7771" s="7"/>
    </row>
    <row r="7772" spans="14:50" x14ac:dyDescent="0.25">
      <c r="N7772" s="3"/>
      <c r="AW7772" s="7"/>
      <c r="AX7772" s="7"/>
    </row>
    <row r="7773" spans="14:50" x14ac:dyDescent="0.25">
      <c r="N7773" s="3"/>
      <c r="AW7773" s="7"/>
      <c r="AX7773" s="7"/>
    </row>
    <row r="7774" spans="14:50" x14ac:dyDescent="0.25">
      <c r="N7774" s="3"/>
      <c r="AW7774" s="7"/>
      <c r="AX7774" s="7"/>
    </row>
    <row r="7775" spans="14:50" x14ac:dyDescent="0.25">
      <c r="N7775" s="3"/>
      <c r="AW7775" s="7"/>
      <c r="AX7775" s="7"/>
    </row>
    <row r="7776" spans="14:50" x14ac:dyDescent="0.25">
      <c r="N7776" s="3"/>
      <c r="AW7776" s="7"/>
      <c r="AX7776" s="7"/>
    </row>
    <row r="7777" spans="14:50" x14ac:dyDescent="0.25">
      <c r="N7777" s="3"/>
      <c r="AW7777" s="7"/>
      <c r="AX7777" s="7"/>
    </row>
    <row r="7778" spans="14:50" x14ac:dyDescent="0.25">
      <c r="N7778" s="3"/>
      <c r="AW7778" s="7"/>
      <c r="AX7778" s="7"/>
    </row>
    <row r="7779" spans="14:50" x14ac:dyDescent="0.25">
      <c r="N7779" s="3"/>
      <c r="AW7779" s="7"/>
      <c r="AX7779" s="7"/>
    </row>
    <row r="7780" spans="14:50" x14ac:dyDescent="0.25">
      <c r="N7780" s="3"/>
      <c r="AW7780" s="7"/>
      <c r="AX7780" s="7"/>
    </row>
    <row r="7781" spans="14:50" x14ac:dyDescent="0.25">
      <c r="N7781" s="3"/>
      <c r="AW7781" s="7"/>
      <c r="AX7781" s="7"/>
    </row>
    <row r="7782" spans="14:50" x14ac:dyDescent="0.25">
      <c r="N7782" s="3"/>
      <c r="AW7782" s="7"/>
      <c r="AX7782" s="7"/>
    </row>
    <row r="7783" spans="14:50" x14ac:dyDescent="0.25">
      <c r="N7783" s="3"/>
      <c r="AW7783" s="7"/>
      <c r="AX7783" s="7"/>
    </row>
    <row r="7784" spans="14:50" x14ac:dyDescent="0.25">
      <c r="N7784" s="3"/>
      <c r="AW7784" s="7"/>
      <c r="AX7784" s="7"/>
    </row>
    <row r="7785" spans="14:50" x14ac:dyDescent="0.25">
      <c r="N7785" s="3"/>
      <c r="AW7785" s="7"/>
      <c r="AX7785" s="7"/>
    </row>
    <row r="7786" spans="14:50" x14ac:dyDescent="0.25">
      <c r="N7786" s="3"/>
      <c r="AW7786" s="7"/>
      <c r="AX7786" s="7"/>
    </row>
    <row r="7787" spans="14:50" x14ac:dyDescent="0.25">
      <c r="N7787" s="3"/>
      <c r="AW7787" s="7"/>
      <c r="AX7787" s="7"/>
    </row>
    <row r="7788" spans="14:50" x14ac:dyDescent="0.25">
      <c r="N7788" s="3"/>
      <c r="AW7788" s="7"/>
      <c r="AX7788" s="7"/>
    </row>
    <row r="7789" spans="14:50" x14ac:dyDescent="0.25">
      <c r="N7789" s="3"/>
      <c r="AW7789" s="7"/>
      <c r="AX7789" s="7"/>
    </row>
    <row r="7790" spans="14:50" x14ac:dyDescent="0.25">
      <c r="N7790" s="3"/>
      <c r="AW7790" s="7"/>
      <c r="AX7790" s="7"/>
    </row>
    <row r="7791" spans="14:50" x14ac:dyDescent="0.25">
      <c r="N7791" s="3"/>
      <c r="AW7791" s="7"/>
      <c r="AX7791" s="7"/>
    </row>
    <row r="7792" spans="14:50" x14ac:dyDescent="0.25">
      <c r="N7792" s="3"/>
      <c r="AW7792" s="7"/>
      <c r="AX7792" s="7"/>
    </row>
    <row r="7793" spans="14:50" x14ac:dyDescent="0.25">
      <c r="N7793" s="3"/>
      <c r="AW7793" s="7"/>
      <c r="AX7793" s="7"/>
    </row>
    <row r="7794" spans="14:50" x14ac:dyDescent="0.25">
      <c r="N7794" s="3"/>
      <c r="AW7794" s="7"/>
      <c r="AX7794" s="7"/>
    </row>
    <row r="7795" spans="14:50" x14ac:dyDescent="0.25">
      <c r="N7795" s="3"/>
      <c r="AW7795" s="7"/>
      <c r="AX7795" s="7"/>
    </row>
    <row r="7796" spans="14:50" x14ac:dyDescent="0.25">
      <c r="N7796" s="3"/>
      <c r="AW7796" s="7"/>
      <c r="AX7796" s="7"/>
    </row>
    <row r="7797" spans="14:50" x14ac:dyDescent="0.25">
      <c r="N7797" s="3"/>
      <c r="AW7797" s="7"/>
      <c r="AX7797" s="7"/>
    </row>
    <row r="7798" spans="14:50" x14ac:dyDescent="0.25">
      <c r="N7798" s="3"/>
      <c r="AW7798" s="7"/>
      <c r="AX7798" s="7"/>
    </row>
    <row r="7799" spans="14:50" x14ac:dyDescent="0.25">
      <c r="N7799" s="3"/>
      <c r="AW7799" s="7"/>
      <c r="AX7799" s="7"/>
    </row>
    <row r="7800" spans="14:50" x14ac:dyDescent="0.25">
      <c r="N7800" s="3"/>
      <c r="AW7800" s="7"/>
      <c r="AX7800" s="7"/>
    </row>
    <row r="7801" spans="14:50" x14ac:dyDescent="0.25">
      <c r="N7801" s="3"/>
      <c r="AW7801" s="7"/>
      <c r="AX7801" s="7"/>
    </row>
    <row r="7802" spans="14:50" x14ac:dyDescent="0.25">
      <c r="N7802" s="3"/>
      <c r="AW7802" s="7"/>
      <c r="AX7802" s="7"/>
    </row>
    <row r="7803" spans="14:50" x14ac:dyDescent="0.25">
      <c r="N7803" s="3"/>
      <c r="AW7803" s="7"/>
      <c r="AX7803" s="7"/>
    </row>
    <row r="7804" spans="14:50" x14ac:dyDescent="0.25">
      <c r="N7804" s="3"/>
      <c r="AW7804" s="7"/>
      <c r="AX7804" s="7"/>
    </row>
    <row r="7805" spans="14:50" x14ac:dyDescent="0.25">
      <c r="N7805" s="3"/>
      <c r="AW7805" s="7"/>
      <c r="AX7805" s="7"/>
    </row>
    <row r="7806" spans="14:50" x14ac:dyDescent="0.25">
      <c r="N7806" s="3"/>
      <c r="AW7806" s="7"/>
      <c r="AX7806" s="7"/>
    </row>
    <row r="7807" spans="14:50" x14ac:dyDescent="0.25">
      <c r="N7807" s="3"/>
      <c r="AW7807" s="7"/>
      <c r="AX7807" s="7"/>
    </row>
    <row r="7808" spans="14:50" x14ac:dyDescent="0.25">
      <c r="N7808" s="3"/>
      <c r="AW7808" s="7"/>
      <c r="AX7808" s="7"/>
    </row>
    <row r="7809" spans="14:50" x14ac:dyDescent="0.25">
      <c r="N7809" s="3"/>
      <c r="AW7809" s="7"/>
      <c r="AX7809" s="7"/>
    </row>
    <row r="7810" spans="14:50" x14ac:dyDescent="0.25">
      <c r="N7810" s="3"/>
      <c r="AW7810" s="7"/>
      <c r="AX7810" s="7"/>
    </row>
    <row r="7811" spans="14:50" x14ac:dyDescent="0.25">
      <c r="N7811" s="3"/>
      <c r="AW7811" s="7"/>
      <c r="AX7811" s="7"/>
    </row>
    <row r="7812" spans="14:50" x14ac:dyDescent="0.25">
      <c r="N7812" s="3"/>
      <c r="AW7812" s="7"/>
      <c r="AX7812" s="7"/>
    </row>
    <row r="7813" spans="14:50" x14ac:dyDescent="0.25">
      <c r="N7813" s="3"/>
      <c r="AW7813" s="7"/>
      <c r="AX7813" s="7"/>
    </row>
    <row r="7814" spans="14:50" x14ac:dyDescent="0.25">
      <c r="N7814" s="3"/>
      <c r="AW7814" s="7"/>
      <c r="AX7814" s="7"/>
    </row>
    <row r="7815" spans="14:50" x14ac:dyDescent="0.25">
      <c r="N7815" s="3"/>
      <c r="AW7815" s="7"/>
      <c r="AX7815" s="7"/>
    </row>
    <row r="7816" spans="14:50" x14ac:dyDescent="0.25">
      <c r="N7816" s="3"/>
      <c r="AW7816" s="7"/>
      <c r="AX7816" s="7"/>
    </row>
    <row r="7817" spans="14:50" x14ac:dyDescent="0.25">
      <c r="N7817" s="3"/>
      <c r="AW7817" s="7"/>
      <c r="AX7817" s="7"/>
    </row>
    <row r="7818" spans="14:50" x14ac:dyDescent="0.25">
      <c r="N7818" s="3"/>
      <c r="AW7818" s="7"/>
      <c r="AX7818" s="7"/>
    </row>
    <row r="7819" spans="14:50" x14ac:dyDescent="0.25">
      <c r="N7819" s="3"/>
      <c r="AW7819" s="7"/>
      <c r="AX7819" s="7"/>
    </row>
    <row r="7820" spans="14:50" x14ac:dyDescent="0.25">
      <c r="N7820" s="3"/>
      <c r="AW7820" s="7"/>
      <c r="AX7820" s="7"/>
    </row>
    <row r="7821" spans="14:50" x14ac:dyDescent="0.25">
      <c r="N7821" s="3"/>
      <c r="AW7821" s="7"/>
      <c r="AX7821" s="7"/>
    </row>
    <row r="7822" spans="14:50" x14ac:dyDescent="0.25">
      <c r="N7822" s="3"/>
      <c r="AW7822" s="7"/>
      <c r="AX7822" s="7"/>
    </row>
    <row r="7823" spans="14:50" x14ac:dyDescent="0.25">
      <c r="N7823" s="3"/>
      <c r="AW7823" s="7"/>
      <c r="AX7823" s="7"/>
    </row>
    <row r="7824" spans="14:50" x14ac:dyDescent="0.25">
      <c r="N7824" s="3"/>
      <c r="AW7824" s="7"/>
      <c r="AX7824" s="7"/>
    </row>
    <row r="7825" spans="14:50" x14ac:dyDescent="0.25">
      <c r="N7825" s="3"/>
      <c r="AW7825" s="7"/>
      <c r="AX7825" s="7"/>
    </row>
    <row r="7826" spans="14:50" x14ac:dyDescent="0.25">
      <c r="N7826" s="3"/>
      <c r="AW7826" s="7"/>
      <c r="AX7826" s="7"/>
    </row>
    <row r="7827" spans="14:50" x14ac:dyDescent="0.25">
      <c r="N7827" s="3"/>
      <c r="AW7827" s="7"/>
      <c r="AX7827" s="7"/>
    </row>
    <row r="7828" spans="14:50" x14ac:dyDescent="0.25">
      <c r="N7828" s="3"/>
      <c r="AW7828" s="7"/>
      <c r="AX7828" s="7"/>
    </row>
    <row r="7829" spans="14:50" x14ac:dyDescent="0.25">
      <c r="N7829" s="3"/>
      <c r="AW7829" s="7"/>
      <c r="AX7829" s="7"/>
    </row>
    <row r="7830" spans="14:50" x14ac:dyDescent="0.25">
      <c r="N7830" s="3"/>
      <c r="AW7830" s="7"/>
      <c r="AX7830" s="7"/>
    </row>
    <row r="7831" spans="14:50" x14ac:dyDescent="0.25">
      <c r="N7831" s="3"/>
      <c r="AW7831" s="7"/>
      <c r="AX7831" s="7"/>
    </row>
    <row r="7832" spans="14:50" x14ac:dyDescent="0.25">
      <c r="N7832" s="3"/>
      <c r="AW7832" s="7"/>
      <c r="AX7832" s="7"/>
    </row>
    <row r="7833" spans="14:50" x14ac:dyDescent="0.25">
      <c r="N7833" s="3"/>
      <c r="AW7833" s="7"/>
      <c r="AX7833" s="7"/>
    </row>
    <row r="7834" spans="14:50" x14ac:dyDescent="0.25">
      <c r="N7834" s="3"/>
      <c r="AW7834" s="7"/>
      <c r="AX7834" s="7"/>
    </row>
    <row r="7835" spans="14:50" x14ac:dyDescent="0.25">
      <c r="N7835" s="3"/>
      <c r="AW7835" s="7"/>
      <c r="AX7835" s="7"/>
    </row>
    <row r="7836" spans="14:50" x14ac:dyDescent="0.25">
      <c r="N7836" s="3"/>
      <c r="AW7836" s="7"/>
      <c r="AX7836" s="7"/>
    </row>
    <row r="7837" spans="14:50" x14ac:dyDescent="0.25">
      <c r="N7837" s="3"/>
      <c r="AW7837" s="7"/>
      <c r="AX7837" s="7"/>
    </row>
    <row r="7838" spans="14:50" x14ac:dyDescent="0.25">
      <c r="N7838" s="3"/>
      <c r="AW7838" s="7"/>
      <c r="AX7838" s="7"/>
    </row>
    <row r="7839" spans="14:50" x14ac:dyDescent="0.25">
      <c r="N7839" s="3"/>
      <c r="AW7839" s="7"/>
      <c r="AX7839" s="7"/>
    </row>
    <row r="7840" spans="14:50" x14ac:dyDescent="0.25">
      <c r="N7840" s="3"/>
      <c r="AW7840" s="7"/>
      <c r="AX7840" s="7"/>
    </row>
    <row r="7841" spans="14:50" x14ac:dyDescent="0.25">
      <c r="N7841" s="3"/>
      <c r="AW7841" s="7"/>
      <c r="AX7841" s="7"/>
    </row>
    <row r="7842" spans="14:50" x14ac:dyDescent="0.25">
      <c r="N7842" s="3"/>
      <c r="AW7842" s="7"/>
      <c r="AX7842" s="7"/>
    </row>
    <row r="7843" spans="14:50" x14ac:dyDescent="0.25">
      <c r="N7843" s="3"/>
      <c r="AW7843" s="7"/>
      <c r="AX7843" s="7"/>
    </row>
    <row r="7844" spans="14:50" x14ac:dyDescent="0.25">
      <c r="N7844" s="3"/>
      <c r="AW7844" s="7"/>
      <c r="AX7844" s="7"/>
    </row>
    <row r="7845" spans="14:50" x14ac:dyDescent="0.25">
      <c r="N7845" s="3"/>
      <c r="AW7845" s="7"/>
      <c r="AX7845" s="7"/>
    </row>
    <row r="7846" spans="14:50" x14ac:dyDescent="0.25">
      <c r="N7846" s="3"/>
      <c r="AW7846" s="7"/>
      <c r="AX7846" s="7"/>
    </row>
    <row r="7847" spans="14:50" x14ac:dyDescent="0.25">
      <c r="N7847" s="3"/>
      <c r="AW7847" s="7"/>
      <c r="AX7847" s="7"/>
    </row>
    <row r="7848" spans="14:50" x14ac:dyDescent="0.25">
      <c r="N7848" s="3"/>
      <c r="AW7848" s="7"/>
      <c r="AX7848" s="7"/>
    </row>
    <row r="7849" spans="14:50" x14ac:dyDescent="0.25">
      <c r="N7849" s="3"/>
      <c r="AW7849" s="7"/>
      <c r="AX7849" s="7"/>
    </row>
    <row r="7850" spans="14:50" x14ac:dyDescent="0.25">
      <c r="N7850" s="3"/>
      <c r="AW7850" s="7"/>
      <c r="AX7850" s="7"/>
    </row>
    <row r="7851" spans="14:50" x14ac:dyDescent="0.25">
      <c r="N7851" s="3"/>
      <c r="AW7851" s="7"/>
      <c r="AX7851" s="7"/>
    </row>
    <row r="7852" spans="14:50" x14ac:dyDescent="0.25">
      <c r="N7852" s="3"/>
      <c r="AW7852" s="7"/>
      <c r="AX7852" s="7"/>
    </row>
    <row r="7853" spans="14:50" x14ac:dyDescent="0.25">
      <c r="N7853" s="3"/>
      <c r="AW7853" s="7"/>
      <c r="AX7853" s="7"/>
    </row>
    <row r="7854" spans="14:50" x14ac:dyDescent="0.25">
      <c r="N7854" s="3"/>
      <c r="AW7854" s="7"/>
      <c r="AX7854" s="7"/>
    </row>
    <row r="7855" spans="14:50" x14ac:dyDescent="0.25">
      <c r="N7855" s="3"/>
      <c r="AW7855" s="7"/>
      <c r="AX7855" s="7"/>
    </row>
    <row r="7856" spans="14:50" x14ac:dyDescent="0.25">
      <c r="N7856" s="3"/>
      <c r="AW7856" s="7"/>
      <c r="AX7856" s="7"/>
    </row>
    <row r="7857" spans="14:50" x14ac:dyDescent="0.25">
      <c r="N7857" s="3"/>
      <c r="AW7857" s="7"/>
      <c r="AX7857" s="7"/>
    </row>
    <row r="7858" spans="14:50" x14ac:dyDescent="0.25">
      <c r="N7858" s="3"/>
      <c r="AW7858" s="7"/>
      <c r="AX7858" s="7"/>
    </row>
    <row r="7859" spans="14:50" x14ac:dyDescent="0.25">
      <c r="N7859" s="3"/>
      <c r="AW7859" s="7"/>
      <c r="AX7859" s="7"/>
    </row>
    <row r="7860" spans="14:50" x14ac:dyDescent="0.25">
      <c r="N7860" s="3"/>
      <c r="AW7860" s="7"/>
      <c r="AX7860" s="7"/>
    </row>
    <row r="7861" spans="14:50" x14ac:dyDescent="0.25">
      <c r="N7861" s="3"/>
      <c r="AW7861" s="7"/>
      <c r="AX7861" s="7"/>
    </row>
    <row r="7862" spans="14:50" x14ac:dyDescent="0.25">
      <c r="N7862" s="3"/>
      <c r="AW7862" s="7"/>
      <c r="AX7862" s="7"/>
    </row>
    <row r="7863" spans="14:50" x14ac:dyDescent="0.25">
      <c r="N7863" s="3"/>
      <c r="AW7863" s="7"/>
      <c r="AX7863" s="7"/>
    </row>
    <row r="7864" spans="14:50" x14ac:dyDescent="0.25">
      <c r="N7864" s="3"/>
      <c r="AW7864" s="7"/>
      <c r="AX7864" s="7"/>
    </row>
    <row r="7865" spans="14:50" x14ac:dyDescent="0.25">
      <c r="N7865" s="3"/>
      <c r="AW7865" s="7"/>
      <c r="AX7865" s="7"/>
    </row>
    <row r="7866" spans="14:50" x14ac:dyDescent="0.25">
      <c r="N7866" s="3"/>
      <c r="AW7866" s="7"/>
      <c r="AX7866" s="7"/>
    </row>
    <row r="7867" spans="14:50" x14ac:dyDescent="0.25">
      <c r="N7867" s="3"/>
      <c r="AW7867" s="7"/>
      <c r="AX7867" s="7"/>
    </row>
    <row r="7868" spans="14:50" x14ac:dyDescent="0.25">
      <c r="N7868" s="3"/>
      <c r="AW7868" s="7"/>
      <c r="AX7868" s="7"/>
    </row>
    <row r="7869" spans="14:50" x14ac:dyDescent="0.25">
      <c r="N7869" s="3"/>
      <c r="AW7869" s="7"/>
      <c r="AX7869" s="7"/>
    </row>
    <row r="7870" spans="14:50" x14ac:dyDescent="0.25">
      <c r="N7870" s="3"/>
      <c r="AW7870" s="7"/>
      <c r="AX7870" s="7"/>
    </row>
    <row r="7871" spans="14:50" x14ac:dyDescent="0.25">
      <c r="N7871" s="3"/>
      <c r="AW7871" s="7"/>
      <c r="AX7871" s="7"/>
    </row>
    <row r="7872" spans="14:50" x14ac:dyDescent="0.25">
      <c r="N7872" s="3"/>
      <c r="AW7872" s="7"/>
      <c r="AX7872" s="7"/>
    </row>
    <row r="7873" spans="14:50" x14ac:dyDescent="0.25">
      <c r="N7873" s="3"/>
      <c r="AW7873" s="7"/>
      <c r="AX7873" s="7"/>
    </row>
    <row r="7874" spans="14:50" x14ac:dyDescent="0.25">
      <c r="N7874" s="3"/>
      <c r="AW7874" s="7"/>
      <c r="AX7874" s="7"/>
    </row>
    <row r="7875" spans="14:50" x14ac:dyDescent="0.25">
      <c r="N7875" s="3"/>
      <c r="AW7875" s="7"/>
      <c r="AX7875" s="7"/>
    </row>
    <row r="7876" spans="14:50" x14ac:dyDescent="0.25">
      <c r="N7876" s="3"/>
      <c r="AW7876" s="7"/>
      <c r="AX7876" s="7"/>
    </row>
    <row r="7877" spans="14:50" x14ac:dyDescent="0.25">
      <c r="N7877" s="3"/>
      <c r="AW7877" s="7"/>
      <c r="AX7877" s="7"/>
    </row>
    <row r="7878" spans="14:50" x14ac:dyDescent="0.25">
      <c r="N7878" s="3"/>
      <c r="AW7878" s="7"/>
      <c r="AX7878" s="7"/>
    </row>
    <row r="7879" spans="14:50" x14ac:dyDescent="0.25">
      <c r="N7879" s="3"/>
      <c r="AW7879" s="7"/>
      <c r="AX7879" s="7"/>
    </row>
    <row r="7880" spans="14:50" x14ac:dyDescent="0.25">
      <c r="N7880" s="3"/>
      <c r="AW7880" s="7"/>
      <c r="AX7880" s="7"/>
    </row>
    <row r="7881" spans="14:50" x14ac:dyDescent="0.25">
      <c r="N7881" s="3"/>
      <c r="AW7881" s="7"/>
      <c r="AX7881" s="7"/>
    </row>
    <row r="7882" spans="14:50" x14ac:dyDescent="0.25">
      <c r="N7882" s="3"/>
      <c r="AW7882" s="7"/>
      <c r="AX7882" s="7"/>
    </row>
    <row r="7883" spans="14:50" x14ac:dyDescent="0.25">
      <c r="N7883" s="3"/>
      <c r="AW7883" s="7"/>
      <c r="AX7883" s="7"/>
    </row>
    <row r="7884" spans="14:50" x14ac:dyDescent="0.25">
      <c r="N7884" s="3"/>
      <c r="AW7884" s="7"/>
      <c r="AX7884" s="7"/>
    </row>
    <row r="7885" spans="14:50" x14ac:dyDescent="0.25">
      <c r="N7885" s="3"/>
      <c r="AW7885" s="7"/>
      <c r="AX7885" s="7"/>
    </row>
    <row r="7886" spans="14:50" x14ac:dyDescent="0.25">
      <c r="N7886" s="3"/>
      <c r="AW7886" s="7"/>
      <c r="AX7886" s="7"/>
    </row>
    <row r="7887" spans="14:50" x14ac:dyDescent="0.25">
      <c r="N7887" s="3"/>
      <c r="AW7887" s="7"/>
      <c r="AX7887" s="7"/>
    </row>
    <row r="7888" spans="14:50" x14ac:dyDescent="0.25">
      <c r="N7888" s="3"/>
      <c r="AW7888" s="7"/>
      <c r="AX7888" s="7"/>
    </row>
    <row r="7889" spans="14:50" x14ac:dyDescent="0.25">
      <c r="N7889" s="3"/>
      <c r="AW7889" s="7"/>
      <c r="AX7889" s="7"/>
    </row>
    <row r="7890" spans="14:50" x14ac:dyDescent="0.25">
      <c r="N7890" s="3"/>
      <c r="AW7890" s="7"/>
      <c r="AX7890" s="7"/>
    </row>
    <row r="7891" spans="14:50" x14ac:dyDescent="0.25">
      <c r="N7891" s="3"/>
      <c r="AW7891" s="7"/>
      <c r="AX7891" s="7"/>
    </row>
    <row r="7892" spans="14:50" x14ac:dyDescent="0.25">
      <c r="N7892" s="3"/>
      <c r="AW7892" s="7"/>
      <c r="AX7892" s="7"/>
    </row>
    <row r="7893" spans="14:50" x14ac:dyDescent="0.25">
      <c r="N7893" s="3"/>
      <c r="AW7893" s="7"/>
      <c r="AX7893" s="7"/>
    </row>
    <row r="7894" spans="14:50" x14ac:dyDescent="0.25">
      <c r="N7894" s="3"/>
      <c r="AW7894" s="7"/>
      <c r="AX7894" s="7"/>
    </row>
    <row r="7895" spans="14:50" x14ac:dyDescent="0.25">
      <c r="N7895" s="3"/>
      <c r="AW7895" s="7"/>
      <c r="AX7895" s="7"/>
    </row>
    <row r="7896" spans="14:50" x14ac:dyDescent="0.25">
      <c r="N7896" s="3"/>
      <c r="AW7896" s="7"/>
      <c r="AX7896" s="7"/>
    </row>
    <row r="7897" spans="14:50" x14ac:dyDescent="0.25">
      <c r="N7897" s="3"/>
      <c r="AW7897" s="7"/>
      <c r="AX7897" s="7"/>
    </row>
    <row r="7898" spans="14:50" x14ac:dyDescent="0.25">
      <c r="N7898" s="3"/>
      <c r="AW7898" s="7"/>
      <c r="AX7898" s="7"/>
    </row>
    <row r="7899" spans="14:50" x14ac:dyDescent="0.25">
      <c r="N7899" s="3"/>
      <c r="AW7899" s="7"/>
      <c r="AX7899" s="7"/>
    </row>
    <row r="7900" spans="14:50" x14ac:dyDescent="0.25">
      <c r="N7900" s="3"/>
      <c r="AW7900" s="7"/>
      <c r="AX7900" s="7"/>
    </row>
    <row r="7901" spans="14:50" x14ac:dyDescent="0.25">
      <c r="N7901" s="3"/>
      <c r="AW7901" s="7"/>
      <c r="AX7901" s="7"/>
    </row>
    <row r="7902" spans="14:50" x14ac:dyDescent="0.25">
      <c r="N7902" s="3"/>
      <c r="AW7902" s="7"/>
      <c r="AX7902" s="7"/>
    </row>
    <row r="7903" spans="14:50" x14ac:dyDescent="0.25">
      <c r="N7903" s="3"/>
      <c r="AW7903" s="7"/>
      <c r="AX7903" s="7"/>
    </row>
    <row r="7904" spans="14:50" x14ac:dyDescent="0.25">
      <c r="N7904" s="3"/>
      <c r="AW7904" s="7"/>
      <c r="AX7904" s="7"/>
    </row>
    <row r="7905" spans="14:50" x14ac:dyDescent="0.25">
      <c r="N7905" s="3"/>
      <c r="AW7905" s="7"/>
      <c r="AX7905" s="7"/>
    </row>
    <row r="7906" spans="14:50" x14ac:dyDescent="0.25">
      <c r="N7906" s="3"/>
      <c r="AW7906" s="7"/>
      <c r="AX7906" s="7"/>
    </row>
    <row r="7907" spans="14:50" x14ac:dyDescent="0.25">
      <c r="N7907" s="3"/>
      <c r="AW7907" s="7"/>
      <c r="AX7907" s="7"/>
    </row>
    <row r="7908" spans="14:50" x14ac:dyDescent="0.25">
      <c r="N7908" s="3"/>
      <c r="AW7908" s="7"/>
      <c r="AX7908" s="7"/>
    </row>
    <row r="7909" spans="14:50" x14ac:dyDescent="0.25">
      <c r="N7909" s="3"/>
      <c r="AW7909" s="7"/>
      <c r="AX7909" s="7"/>
    </row>
    <row r="7910" spans="14:50" x14ac:dyDescent="0.25">
      <c r="N7910" s="3"/>
      <c r="AW7910" s="7"/>
      <c r="AX7910" s="7"/>
    </row>
    <row r="7911" spans="14:50" x14ac:dyDescent="0.25">
      <c r="N7911" s="3"/>
      <c r="AW7911" s="7"/>
      <c r="AX7911" s="7"/>
    </row>
    <row r="7912" spans="14:50" x14ac:dyDescent="0.25">
      <c r="N7912" s="3"/>
      <c r="AW7912" s="7"/>
      <c r="AX7912" s="7"/>
    </row>
    <row r="7913" spans="14:50" x14ac:dyDescent="0.25">
      <c r="N7913" s="3"/>
      <c r="AW7913" s="7"/>
      <c r="AX7913" s="7"/>
    </row>
    <row r="7914" spans="14:50" x14ac:dyDescent="0.25">
      <c r="N7914" s="3"/>
      <c r="AW7914" s="7"/>
      <c r="AX7914" s="7"/>
    </row>
    <row r="7915" spans="14:50" x14ac:dyDescent="0.25">
      <c r="N7915" s="3"/>
      <c r="AW7915" s="7"/>
      <c r="AX7915" s="7"/>
    </row>
    <row r="7916" spans="14:50" x14ac:dyDescent="0.25">
      <c r="N7916" s="3"/>
      <c r="AW7916" s="7"/>
      <c r="AX7916" s="7"/>
    </row>
    <row r="7917" spans="14:50" x14ac:dyDescent="0.25">
      <c r="N7917" s="3"/>
      <c r="AW7917" s="7"/>
      <c r="AX7917" s="7"/>
    </row>
    <row r="7918" spans="14:50" x14ac:dyDescent="0.25">
      <c r="N7918" s="3"/>
      <c r="AW7918" s="7"/>
      <c r="AX7918" s="7"/>
    </row>
    <row r="7919" spans="14:50" x14ac:dyDescent="0.25">
      <c r="N7919" s="3"/>
      <c r="AW7919" s="7"/>
      <c r="AX7919" s="7"/>
    </row>
    <row r="7920" spans="14:50" x14ac:dyDescent="0.25">
      <c r="N7920" s="3"/>
      <c r="AW7920" s="7"/>
      <c r="AX7920" s="7"/>
    </row>
    <row r="7921" spans="14:50" x14ac:dyDescent="0.25">
      <c r="N7921" s="3"/>
      <c r="AW7921" s="7"/>
      <c r="AX7921" s="7"/>
    </row>
    <row r="7922" spans="14:50" x14ac:dyDescent="0.25">
      <c r="N7922" s="3"/>
      <c r="AW7922" s="7"/>
      <c r="AX7922" s="7"/>
    </row>
    <row r="7923" spans="14:50" x14ac:dyDescent="0.25">
      <c r="N7923" s="3"/>
      <c r="AW7923" s="7"/>
      <c r="AX7923" s="7"/>
    </row>
    <row r="7924" spans="14:50" x14ac:dyDescent="0.25">
      <c r="N7924" s="3"/>
      <c r="AW7924" s="7"/>
      <c r="AX7924" s="7"/>
    </row>
    <row r="7925" spans="14:50" x14ac:dyDescent="0.25">
      <c r="N7925" s="3"/>
      <c r="AW7925" s="7"/>
      <c r="AX7925" s="7"/>
    </row>
    <row r="7926" spans="14:50" x14ac:dyDescent="0.25">
      <c r="N7926" s="3"/>
      <c r="AW7926" s="7"/>
      <c r="AX7926" s="7"/>
    </row>
    <row r="7927" spans="14:50" x14ac:dyDescent="0.25">
      <c r="N7927" s="3"/>
      <c r="AW7927" s="7"/>
      <c r="AX7927" s="7"/>
    </row>
    <row r="7928" spans="14:50" x14ac:dyDescent="0.25">
      <c r="N7928" s="3"/>
      <c r="AW7928" s="7"/>
      <c r="AX7928" s="7"/>
    </row>
    <row r="7929" spans="14:50" x14ac:dyDescent="0.25">
      <c r="N7929" s="3"/>
      <c r="AW7929" s="7"/>
      <c r="AX7929" s="7"/>
    </row>
    <row r="7930" spans="14:50" x14ac:dyDescent="0.25">
      <c r="N7930" s="3"/>
      <c r="AW7930" s="7"/>
      <c r="AX7930" s="7"/>
    </row>
    <row r="7931" spans="14:50" x14ac:dyDescent="0.25">
      <c r="N7931" s="3"/>
      <c r="AW7931" s="7"/>
      <c r="AX7931" s="7"/>
    </row>
    <row r="7932" spans="14:50" x14ac:dyDescent="0.25">
      <c r="N7932" s="3"/>
      <c r="AW7932" s="7"/>
      <c r="AX7932" s="7"/>
    </row>
    <row r="7933" spans="14:50" x14ac:dyDescent="0.25">
      <c r="N7933" s="3"/>
      <c r="AW7933" s="7"/>
      <c r="AX7933" s="7"/>
    </row>
    <row r="7934" spans="14:50" x14ac:dyDescent="0.25">
      <c r="N7934" s="3"/>
      <c r="AW7934" s="7"/>
      <c r="AX7934" s="7"/>
    </row>
    <row r="7935" spans="14:50" x14ac:dyDescent="0.25">
      <c r="N7935" s="3"/>
      <c r="AW7935" s="7"/>
      <c r="AX7935" s="7"/>
    </row>
    <row r="7936" spans="14:50" x14ac:dyDescent="0.25">
      <c r="N7936" s="3"/>
      <c r="AW7936" s="7"/>
      <c r="AX7936" s="7"/>
    </row>
    <row r="7937" spans="14:50" x14ac:dyDescent="0.25">
      <c r="N7937" s="3"/>
      <c r="AW7937" s="7"/>
      <c r="AX7937" s="7"/>
    </row>
    <row r="7938" spans="14:50" x14ac:dyDescent="0.25">
      <c r="N7938" s="3"/>
      <c r="AW7938" s="7"/>
      <c r="AX7938" s="7"/>
    </row>
    <row r="7939" spans="14:50" x14ac:dyDescent="0.25">
      <c r="N7939" s="3"/>
      <c r="AW7939" s="7"/>
      <c r="AX7939" s="7"/>
    </row>
    <row r="7940" spans="14:50" x14ac:dyDescent="0.25">
      <c r="N7940" s="3"/>
      <c r="AW7940" s="7"/>
      <c r="AX7940" s="7"/>
    </row>
    <row r="7941" spans="14:50" x14ac:dyDescent="0.25">
      <c r="N7941" s="3"/>
      <c r="AW7941" s="7"/>
      <c r="AX7941" s="7"/>
    </row>
    <row r="7942" spans="14:50" x14ac:dyDescent="0.25">
      <c r="N7942" s="3"/>
      <c r="AW7942" s="7"/>
      <c r="AX7942" s="7"/>
    </row>
    <row r="7943" spans="14:50" x14ac:dyDescent="0.25">
      <c r="N7943" s="3"/>
      <c r="AW7943" s="7"/>
      <c r="AX7943" s="7"/>
    </row>
    <row r="7944" spans="14:50" x14ac:dyDescent="0.25">
      <c r="N7944" s="3"/>
      <c r="AW7944" s="7"/>
      <c r="AX7944" s="7"/>
    </row>
    <row r="7945" spans="14:50" x14ac:dyDescent="0.25">
      <c r="N7945" s="3"/>
      <c r="AW7945" s="7"/>
      <c r="AX7945" s="7"/>
    </row>
    <row r="7946" spans="14:50" x14ac:dyDescent="0.25">
      <c r="N7946" s="3"/>
      <c r="AW7946" s="7"/>
      <c r="AX7946" s="7"/>
    </row>
    <row r="7947" spans="14:50" x14ac:dyDescent="0.25">
      <c r="N7947" s="3"/>
      <c r="AW7947" s="7"/>
      <c r="AX7947" s="7"/>
    </row>
    <row r="7948" spans="14:50" x14ac:dyDescent="0.25">
      <c r="N7948" s="3"/>
      <c r="AW7948" s="7"/>
      <c r="AX7948" s="7"/>
    </row>
    <row r="7949" spans="14:50" x14ac:dyDescent="0.25">
      <c r="N7949" s="3"/>
      <c r="AW7949" s="7"/>
      <c r="AX7949" s="7"/>
    </row>
    <row r="7950" spans="14:50" x14ac:dyDescent="0.25">
      <c r="N7950" s="3"/>
      <c r="AW7950" s="7"/>
      <c r="AX7950" s="7"/>
    </row>
    <row r="7951" spans="14:50" x14ac:dyDescent="0.25">
      <c r="N7951" s="3"/>
      <c r="AW7951" s="7"/>
      <c r="AX7951" s="7"/>
    </row>
    <row r="7952" spans="14:50" x14ac:dyDescent="0.25">
      <c r="N7952" s="3"/>
      <c r="AW7952" s="7"/>
      <c r="AX7952" s="7"/>
    </row>
    <row r="7953" spans="14:50" x14ac:dyDescent="0.25">
      <c r="N7953" s="3"/>
      <c r="AW7953" s="7"/>
      <c r="AX7953" s="7"/>
    </row>
    <row r="7954" spans="14:50" x14ac:dyDescent="0.25">
      <c r="N7954" s="3"/>
      <c r="AW7954" s="7"/>
      <c r="AX7954" s="7"/>
    </row>
    <row r="7955" spans="14:50" x14ac:dyDescent="0.25">
      <c r="N7955" s="3"/>
      <c r="AW7955" s="7"/>
      <c r="AX7955" s="7"/>
    </row>
    <row r="7956" spans="14:50" x14ac:dyDescent="0.25">
      <c r="N7956" s="3"/>
      <c r="AW7956" s="7"/>
      <c r="AX7956" s="7"/>
    </row>
    <row r="7957" spans="14:50" x14ac:dyDescent="0.25">
      <c r="N7957" s="3"/>
      <c r="AW7957" s="7"/>
      <c r="AX7957" s="7"/>
    </row>
    <row r="7958" spans="14:50" x14ac:dyDescent="0.25">
      <c r="N7958" s="3"/>
      <c r="AW7958" s="7"/>
      <c r="AX7958" s="7"/>
    </row>
    <row r="7959" spans="14:50" x14ac:dyDescent="0.25">
      <c r="N7959" s="3"/>
      <c r="AW7959" s="7"/>
      <c r="AX7959" s="7"/>
    </row>
    <row r="7960" spans="14:50" x14ac:dyDescent="0.25">
      <c r="N7960" s="3"/>
      <c r="AW7960" s="7"/>
      <c r="AX7960" s="7"/>
    </row>
    <row r="7961" spans="14:50" x14ac:dyDescent="0.25">
      <c r="N7961" s="3"/>
      <c r="AW7961" s="7"/>
      <c r="AX7961" s="7"/>
    </row>
    <row r="7962" spans="14:50" x14ac:dyDescent="0.25">
      <c r="N7962" s="3"/>
      <c r="AW7962" s="7"/>
      <c r="AX7962" s="7"/>
    </row>
    <row r="7963" spans="14:50" x14ac:dyDescent="0.25">
      <c r="N7963" s="3"/>
      <c r="AW7963" s="7"/>
      <c r="AX7963" s="7"/>
    </row>
    <row r="7964" spans="14:50" x14ac:dyDescent="0.25">
      <c r="N7964" s="3"/>
      <c r="AW7964" s="7"/>
      <c r="AX7964" s="7"/>
    </row>
    <row r="7965" spans="14:50" x14ac:dyDescent="0.25">
      <c r="N7965" s="3"/>
      <c r="AW7965" s="7"/>
      <c r="AX7965" s="7"/>
    </row>
    <row r="7966" spans="14:50" x14ac:dyDescent="0.25">
      <c r="N7966" s="3"/>
      <c r="AW7966" s="7"/>
      <c r="AX7966" s="7"/>
    </row>
    <row r="7967" spans="14:50" x14ac:dyDescent="0.25">
      <c r="N7967" s="3"/>
      <c r="AW7967" s="7"/>
      <c r="AX7967" s="7"/>
    </row>
    <row r="7968" spans="14:50" x14ac:dyDescent="0.25">
      <c r="N7968" s="3"/>
      <c r="AW7968" s="7"/>
      <c r="AX7968" s="7"/>
    </row>
    <row r="7969" spans="14:50" x14ac:dyDescent="0.25">
      <c r="N7969" s="3"/>
      <c r="AW7969" s="7"/>
      <c r="AX7969" s="7"/>
    </row>
    <row r="7970" spans="14:50" x14ac:dyDescent="0.25">
      <c r="N7970" s="3"/>
      <c r="AW7970" s="7"/>
      <c r="AX7970" s="7"/>
    </row>
    <row r="7971" spans="14:50" x14ac:dyDescent="0.25">
      <c r="N7971" s="3"/>
      <c r="AW7971" s="7"/>
      <c r="AX7971" s="7"/>
    </row>
    <row r="7972" spans="14:50" x14ac:dyDescent="0.25">
      <c r="N7972" s="3"/>
      <c r="AW7972" s="7"/>
      <c r="AX7972" s="7"/>
    </row>
    <row r="7973" spans="14:50" x14ac:dyDescent="0.25">
      <c r="N7973" s="3"/>
      <c r="AW7973" s="7"/>
      <c r="AX7973" s="7"/>
    </row>
    <row r="7974" spans="14:50" x14ac:dyDescent="0.25">
      <c r="N7974" s="3"/>
      <c r="AW7974" s="7"/>
      <c r="AX7974" s="7"/>
    </row>
    <row r="7975" spans="14:50" x14ac:dyDescent="0.25">
      <c r="N7975" s="3"/>
      <c r="AW7975" s="7"/>
      <c r="AX7975" s="7"/>
    </row>
    <row r="7976" spans="14:50" x14ac:dyDescent="0.25">
      <c r="N7976" s="3"/>
      <c r="AW7976" s="7"/>
      <c r="AX7976" s="7"/>
    </row>
    <row r="7977" spans="14:50" x14ac:dyDescent="0.25">
      <c r="N7977" s="3"/>
      <c r="AW7977" s="7"/>
      <c r="AX7977" s="7"/>
    </row>
    <row r="7978" spans="14:50" x14ac:dyDescent="0.25">
      <c r="N7978" s="3"/>
      <c r="AW7978" s="7"/>
      <c r="AX7978" s="7"/>
    </row>
    <row r="7979" spans="14:50" x14ac:dyDescent="0.25">
      <c r="N7979" s="3"/>
      <c r="AW7979" s="7"/>
      <c r="AX7979" s="7"/>
    </row>
    <row r="7980" spans="14:50" x14ac:dyDescent="0.25">
      <c r="N7980" s="3"/>
      <c r="AW7980" s="7"/>
      <c r="AX7980" s="7"/>
    </row>
    <row r="7981" spans="14:50" x14ac:dyDescent="0.25">
      <c r="N7981" s="3"/>
      <c r="AW7981" s="7"/>
      <c r="AX7981" s="7"/>
    </row>
    <row r="7982" spans="14:50" x14ac:dyDescent="0.25">
      <c r="N7982" s="3"/>
      <c r="AW7982" s="7"/>
      <c r="AX7982" s="7"/>
    </row>
    <row r="7983" spans="14:50" x14ac:dyDescent="0.25">
      <c r="N7983" s="3"/>
      <c r="AW7983" s="7"/>
      <c r="AX7983" s="7"/>
    </row>
    <row r="7984" spans="14:50" x14ac:dyDescent="0.25">
      <c r="N7984" s="3"/>
      <c r="AW7984" s="7"/>
      <c r="AX7984" s="7"/>
    </row>
    <row r="7985" spans="14:50" x14ac:dyDescent="0.25">
      <c r="N7985" s="3"/>
      <c r="AW7985" s="7"/>
      <c r="AX7985" s="7"/>
    </row>
    <row r="7986" spans="14:50" x14ac:dyDescent="0.25">
      <c r="N7986" s="3"/>
      <c r="AW7986" s="7"/>
      <c r="AX7986" s="7"/>
    </row>
    <row r="7987" spans="14:50" x14ac:dyDescent="0.25">
      <c r="N7987" s="3"/>
      <c r="AW7987" s="7"/>
      <c r="AX7987" s="7"/>
    </row>
    <row r="7988" spans="14:50" x14ac:dyDescent="0.25">
      <c r="N7988" s="3"/>
      <c r="AW7988" s="7"/>
      <c r="AX7988" s="7"/>
    </row>
    <row r="7989" spans="14:50" x14ac:dyDescent="0.25">
      <c r="N7989" s="3"/>
      <c r="AW7989" s="7"/>
      <c r="AX7989" s="7"/>
    </row>
    <row r="7990" spans="14:50" x14ac:dyDescent="0.25">
      <c r="N7990" s="3"/>
      <c r="AW7990" s="7"/>
      <c r="AX7990" s="7"/>
    </row>
    <row r="7991" spans="14:50" x14ac:dyDescent="0.25">
      <c r="N7991" s="3"/>
      <c r="AW7991" s="7"/>
      <c r="AX7991" s="7"/>
    </row>
    <row r="7992" spans="14:50" x14ac:dyDescent="0.25">
      <c r="N7992" s="3"/>
      <c r="AW7992" s="7"/>
      <c r="AX7992" s="7"/>
    </row>
    <row r="7993" spans="14:50" x14ac:dyDescent="0.25">
      <c r="N7993" s="3"/>
      <c r="AW7993" s="7"/>
      <c r="AX7993" s="7"/>
    </row>
    <row r="7994" spans="14:50" x14ac:dyDescent="0.25">
      <c r="N7994" s="3"/>
      <c r="AW7994" s="7"/>
      <c r="AX7994" s="7"/>
    </row>
    <row r="7995" spans="14:50" x14ac:dyDescent="0.25">
      <c r="N7995" s="3"/>
      <c r="AW7995" s="7"/>
      <c r="AX7995" s="7"/>
    </row>
    <row r="7996" spans="14:50" x14ac:dyDescent="0.25">
      <c r="N7996" s="3"/>
      <c r="AW7996" s="7"/>
      <c r="AX7996" s="7"/>
    </row>
    <row r="7997" spans="14:50" x14ac:dyDescent="0.25">
      <c r="N7997" s="3"/>
      <c r="AW7997" s="7"/>
      <c r="AX7997" s="7"/>
    </row>
    <row r="7998" spans="14:50" x14ac:dyDescent="0.25">
      <c r="N7998" s="3"/>
      <c r="AW7998" s="7"/>
      <c r="AX7998" s="7"/>
    </row>
    <row r="7999" spans="14:50" x14ac:dyDescent="0.25">
      <c r="N7999" s="3"/>
      <c r="AW7999" s="7"/>
      <c r="AX7999" s="7"/>
    </row>
    <row r="8000" spans="14:50" x14ac:dyDescent="0.25">
      <c r="N8000" s="3"/>
      <c r="AW8000" s="7"/>
      <c r="AX8000" s="7"/>
    </row>
    <row r="8001" spans="14:50" x14ac:dyDescent="0.25">
      <c r="N8001" s="3"/>
      <c r="AW8001" s="7"/>
      <c r="AX8001" s="7"/>
    </row>
    <row r="8002" spans="14:50" x14ac:dyDescent="0.25">
      <c r="N8002" s="3"/>
      <c r="AW8002" s="7"/>
      <c r="AX8002" s="7"/>
    </row>
    <row r="8003" spans="14:50" x14ac:dyDescent="0.25">
      <c r="N8003" s="3"/>
      <c r="AW8003" s="7"/>
      <c r="AX8003" s="7"/>
    </row>
    <row r="8004" spans="14:50" x14ac:dyDescent="0.25">
      <c r="N8004" s="3"/>
      <c r="AW8004" s="7"/>
      <c r="AX8004" s="7"/>
    </row>
    <row r="8005" spans="14:50" x14ac:dyDescent="0.25">
      <c r="N8005" s="3"/>
      <c r="AW8005" s="7"/>
      <c r="AX8005" s="7"/>
    </row>
    <row r="8006" spans="14:50" x14ac:dyDescent="0.25">
      <c r="N8006" s="3"/>
      <c r="AW8006" s="7"/>
      <c r="AX8006" s="7"/>
    </row>
    <row r="8007" spans="14:50" x14ac:dyDescent="0.25">
      <c r="N8007" s="3"/>
      <c r="AW8007" s="7"/>
      <c r="AX8007" s="7"/>
    </row>
    <row r="8008" spans="14:50" x14ac:dyDescent="0.25">
      <c r="N8008" s="3"/>
      <c r="AW8008" s="7"/>
      <c r="AX8008" s="7"/>
    </row>
    <row r="8009" spans="14:50" x14ac:dyDescent="0.25">
      <c r="N8009" s="3"/>
      <c r="AW8009" s="7"/>
      <c r="AX8009" s="7"/>
    </row>
    <row r="8010" spans="14:50" x14ac:dyDescent="0.25">
      <c r="N8010" s="3"/>
      <c r="AW8010" s="7"/>
      <c r="AX8010" s="7"/>
    </row>
    <row r="8011" spans="14:50" x14ac:dyDescent="0.25">
      <c r="N8011" s="3"/>
      <c r="AW8011" s="7"/>
      <c r="AX8011" s="7"/>
    </row>
    <row r="8012" spans="14:50" x14ac:dyDescent="0.25">
      <c r="N8012" s="3"/>
      <c r="AW8012" s="7"/>
      <c r="AX8012" s="7"/>
    </row>
    <row r="8013" spans="14:50" x14ac:dyDescent="0.25">
      <c r="N8013" s="3"/>
      <c r="AW8013" s="7"/>
      <c r="AX8013" s="7"/>
    </row>
    <row r="8014" spans="14:50" x14ac:dyDescent="0.25">
      <c r="N8014" s="3"/>
      <c r="AW8014" s="7"/>
      <c r="AX8014" s="7"/>
    </row>
    <row r="8015" spans="14:50" x14ac:dyDescent="0.25">
      <c r="N8015" s="3"/>
      <c r="AW8015" s="7"/>
      <c r="AX8015" s="7"/>
    </row>
    <row r="8016" spans="14:50" x14ac:dyDescent="0.25">
      <c r="N8016" s="3"/>
      <c r="AW8016" s="7"/>
      <c r="AX8016" s="7"/>
    </row>
    <row r="8017" spans="14:50" x14ac:dyDescent="0.25">
      <c r="N8017" s="3"/>
      <c r="AW8017" s="7"/>
      <c r="AX8017" s="7"/>
    </row>
    <row r="8018" spans="14:50" x14ac:dyDescent="0.25">
      <c r="N8018" s="3"/>
      <c r="AW8018" s="7"/>
      <c r="AX8018" s="7"/>
    </row>
    <row r="8019" spans="14:50" x14ac:dyDescent="0.25">
      <c r="N8019" s="3"/>
      <c r="AW8019" s="7"/>
      <c r="AX8019" s="7"/>
    </row>
    <row r="8020" spans="14:50" x14ac:dyDescent="0.25">
      <c r="N8020" s="3"/>
      <c r="AW8020" s="7"/>
      <c r="AX8020" s="7"/>
    </row>
    <row r="8021" spans="14:50" x14ac:dyDescent="0.25">
      <c r="N8021" s="3"/>
      <c r="AW8021" s="7"/>
      <c r="AX8021" s="7"/>
    </row>
    <row r="8022" spans="14:50" x14ac:dyDescent="0.25">
      <c r="N8022" s="3"/>
      <c r="AW8022" s="7"/>
      <c r="AX8022" s="7"/>
    </row>
    <row r="8023" spans="14:50" x14ac:dyDescent="0.25">
      <c r="N8023" s="3"/>
      <c r="AW8023" s="7"/>
      <c r="AX8023" s="7"/>
    </row>
    <row r="8024" spans="14:50" x14ac:dyDescent="0.25">
      <c r="N8024" s="3"/>
      <c r="AW8024" s="7"/>
      <c r="AX8024" s="7"/>
    </row>
    <row r="8025" spans="14:50" x14ac:dyDescent="0.25">
      <c r="N8025" s="3"/>
      <c r="AW8025" s="7"/>
      <c r="AX8025" s="7"/>
    </row>
    <row r="8026" spans="14:50" x14ac:dyDescent="0.25">
      <c r="N8026" s="3"/>
      <c r="AW8026" s="7"/>
      <c r="AX8026" s="7"/>
    </row>
    <row r="8027" spans="14:50" x14ac:dyDescent="0.25">
      <c r="N8027" s="3"/>
      <c r="AW8027" s="7"/>
      <c r="AX8027" s="7"/>
    </row>
    <row r="8028" spans="14:50" x14ac:dyDescent="0.25">
      <c r="N8028" s="3"/>
      <c r="AW8028" s="7"/>
      <c r="AX8028" s="7"/>
    </row>
    <row r="8029" spans="14:50" x14ac:dyDescent="0.25">
      <c r="N8029" s="3"/>
      <c r="AW8029" s="7"/>
      <c r="AX8029" s="7"/>
    </row>
    <row r="8030" spans="14:50" x14ac:dyDescent="0.25">
      <c r="N8030" s="3"/>
      <c r="AW8030" s="7"/>
      <c r="AX8030" s="7"/>
    </row>
    <row r="8031" spans="14:50" x14ac:dyDescent="0.25">
      <c r="N8031" s="3"/>
      <c r="AW8031" s="7"/>
      <c r="AX8031" s="7"/>
    </row>
    <row r="8032" spans="14:50" x14ac:dyDescent="0.25">
      <c r="N8032" s="3"/>
      <c r="AW8032" s="7"/>
      <c r="AX8032" s="7"/>
    </row>
    <row r="8033" spans="14:50" x14ac:dyDescent="0.25">
      <c r="N8033" s="3"/>
      <c r="AW8033" s="7"/>
      <c r="AX8033" s="7"/>
    </row>
    <row r="8034" spans="14:50" x14ac:dyDescent="0.25">
      <c r="N8034" s="3"/>
      <c r="AW8034" s="7"/>
      <c r="AX8034" s="7"/>
    </row>
    <row r="8035" spans="14:50" x14ac:dyDescent="0.25">
      <c r="N8035" s="3"/>
      <c r="AW8035" s="7"/>
      <c r="AX8035" s="7"/>
    </row>
    <row r="8036" spans="14:50" x14ac:dyDescent="0.25">
      <c r="N8036" s="3"/>
      <c r="AW8036" s="7"/>
      <c r="AX8036" s="7"/>
    </row>
    <row r="8037" spans="14:50" x14ac:dyDescent="0.25">
      <c r="N8037" s="3"/>
      <c r="AW8037" s="7"/>
      <c r="AX8037" s="7"/>
    </row>
    <row r="8038" spans="14:50" x14ac:dyDescent="0.25">
      <c r="N8038" s="3"/>
      <c r="AW8038" s="7"/>
      <c r="AX8038" s="7"/>
    </row>
    <row r="8039" spans="14:50" x14ac:dyDescent="0.25">
      <c r="N8039" s="3"/>
      <c r="AW8039" s="7"/>
      <c r="AX8039" s="7"/>
    </row>
    <row r="8040" spans="14:50" x14ac:dyDescent="0.25">
      <c r="N8040" s="3"/>
      <c r="AW8040" s="7"/>
      <c r="AX8040" s="7"/>
    </row>
    <row r="8041" spans="14:50" x14ac:dyDescent="0.25">
      <c r="N8041" s="3"/>
      <c r="AW8041" s="7"/>
      <c r="AX8041" s="7"/>
    </row>
    <row r="8042" spans="14:50" x14ac:dyDescent="0.25">
      <c r="N8042" s="3"/>
      <c r="AW8042" s="7"/>
      <c r="AX8042" s="7"/>
    </row>
    <row r="8043" spans="14:50" x14ac:dyDescent="0.25">
      <c r="N8043" s="3"/>
      <c r="AW8043" s="7"/>
      <c r="AX8043" s="7"/>
    </row>
    <row r="8044" spans="14:50" x14ac:dyDescent="0.25">
      <c r="N8044" s="3"/>
      <c r="AW8044" s="7"/>
      <c r="AX8044" s="7"/>
    </row>
    <row r="8045" spans="14:50" x14ac:dyDescent="0.25">
      <c r="N8045" s="3"/>
      <c r="AW8045" s="7"/>
      <c r="AX8045" s="7"/>
    </row>
    <row r="8046" spans="14:50" x14ac:dyDescent="0.25">
      <c r="N8046" s="3"/>
      <c r="AW8046" s="7"/>
      <c r="AX8046" s="7"/>
    </row>
    <row r="8047" spans="14:50" x14ac:dyDescent="0.25">
      <c r="N8047" s="3"/>
      <c r="AW8047" s="7"/>
      <c r="AX8047" s="7"/>
    </row>
    <row r="8048" spans="14:50" x14ac:dyDescent="0.25">
      <c r="N8048" s="3"/>
      <c r="AW8048" s="7"/>
      <c r="AX8048" s="7"/>
    </row>
    <row r="8049" spans="14:50" x14ac:dyDescent="0.25">
      <c r="N8049" s="3"/>
      <c r="AW8049" s="7"/>
      <c r="AX8049" s="7"/>
    </row>
    <row r="8050" spans="14:50" x14ac:dyDescent="0.25">
      <c r="N8050" s="3"/>
      <c r="AW8050" s="7"/>
      <c r="AX8050" s="7"/>
    </row>
    <row r="8051" spans="14:50" x14ac:dyDescent="0.25">
      <c r="N8051" s="3"/>
      <c r="AW8051" s="7"/>
      <c r="AX8051" s="7"/>
    </row>
    <row r="8052" spans="14:50" x14ac:dyDescent="0.25">
      <c r="N8052" s="3"/>
      <c r="AW8052" s="7"/>
      <c r="AX8052" s="7"/>
    </row>
    <row r="8053" spans="14:50" x14ac:dyDescent="0.25">
      <c r="N8053" s="3"/>
      <c r="AW8053" s="7"/>
      <c r="AX8053" s="7"/>
    </row>
    <row r="8054" spans="14:50" x14ac:dyDescent="0.25">
      <c r="N8054" s="3"/>
      <c r="AW8054" s="7"/>
      <c r="AX8054" s="7"/>
    </row>
    <row r="8055" spans="14:50" x14ac:dyDescent="0.25">
      <c r="N8055" s="3"/>
      <c r="AW8055" s="7"/>
      <c r="AX8055" s="7"/>
    </row>
    <row r="8056" spans="14:50" x14ac:dyDescent="0.25">
      <c r="N8056" s="3"/>
      <c r="AW8056" s="7"/>
      <c r="AX8056" s="7"/>
    </row>
    <row r="8057" spans="14:50" x14ac:dyDescent="0.25">
      <c r="N8057" s="3"/>
      <c r="AW8057" s="7"/>
      <c r="AX8057" s="7"/>
    </row>
    <row r="8058" spans="14:50" x14ac:dyDescent="0.25">
      <c r="N8058" s="3"/>
      <c r="AW8058" s="7"/>
      <c r="AX8058" s="7"/>
    </row>
    <row r="8059" spans="14:50" x14ac:dyDescent="0.25">
      <c r="N8059" s="3"/>
      <c r="AW8059" s="7"/>
      <c r="AX8059" s="7"/>
    </row>
    <row r="8060" spans="14:50" x14ac:dyDescent="0.25">
      <c r="N8060" s="3"/>
      <c r="AW8060" s="7"/>
      <c r="AX8060" s="7"/>
    </row>
    <row r="8061" spans="14:50" x14ac:dyDescent="0.25">
      <c r="N8061" s="3"/>
      <c r="AW8061" s="7"/>
      <c r="AX8061" s="7"/>
    </row>
    <row r="8062" spans="14:50" x14ac:dyDescent="0.25">
      <c r="N8062" s="3"/>
      <c r="AW8062" s="7"/>
      <c r="AX8062" s="7"/>
    </row>
    <row r="8063" spans="14:50" x14ac:dyDescent="0.25">
      <c r="N8063" s="3"/>
      <c r="AW8063" s="7"/>
      <c r="AX8063" s="7"/>
    </row>
    <row r="8064" spans="14:50" x14ac:dyDescent="0.25">
      <c r="N8064" s="3"/>
      <c r="AW8064" s="7"/>
      <c r="AX8064" s="7"/>
    </row>
    <row r="8065" spans="14:50" x14ac:dyDescent="0.25">
      <c r="N8065" s="3"/>
      <c r="AW8065" s="7"/>
      <c r="AX8065" s="7"/>
    </row>
    <row r="8066" spans="14:50" x14ac:dyDescent="0.25">
      <c r="N8066" s="3"/>
      <c r="AW8066" s="7"/>
      <c r="AX8066" s="7"/>
    </row>
    <row r="8067" spans="14:50" x14ac:dyDescent="0.25">
      <c r="N8067" s="3"/>
      <c r="AW8067" s="7"/>
      <c r="AX8067" s="7"/>
    </row>
    <row r="8068" spans="14:50" x14ac:dyDescent="0.25">
      <c r="N8068" s="3"/>
      <c r="AW8068" s="7"/>
      <c r="AX8068" s="7"/>
    </row>
    <row r="8069" spans="14:50" x14ac:dyDescent="0.25">
      <c r="N8069" s="3"/>
      <c r="AW8069" s="7"/>
      <c r="AX8069" s="7"/>
    </row>
    <row r="8070" spans="14:50" x14ac:dyDescent="0.25">
      <c r="N8070" s="3"/>
      <c r="AW8070" s="7"/>
      <c r="AX8070" s="7"/>
    </row>
    <row r="8071" spans="14:50" x14ac:dyDescent="0.25">
      <c r="N8071" s="3"/>
      <c r="AW8071" s="7"/>
      <c r="AX8071" s="7"/>
    </row>
    <row r="8072" spans="14:50" x14ac:dyDescent="0.25">
      <c r="N8072" s="3"/>
      <c r="AW8072" s="7"/>
      <c r="AX8072" s="7"/>
    </row>
    <row r="8073" spans="14:50" x14ac:dyDescent="0.25">
      <c r="N8073" s="3"/>
      <c r="AW8073" s="7"/>
      <c r="AX8073" s="7"/>
    </row>
    <row r="8074" spans="14:50" x14ac:dyDescent="0.25">
      <c r="N8074" s="3"/>
      <c r="AW8074" s="7"/>
      <c r="AX8074" s="7"/>
    </row>
    <row r="8075" spans="14:50" x14ac:dyDescent="0.25">
      <c r="N8075" s="3"/>
      <c r="AW8075" s="7"/>
      <c r="AX8075" s="7"/>
    </row>
    <row r="8076" spans="14:50" x14ac:dyDescent="0.25">
      <c r="N8076" s="3"/>
      <c r="AW8076" s="7"/>
      <c r="AX8076" s="7"/>
    </row>
    <row r="8077" spans="14:50" x14ac:dyDescent="0.25">
      <c r="N8077" s="3"/>
      <c r="AW8077" s="7"/>
      <c r="AX8077" s="7"/>
    </row>
    <row r="8078" spans="14:50" x14ac:dyDescent="0.25">
      <c r="N8078" s="3"/>
      <c r="AW8078" s="7"/>
      <c r="AX8078" s="7"/>
    </row>
    <row r="8079" spans="14:50" x14ac:dyDescent="0.25">
      <c r="N8079" s="3"/>
      <c r="AW8079" s="7"/>
      <c r="AX8079" s="7"/>
    </row>
    <row r="8080" spans="14:50" x14ac:dyDescent="0.25">
      <c r="N8080" s="3"/>
      <c r="AW8080" s="7"/>
      <c r="AX8080" s="7"/>
    </row>
    <row r="8081" spans="14:50" x14ac:dyDescent="0.25">
      <c r="N8081" s="3"/>
      <c r="AW8081" s="7"/>
      <c r="AX8081" s="7"/>
    </row>
    <row r="8082" spans="14:50" x14ac:dyDescent="0.25">
      <c r="N8082" s="3"/>
      <c r="AW8082" s="7"/>
      <c r="AX8082" s="7"/>
    </row>
    <row r="8083" spans="14:50" x14ac:dyDescent="0.25">
      <c r="N8083" s="3"/>
      <c r="AW8083" s="7"/>
      <c r="AX8083" s="7"/>
    </row>
    <row r="8084" spans="14:50" x14ac:dyDescent="0.25">
      <c r="N8084" s="3"/>
      <c r="AW8084" s="7"/>
      <c r="AX8084" s="7"/>
    </row>
    <row r="8085" spans="14:50" x14ac:dyDescent="0.25">
      <c r="N8085" s="3"/>
      <c r="AW8085" s="7"/>
      <c r="AX8085" s="7"/>
    </row>
    <row r="8086" spans="14:50" x14ac:dyDescent="0.25">
      <c r="N8086" s="3"/>
      <c r="AW8086" s="7"/>
      <c r="AX8086" s="7"/>
    </row>
    <row r="8087" spans="14:50" x14ac:dyDescent="0.25">
      <c r="N8087" s="3"/>
      <c r="AW8087" s="7"/>
      <c r="AX8087" s="7"/>
    </row>
    <row r="8088" spans="14:50" x14ac:dyDescent="0.25">
      <c r="N8088" s="3"/>
      <c r="AW8088" s="7"/>
      <c r="AX8088" s="7"/>
    </row>
    <row r="8089" spans="14:50" x14ac:dyDescent="0.25">
      <c r="N8089" s="3"/>
      <c r="AW8089" s="7"/>
      <c r="AX8089" s="7"/>
    </row>
    <row r="8090" spans="14:50" x14ac:dyDescent="0.25">
      <c r="N8090" s="3"/>
      <c r="AW8090" s="7"/>
      <c r="AX8090" s="7"/>
    </row>
    <row r="8091" spans="14:50" x14ac:dyDescent="0.25">
      <c r="N8091" s="3"/>
      <c r="AW8091" s="7"/>
      <c r="AX8091" s="7"/>
    </row>
    <row r="8092" spans="14:50" x14ac:dyDescent="0.25">
      <c r="N8092" s="3"/>
      <c r="AW8092" s="7"/>
      <c r="AX8092" s="7"/>
    </row>
    <row r="8093" spans="14:50" x14ac:dyDescent="0.25">
      <c r="N8093" s="3"/>
      <c r="AW8093" s="7"/>
      <c r="AX8093" s="7"/>
    </row>
    <row r="8094" spans="14:50" x14ac:dyDescent="0.25">
      <c r="N8094" s="3"/>
      <c r="AW8094" s="7"/>
      <c r="AX8094" s="7"/>
    </row>
    <row r="8095" spans="14:50" x14ac:dyDescent="0.25">
      <c r="N8095" s="3"/>
      <c r="AW8095" s="7"/>
      <c r="AX8095" s="7"/>
    </row>
    <row r="8096" spans="14:50" x14ac:dyDescent="0.25">
      <c r="N8096" s="3"/>
      <c r="AW8096" s="7"/>
      <c r="AX8096" s="7"/>
    </row>
    <row r="8097" spans="14:50" x14ac:dyDescent="0.25">
      <c r="N8097" s="3"/>
      <c r="AW8097" s="7"/>
      <c r="AX8097" s="7"/>
    </row>
    <row r="8098" spans="14:50" x14ac:dyDescent="0.25">
      <c r="N8098" s="3"/>
      <c r="AW8098" s="7"/>
      <c r="AX8098" s="7"/>
    </row>
    <row r="8099" spans="14:50" x14ac:dyDescent="0.25">
      <c r="N8099" s="3"/>
      <c r="AW8099" s="7"/>
      <c r="AX8099" s="7"/>
    </row>
    <row r="8100" spans="14:50" x14ac:dyDescent="0.25">
      <c r="N8100" s="3"/>
      <c r="AW8100" s="7"/>
      <c r="AX8100" s="7"/>
    </row>
    <row r="8101" spans="14:50" x14ac:dyDescent="0.25">
      <c r="N8101" s="3"/>
      <c r="AW8101" s="7"/>
      <c r="AX8101" s="7"/>
    </row>
    <row r="8102" spans="14:50" x14ac:dyDescent="0.25">
      <c r="N8102" s="3"/>
      <c r="AW8102" s="7"/>
      <c r="AX8102" s="7"/>
    </row>
    <row r="8103" spans="14:50" x14ac:dyDescent="0.25">
      <c r="N8103" s="3"/>
      <c r="AW8103" s="7"/>
      <c r="AX8103" s="7"/>
    </row>
    <row r="8104" spans="14:50" x14ac:dyDescent="0.25">
      <c r="N8104" s="3"/>
      <c r="AW8104" s="7"/>
      <c r="AX8104" s="7"/>
    </row>
    <row r="8105" spans="14:50" x14ac:dyDescent="0.25">
      <c r="N8105" s="3"/>
      <c r="AW8105" s="7"/>
      <c r="AX8105" s="7"/>
    </row>
    <row r="8106" spans="14:50" x14ac:dyDescent="0.25">
      <c r="N8106" s="3"/>
      <c r="AW8106" s="7"/>
      <c r="AX8106" s="7"/>
    </row>
    <row r="8107" spans="14:50" x14ac:dyDescent="0.25">
      <c r="N8107" s="3"/>
      <c r="AW8107" s="7"/>
      <c r="AX8107" s="7"/>
    </row>
    <row r="8108" spans="14:50" x14ac:dyDescent="0.25">
      <c r="N8108" s="3"/>
      <c r="AW8108" s="7"/>
      <c r="AX8108" s="7"/>
    </row>
    <row r="8109" spans="14:50" x14ac:dyDescent="0.25">
      <c r="N8109" s="3"/>
      <c r="AW8109" s="7"/>
      <c r="AX8109" s="7"/>
    </row>
    <row r="8110" spans="14:50" x14ac:dyDescent="0.25">
      <c r="N8110" s="3"/>
      <c r="AW8110" s="7"/>
      <c r="AX8110" s="7"/>
    </row>
    <row r="8111" spans="14:50" x14ac:dyDescent="0.25">
      <c r="N8111" s="3"/>
      <c r="AW8111" s="7"/>
      <c r="AX8111" s="7"/>
    </row>
    <row r="8112" spans="14:50" x14ac:dyDescent="0.25">
      <c r="N8112" s="3"/>
      <c r="AW8112" s="7"/>
      <c r="AX8112" s="7"/>
    </row>
    <row r="8113" spans="14:50" x14ac:dyDescent="0.25">
      <c r="N8113" s="3"/>
      <c r="AW8113" s="7"/>
      <c r="AX8113" s="7"/>
    </row>
    <row r="8114" spans="14:50" x14ac:dyDescent="0.25">
      <c r="N8114" s="3"/>
      <c r="AW8114" s="7"/>
      <c r="AX8114" s="7"/>
    </row>
    <row r="8115" spans="14:50" x14ac:dyDescent="0.25">
      <c r="N8115" s="3"/>
      <c r="AW8115" s="7"/>
      <c r="AX8115" s="7"/>
    </row>
    <row r="8116" spans="14:50" x14ac:dyDescent="0.25">
      <c r="N8116" s="3"/>
      <c r="AW8116" s="7"/>
      <c r="AX8116" s="7"/>
    </row>
    <row r="8117" spans="14:50" x14ac:dyDescent="0.25">
      <c r="N8117" s="3"/>
      <c r="AW8117" s="7"/>
      <c r="AX8117" s="7"/>
    </row>
    <row r="8118" spans="14:50" x14ac:dyDescent="0.25">
      <c r="N8118" s="3"/>
      <c r="AW8118" s="7"/>
      <c r="AX8118" s="7"/>
    </row>
    <row r="8119" spans="14:50" x14ac:dyDescent="0.25">
      <c r="N8119" s="3"/>
      <c r="AW8119" s="7"/>
      <c r="AX8119" s="7"/>
    </row>
    <row r="8120" spans="14:50" x14ac:dyDescent="0.25">
      <c r="N8120" s="3"/>
      <c r="AW8120" s="7"/>
      <c r="AX8120" s="7"/>
    </row>
    <row r="8121" spans="14:50" x14ac:dyDescent="0.25">
      <c r="N8121" s="3"/>
      <c r="AW8121" s="7"/>
      <c r="AX8121" s="7"/>
    </row>
    <row r="8122" spans="14:50" x14ac:dyDescent="0.25">
      <c r="N8122" s="3"/>
      <c r="AW8122" s="7"/>
      <c r="AX8122" s="7"/>
    </row>
    <row r="8123" spans="14:50" x14ac:dyDescent="0.25">
      <c r="N8123" s="3"/>
      <c r="AW8123" s="7"/>
      <c r="AX8123" s="7"/>
    </row>
    <row r="8124" spans="14:50" x14ac:dyDescent="0.25">
      <c r="N8124" s="3"/>
      <c r="AW8124" s="7"/>
      <c r="AX8124" s="7"/>
    </row>
    <row r="8125" spans="14:50" x14ac:dyDescent="0.25">
      <c r="N8125" s="3"/>
      <c r="AW8125" s="7"/>
      <c r="AX8125" s="7"/>
    </row>
    <row r="8126" spans="14:50" x14ac:dyDescent="0.25">
      <c r="N8126" s="3"/>
      <c r="AW8126" s="7"/>
      <c r="AX8126" s="7"/>
    </row>
    <row r="8127" spans="14:50" x14ac:dyDescent="0.25">
      <c r="N8127" s="3"/>
      <c r="AW8127" s="7"/>
      <c r="AX8127" s="7"/>
    </row>
    <row r="8128" spans="14:50" x14ac:dyDescent="0.25">
      <c r="N8128" s="3"/>
      <c r="AW8128" s="7"/>
      <c r="AX8128" s="7"/>
    </row>
    <row r="8129" spans="14:50" x14ac:dyDescent="0.25">
      <c r="N8129" s="3"/>
      <c r="AW8129" s="7"/>
      <c r="AX8129" s="7"/>
    </row>
    <row r="8130" spans="14:50" x14ac:dyDescent="0.25">
      <c r="N8130" s="3"/>
      <c r="AW8130" s="7"/>
      <c r="AX8130" s="7"/>
    </row>
    <row r="8131" spans="14:50" x14ac:dyDescent="0.25">
      <c r="N8131" s="3"/>
      <c r="AW8131" s="7"/>
      <c r="AX8131" s="7"/>
    </row>
    <row r="8132" spans="14:50" x14ac:dyDescent="0.25">
      <c r="N8132" s="3"/>
      <c r="AW8132" s="7"/>
      <c r="AX8132" s="7"/>
    </row>
    <row r="8133" spans="14:50" x14ac:dyDescent="0.25">
      <c r="N8133" s="3"/>
      <c r="AW8133" s="7"/>
      <c r="AX8133" s="7"/>
    </row>
    <row r="8134" spans="14:50" x14ac:dyDescent="0.25">
      <c r="N8134" s="3"/>
      <c r="AW8134" s="7"/>
      <c r="AX8134" s="7"/>
    </row>
    <row r="8135" spans="14:50" x14ac:dyDescent="0.25">
      <c r="N8135" s="3"/>
      <c r="AW8135" s="7"/>
      <c r="AX8135" s="7"/>
    </row>
    <row r="8136" spans="14:50" x14ac:dyDescent="0.25">
      <c r="N8136" s="3"/>
      <c r="AW8136" s="7"/>
      <c r="AX8136" s="7"/>
    </row>
    <row r="8137" spans="14:50" x14ac:dyDescent="0.25">
      <c r="N8137" s="3"/>
      <c r="AW8137" s="7"/>
      <c r="AX8137" s="7"/>
    </row>
    <row r="8138" spans="14:50" x14ac:dyDescent="0.25">
      <c r="N8138" s="3"/>
      <c r="AW8138" s="7"/>
      <c r="AX8138" s="7"/>
    </row>
    <row r="8139" spans="14:50" x14ac:dyDescent="0.25">
      <c r="N8139" s="3"/>
      <c r="AW8139" s="7"/>
      <c r="AX8139" s="7"/>
    </row>
    <row r="8140" spans="14:50" x14ac:dyDescent="0.25">
      <c r="N8140" s="3"/>
      <c r="AW8140" s="7"/>
      <c r="AX8140" s="7"/>
    </row>
    <row r="8141" spans="14:50" x14ac:dyDescent="0.25">
      <c r="N8141" s="3"/>
      <c r="AW8141" s="7"/>
      <c r="AX8141" s="7"/>
    </row>
    <row r="8142" spans="14:50" x14ac:dyDescent="0.25">
      <c r="N8142" s="3"/>
      <c r="AW8142" s="7"/>
      <c r="AX8142" s="7"/>
    </row>
    <row r="8143" spans="14:50" x14ac:dyDescent="0.25">
      <c r="N8143" s="3"/>
      <c r="AW8143" s="7"/>
      <c r="AX8143" s="7"/>
    </row>
    <row r="8144" spans="14:50" x14ac:dyDescent="0.25">
      <c r="N8144" s="3"/>
      <c r="AW8144" s="7"/>
      <c r="AX8144" s="7"/>
    </row>
    <row r="8145" spans="14:50" x14ac:dyDescent="0.25">
      <c r="N8145" s="3"/>
      <c r="AW8145" s="7"/>
      <c r="AX8145" s="7"/>
    </row>
    <row r="8146" spans="14:50" x14ac:dyDescent="0.25">
      <c r="N8146" s="3"/>
      <c r="AW8146" s="7"/>
      <c r="AX8146" s="7"/>
    </row>
    <row r="8147" spans="14:50" x14ac:dyDescent="0.25">
      <c r="N8147" s="3"/>
      <c r="AW8147" s="7"/>
      <c r="AX8147" s="7"/>
    </row>
    <row r="8148" spans="14:50" x14ac:dyDescent="0.25">
      <c r="N8148" s="3"/>
      <c r="AW8148" s="7"/>
      <c r="AX8148" s="7"/>
    </row>
    <row r="8149" spans="14:50" x14ac:dyDescent="0.25">
      <c r="N8149" s="3"/>
      <c r="AW8149" s="7"/>
      <c r="AX8149" s="7"/>
    </row>
    <row r="8150" spans="14:50" x14ac:dyDescent="0.25">
      <c r="N8150" s="3"/>
      <c r="AW8150" s="7"/>
      <c r="AX8150" s="7"/>
    </row>
    <row r="8151" spans="14:50" x14ac:dyDescent="0.25">
      <c r="N8151" s="3"/>
      <c r="AW8151" s="7"/>
      <c r="AX8151" s="7"/>
    </row>
    <row r="8152" spans="14:50" x14ac:dyDescent="0.25">
      <c r="N8152" s="3"/>
      <c r="AW8152" s="7"/>
      <c r="AX8152" s="7"/>
    </row>
    <row r="8153" spans="14:50" x14ac:dyDescent="0.25">
      <c r="N8153" s="3"/>
      <c r="AW8153" s="7"/>
      <c r="AX8153" s="7"/>
    </row>
    <row r="8154" spans="14:50" x14ac:dyDescent="0.25">
      <c r="N8154" s="3"/>
      <c r="AW8154" s="7"/>
      <c r="AX8154" s="7"/>
    </row>
    <row r="8155" spans="14:50" x14ac:dyDescent="0.25">
      <c r="N8155" s="3"/>
      <c r="AW8155" s="7"/>
      <c r="AX8155" s="7"/>
    </row>
    <row r="8156" spans="14:50" x14ac:dyDescent="0.25">
      <c r="N8156" s="3"/>
      <c r="AW8156" s="7"/>
      <c r="AX8156" s="7"/>
    </row>
    <row r="8157" spans="14:50" x14ac:dyDescent="0.25">
      <c r="N8157" s="3"/>
      <c r="AW8157" s="7"/>
      <c r="AX8157" s="7"/>
    </row>
    <row r="8158" spans="14:50" x14ac:dyDescent="0.25">
      <c r="N8158" s="3"/>
      <c r="AW8158" s="7"/>
      <c r="AX8158" s="7"/>
    </row>
    <row r="8159" spans="14:50" x14ac:dyDescent="0.25">
      <c r="N8159" s="3"/>
      <c r="AW8159" s="7"/>
      <c r="AX8159" s="7"/>
    </row>
    <row r="8160" spans="14:50" x14ac:dyDescent="0.25">
      <c r="N8160" s="3"/>
      <c r="AW8160" s="7"/>
      <c r="AX8160" s="7"/>
    </row>
    <row r="8161" spans="14:50" x14ac:dyDescent="0.25">
      <c r="N8161" s="3"/>
      <c r="AW8161" s="7"/>
      <c r="AX8161" s="7"/>
    </row>
    <row r="8162" spans="14:50" x14ac:dyDescent="0.25">
      <c r="N8162" s="3"/>
      <c r="AW8162" s="7"/>
      <c r="AX8162" s="7"/>
    </row>
    <row r="8163" spans="14:50" x14ac:dyDescent="0.25">
      <c r="N8163" s="3"/>
      <c r="AW8163" s="7"/>
      <c r="AX8163" s="7"/>
    </row>
    <row r="8164" spans="14:50" x14ac:dyDescent="0.25">
      <c r="N8164" s="3"/>
      <c r="AW8164" s="7"/>
      <c r="AX8164" s="7"/>
    </row>
    <row r="8165" spans="14:50" x14ac:dyDescent="0.25">
      <c r="N8165" s="3"/>
      <c r="AW8165" s="7"/>
      <c r="AX8165" s="7"/>
    </row>
    <row r="8166" spans="14:50" x14ac:dyDescent="0.25">
      <c r="N8166" s="3"/>
      <c r="AW8166" s="7"/>
      <c r="AX8166" s="7"/>
    </row>
    <row r="8167" spans="14:50" x14ac:dyDescent="0.25">
      <c r="N8167" s="3"/>
      <c r="AW8167" s="7"/>
      <c r="AX8167" s="7"/>
    </row>
    <row r="8168" spans="14:50" x14ac:dyDescent="0.25">
      <c r="N8168" s="3"/>
      <c r="AW8168" s="7"/>
      <c r="AX8168" s="7"/>
    </row>
    <row r="8169" spans="14:50" x14ac:dyDescent="0.25">
      <c r="N8169" s="3"/>
      <c r="AW8169" s="7"/>
      <c r="AX8169" s="7"/>
    </row>
    <row r="8170" spans="14:50" x14ac:dyDescent="0.25">
      <c r="N8170" s="3"/>
      <c r="AW8170" s="7"/>
      <c r="AX8170" s="7"/>
    </row>
    <row r="8171" spans="14:50" x14ac:dyDescent="0.25">
      <c r="N8171" s="3"/>
      <c r="AW8171" s="7"/>
      <c r="AX8171" s="7"/>
    </row>
    <row r="8172" spans="14:50" x14ac:dyDescent="0.25">
      <c r="N8172" s="3"/>
      <c r="AW8172" s="7"/>
      <c r="AX8172" s="7"/>
    </row>
    <row r="8173" spans="14:50" x14ac:dyDescent="0.25">
      <c r="N8173" s="3"/>
      <c r="AW8173" s="7"/>
      <c r="AX8173" s="7"/>
    </row>
    <row r="8174" spans="14:50" x14ac:dyDescent="0.25">
      <c r="N8174" s="3"/>
      <c r="AW8174" s="7"/>
      <c r="AX8174" s="7"/>
    </row>
    <row r="8175" spans="14:50" x14ac:dyDescent="0.25">
      <c r="N8175" s="3"/>
      <c r="AW8175" s="7"/>
      <c r="AX8175" s="7"/>
    </row>
    <row r="8176" spans="14:50" x14ac:dyDescent="0.25">
      <c r="N8176" s="3"/>
      <c r="AW8176" s="7"/>
      <c r="AX8176" s="7"/>
    </row>
    <row r="8177" spans="14:50" x14ac:dyDescent="0.25">
      <c r="N8177" s="3"/>
      <c r="AW8177" s="7"/>
      <c r="AX8177" s="7"/>
    </row>
    <row r="8178" spans="14:50" x14ac:dyDescent="0.25">
      <c r="N8178" s="3"/>
      <c r="AW8178" s="7"/>
      <c r="AX8178" s="7"/>
    </row>
    <row r="8179" spans="14:50" x14ac:dyDescent="0.25">
      <c r="N8179" s="3"/>
      <c r="AW8179" s="7"/>
      <c r="AX8179" s="7"/>
    </row>
    <row r="8180" spans="14:50" x14ac:dyDescent="0.25">
      <c r="N8180" s="3"/>
      <c r="AW8180" s="7"/>
      <c r="AX8180" s="7"/>
    </row>
    <row r="8181" spans="14:50" x14ac:dyDescent="0.25">
      <c r="N8181" s="3"/>
      <c r="AW8181" s="7"/>
      <c r="AX8181" s="7"/>
    </row>
    <row r="8182" spans="14:50" x14ac:dyDescent="0.25">
      <c r="N8182" s="3"/>
      <c r="AW8182" s="7"/>
      <c r="AX8182" s="7"/>
    </row>
    <row r="8183" spans="14:50" x14ac:dyDescent="0.25">
      <c r="N8183" s="3"/>
      <c r="AW8183" s="7"/>
      <c r="AX8183" s="7"/>
    </row>
    <row r="8184" spans="14:50" x14ac:dyDescent="0.25">
      <c r="N8184" s="3"/>
      <c r="AW8184" s="7"/>
      <c r="AX8184" s="7"/>
    </row>
    <row r="8185" spans="14:50" x14ac:dyDescent="0.25">
      <c r="N8185" s="3"/>
      <c r="AW8185" s="7"/>
      <c r="AX8185" s="7"/>
    </row>
    <row r="8186" spans="14:50" x14ac:dyDescent="0.25">
      <c r="N8186" s="3"/>
      <c r="AW8186" s="7"/>
      <c r="AX8186" s="7"/>
    </row>
    <row r="8187" spans="14:50" x14ac:dyDescent="0.25">
      <c r="N8187" s="3"/>
      <c r="AW8187" s="7"/>
      <c r="AX8187" s="7"/>
    </row>
    <row r="8188" spans="14:50" x14ac:dyDescent="0.25">
      <c r="N8188" s="3"/>
      <c r="AW8188" s="7"/>
      <c r="AX8188" s="7"/>
    </row>
    <row r="8189" spans="14:50" x14ac:dyDescent="0.25">
      <c r="N8189" s="3"/>
      <c r="AW8189" s="7"/>
      <c r="AX8189" s="7"/>
    </row>
    <row r="8190" spans="14:50" x14ac:dyDescent="0.25">
      <c r="N8190" s="3"/>
      <c r="AW8190" s="7"/>
      <c r="AX8190" s="7"/>
    </row>
    <row r="8191" spans="14:50" x14ac:dyDescent="0.25">
      <c r="N8191" s="3"/>
      <c r="AW8191" s="7"/>
      <c r="AX8191" s="7"/>
    </row>
    <row r="8192" spans="14:50" x14ac:dyDescent="0.25">
      <c r="N8192" s="3"/>
      <c r="AW8192" s="7"/>
      <c r="AX8192" s="7"/>
    </row>
    <row r="8193" spans="14:50" x14ac:dyDescent="0.25">
      <c r="N8193" s="3"/>
      <c r="AW8193" s="7"/>
      <c r="AX8193" s="7"/>
    </row>
    <row r="8194" spans="14:50" x14ac:dyDescent="0.25">
      <c r="N8194" s="3"/>
      <c r="AW8194" s="7"/>
      <c r="AX8194" s="7"/>
    </row>
    <row r="8195" spans="14:50" x14ac:dyDescent="0.25">
      <c r="N8195" s="3"/>
      <c r="AW8195" s="7"/>
      <c r="AX8195" s="7"/>
    </row>
    <row r="8196" spans="14:50" x14ac:dyDescent="0.25">
      <c r="N8196" s="3"/>
      <c r="AW8196" s="7"/>
      <c r="AX8196" s="7"/>
    </row>
    <row r="8197" spans="14:50" x14ac:dyDescent="0.25">
      <c r="N8197" s="3"/>
      <c r="AW8197" s="7"/>
      <c r="AX8197" s="7"/>
    </row>
    <row r="8198" spans="14:50" x14ac:dyDescent="0.25">
      <c r="N8198" s="3"/>
      <c r="AW8198" s="7"/>
      <c r="AX8198" s="7"/>
    </row>
    <row r="8199" spans="14:50" x14ac:dyDescent="0.25">
      <c r="N8199" s="3"/>
      <c r="AW8199" s="7"/>
      <c r="AX8199" s="7"/>
    </row>
    <row r="8200" spans="14:50" x14ac:dyDescent="0.25">
      <c r="N8200" s="3"/>
      <c r="AW8200" s="7"/>
      <c r="AX8200" s="7"/>
    </row>
    <row r="8201" spans="14:50" x14ac:dyDescent="0.25">
      <c r="N8201" s="3"/>
      <c r="AW8201" s="7"/>
      <c r="AX8201" s="7"/>
    </row>
    <row r="8202" spans="14:50" x14ac:dyDescent="0.25">
      <c r="N8202" s="3"/>
      <c r="AW8202" s="7"/>
      <c r="AX8202" s="7"/>
    </row>
    <row r="8203" spans="14:50" x14ac:dyDescent="0.25">
      <c r="N8203" s="3"/>
      <c r="AW8203" s="7"/>
      <c r="AX8203" s="7"/>
    </row>
    <row r="8204" spans="14:50" x14ac:dyDescent="0.25">
      <c r="N8204" s="3"/>
      <c r="AW8204" s="7"/>
      <c r="AX8204" s="7"/>
    </row>
    <row r="8205" spans="14:50" x14ac:dyDescent="0.25">
      <c r="N8205" s="3"/>
      <c r="AW8205" s="7"/>
      <c r="AX8205" s="7"/>
    </row>
    <row r="8206" spans="14:50" x14ac:dyDescent="0.25">
      <c r="N8206" s="3"/>
      <c r="AW8206" s="7"/>
      <c r="AX8206" s="7"/>
    </row>
    <row r="8207" spans="14:50" x14ac:dyDescent="0.25">
      <c r="N8207" s="3"/>
      <c r="AW8207" s="7"/>
      <c r="AX8207" s="7"/>
    </row>
    <row r="8208" spans="14:50" x14ac:dyDescent="0.25">
      <c r="N8208" s="3"/>
      <c r="AW8208" s="7"/>
      <c r="AX8208" s="7"/>
    </row>
    <row r="8209" spans="14:50" x14ac:dyDescent="0.25">
      <c r="N8209" s="3"/>
      <c r="AW8209" s="7"/>
      <c r="AX8209" s="7"/>
    </row>
    <row r="8210" spans="14:50" x14ac:dyDescent="0.25">
      <c r="N8210" s="3"/>
      <c r="AW8210" s="7"/>
      <c r="AX8210" s="7"/>
    </row>
    <row r="8211" spans="14:50" x14ac:dyDescent="0.25">
      <c r="N8211" s="3"/>
      <c r="AW8211" s="7"/>
      <c r="AX8211" s="7"/>
    </row>
    <row r="8212" spans="14:50" x14ac:dyDescent="0.25">
      <c r="N8212" s="3"/>
      <c r="AW8212" s="7"/>
      <c r="AX8212" s="7"/>
    </row>
    <row r="8213" spans="14:50" x14ac:dyDescent="0.25">
      <c r="N8213" s="3"/>
      <c r="AW8213" s="7"/>
      <c r="AX8213" s="7"/>
    </row>
    <row r="8214" spans="14:50" x14ac:dyDescent="0.25">
      <c r="N8214" s="3"/>
      <c r="AW8214" s="7"/>
      <c r="AX8214" s="7"/>
    </row>
    <row r="8215" spans="14:50" x14ac:dyDescent="0.25">
      <c r="N8215" s="3"/>
      <c r="AW8215" s="7"/>
      <c r="AX8215" s="7"/>
    </row>
    <row r="8216" spans="14:50" x14ac:dyDescent="0.25">
      <c r="N8216" s="3"/>
      <c r="AW8216" s="7"/>
      <c r="AX8216" s="7"/>
    </row>
    <row r="8217" spans="14:50" x14ac:dyDescent="0.25">
      <c r="N8217" s="3"/>
      <c r="AW8217" s="7"/>
      <c r="AX8217" s="7"/>
    </row>
    <row r="8218" spans="14:50" x14ac:dyDescent="0.25">
      <c r="N8218" s="3"/>
      <c r="AW8218" s="7"/>
      <c r="AX8218" s="7"/>
    </row>
    <row r="8219" spans="14:50" x14ac:dyDescent="0.25">
      <c r="N8219" s="3"/>
      <c r="AW8219" s="7"/>
      <c r="AX8219" s="7"/>
    </row>
    <row r="8220" spans="14:50" x14ac:dyDescent="0.25">
      <c r="N8220" s="3"/>
      <c r="AW8220" s="7"/>
      <c r="AX8220" s="7"/>
    </row>
    <row r="8221" spans="14:50" x14ac:dyDescent="0.25">
      <c r="N8221" s="3"/>
      <c r="AW8221" s="7"/>
      <c r="AX8221" s="7"/>
    </row>
    <row r="8222" spans="14:50" x14ac:dyDescent="0.25">
      <c r="N8222" s="3"/>
      <c r="AW8222" s="7"/>
      <c r="AX8222" s="7"/>
    </row>
    <row r="8223" spans="14:50" x14ac:dyDescent="0.25">
      <c r="N8223" s="3"/>
      <c r="AW8223" s="7"/>
      <c r="AX8223" s="7"/>
    </row>
    <row r="8224" spans="14:50" x14ac:dyDescent="0.25">
      <c r="N8224" s="3"/>
      <c r="AW8224" s="7"/>
      <c r="AX8224" s="7"/>
    </row>
    <row r="8225" spans="14:50" x14ac:dyDescent="0.25">
      <c r="N8225" s="3"/>
      <c r="AW8225" s="7"/>
      <c r="AX8225" s="7"/>
    </row>
    <row r="8226" spans="14:50" x14ac:dyDescent="0.25">
      <c r="N8226" s="3"/>
      <c r="AW8226" s="7"/>
      <c r="AX8226" s="7"/>
    </row>
    <row r="8227" spans="14:50" x14ac:dyDescent="0.25">
      <c r="N8227" s="3"/>
      <c r="AW8227" s="7"/>
      <c r="AX8227" s="7"/>
    </row>
    <row r="8228" spans="14:50" x14ac:dyDescent="0.25">
      <c r="N8228" s="3"/>
      <c r="AW8228" s="7"/>
      <c r="AX8228" s="7"/>
    </row>
    <row r="8229" spans="14:50" x14ac:dyDescent="0.25">
      <c r="N8229" s="3"/>
      <c r="AW8229" s="7"/>
      <c r="AX8229" s="7"/>
    </row>
    <row r="8230" spans="14:50" x14ac:dyDescent="0.25">
      <c r="N8230" s="3"/>
      <c r="AW8230" s="7"/>
      <c r="AX8230" s="7"/>
    </row>
    <row r="8231" spans="14:50" x14ac:dyDescent="0.25">
      <c r="N8231" s="3"/>
      <c r="AW8231" s="7"/>
      <c r="AX8231" s="7"/>
    </row>
    <row r="8232" spans="14:50" x14ac:dyDescent="0.25">
      <c r="N8232" s="3"/>
      <c r="AW8232" s="7"/>
      <c r="AX8232" s="7"/>
    </row>
    <row r="8233" spans="14:50" x14ac:dyDescent="0.25">
      <c r="N8233" s="3"/>
      <c r="AW8233" s="7"/>
      <c r="AX8233" s="7"/>
    </row>
    <row r="8234" spans="14:50" x14ac:dyDescent="0.25">
      <c r="N8234" s="3"/>
      <c r="AW8234" s="7"/>
      <c r="AX8234" s="7"/>
    </row>
    <row r="8235" spans="14:50" x14ac:dyDescent="0.25">
      <c r="N8235" s="3"/>
      <c r="AW8235" s="7"/>
      <c r="AX8235" s="7"/>
    </row>
    <row r="8236" spans="14:50" x14ac:dyDescent="0.25">
      <c r="N8236" s="3"/>
      <c r="AW8236" s="7"/>
      <c r="AX8236" s="7"/>
    </row>
    <row r="8237" spans="14:50" x14ac:dyDescent="0.25">
      <c r="N8237" s="3"/>
      <c r="AW8237" s="7"/>
      <c r="AX8237" s="7"/>
    </row>
    <row r="8238" spans="14:50" x14ac:dyDescent="0.25">
      <c r="N8238" s="3"/>
      <c r="AW8238" s="7"/>
      <c r="AX8238" s="7"/>
    </row>
    <row r="8239" spans="14:50" x14ac:dyDescent="0.25">
      <c r="N8239" s="3"/>
      <c r="AW8239" s="7"/>
      <c r="AX8239" s="7"/>
    </row>
    <row r="8240" spans="14:50" x14ac:dyDescent="0.25">
      <c r="N8240" s="3"/>
      <c r="AW8240" s="7"/>
      <c r="AX8240" s="7"/>
    </row>
    <row r="8241" spans="14:50" x14ac:dyDescent="0.25">
      <c r="N8241" s="3"/>
      <c r="AW8241" s="7"/>
      <c r="AX8241" s="7"/>
    </row>
    <row r="8242" spans="14:50" x14ac:dyDescent="0.25">
      <c r="N8242" s="3"/>
      <c r="AW8242" s="7"/>
      <c r="AX8242" s="7"/>
    </row>
    <row r="8243" spans="14:50" x14ac:dyDescent="0.25">
      <c r="N8243" s="3"/>
      <c r="AW8243" s="7"/>
      <c r="AX8243" s="7"/>
    </row>
    <row r="8244" spans="14:50" x14ac:dyDescent="0.25">
      <c r="N8244" s="3"/>
      <c r="AW8244" s="7"/>
      <c r="AX8244" s="7"/>
    </row>
    <row r="8245" spans="14:50" x14ac:dyDescent="0.25">
      <c r="N8245" s="3"/>
      <c r="AW8245" s="7"/>
      <c r="AX8245" s="7"/>
    </row>
    <row r="8246" spans="14:50" x14ac:dyDescent="0.25">
      <c r="N8246" s="3"/>
      <c r="AW8246" s="7"/>
      <c r="AX8246" s="7"/>
    </row>
    <row r="8247" spans="14:50" x14ac:dyDescent="0.25">
      <c r="N8247" s="3"/>
      <c r="AW8247" s="7"/>
      <c r="AX8247" s="7"/>
    </row>
    <row r="8248" spans="14:50" x14ac:dyDescent="0.25">
      <c r="N8248" s="3"/>
      <c r="AW8248" s="7"/>
      <c r="AX8248" s="7"/>
    </row>
    <row r="8249" spans="14:50" x14ac:dyDescent="0.25">
      <c r="N8249" s="3"/>
      <c r="AW8249" s="7"/>
      <c r="AX8249" s="7"/>
    </row>
    <row r="8250" spans="14:50" x14ac:dyDescent="0.25">
      <c r="N8250" s="3"/>
      <c r="AW8250" s="7"/>
      <c r="AX8250" s="7"/>
    </row>
    <row r="8251" spans="14:50" x14ac:dyDescent="0.25">
      <c r="N8251" s="3"/>
      <c r="AW8251" s="7"/>
      <c r="AX8251" s="7"/>
    </row>
    <row r="8252" spans="14:50" x14ac:dyDescent="0.25">
      <c r="N8252" s="3"/>
      <c r="AW8252" s="7"/>
      <c r="AX8252" s="7"/>
    </row>
    <row r="8253" spans="14:50" x14ac:dyDescent="0.25">
      <c r="N8253" s="3"/>
      <c r="AW8253" s="7"/>
      <c r="AX8253" s="7"/>
    </row>
    <row r="8254" spans="14:50" x14ac:dyDescent="0.25">
      <c r="N8254" s="3"/>
      <c r="AW8254" s="7"/>
      <c r="AX8254" s="7"/>
    </row>
    <row r="8255" spans="14:50" x14ac:dyDescent="0.25">
      <c r="N8255" s="3"/>
      <c r="AW8255" s="7"/>
      <c r="AX8255" s="7"/>
    </row>
    <row r="8256" spans="14:50" x14ac:dyDescent="0.25">
      <c r="N8256" s="3"/>
      <c r="AW8256" s="7"/>
      <c r="AX8256" s="7"/>
    </row>
    <row r="8257" spans="14:50" x14ac:dyDescent="0.25">
      <c r="N8257" s="3"/>
      <c r="AW8257" s="7"/>
      <c r="AX8257" s="7"/>
    </row>
    <row r="8258" spans="14:50" x14ac:dyDescent="0.25">
      <c r="N8258" s="3"/>
      <c r="AW8258" s="7"/>
      <c r="AX8258" s="7"/>
    </row>
    <row r="8259" spans="14:50" x14ac:dyDescent="0.25">
      <c r="N8259" s="3"/>
      <c r="AW8259" s="7"/>
      <c r="AX8259" s="7"/>
    </row>
    <row r="8260" spans="14:50" x14ac:dyDescent="0.25">
      <c r="N8260" s="3"/>
      <c r="AW8260" s="7"/>
      <c r="AX8260" s="7"/>
    </row>
    <row r="8261" spans="14:50" x14ac:dyDescent="0.25">
      <c r="N8261" s="3"/>
      <c r="AW8261" s="7"/>
      <c r="AX8261" s="7"/>
    </row>
    <row r="8262" spans="14:50" x14ac:dyDescent="0.25">
      <c r="N8262" s="3"/>
      <c r="AW8262" s="7"/>
      <c r="AX8262" s="7"/>
    </row>
    <row r="8263" spans="14:50" x14ac:dyDescent="0.25">
      <c r="N8263" s="3"/>
      <c r="AW8263" s="7"/>
      <c r="AX8263" s="7"/>
    </row>
    <row r="8264" spans="14:50" x14ac:dyDescent="0.25">
      <c r="N8264" s="3"/>
      <c r="AW8264" s="7"/>
      <c r="AX8264" s="7"/>
    </row>
    <row r="8265" spans="14:50" x14ac:dyDescent="0.25">
      <c r="N8265" s="3"/>
      <c r="AW8265" s="7"/>
      <c r="AX8265" s="7"/>
    </row>
    <row r="8266" spans="14:50" x14ac:dyDescent="0.25">
      <c r="N8266" s="3"/>
      <c r="AW8266" s="7"/>
      <c r="AX8266" s="7"/>
    </row>
    <row r="8267" spans="14:50" x14ac:dyDescent="0.25">
      <c r="N8267" s="3"/>
      <c r="AW8267" s="7"/>
      <c r="AX8267" s="7"/>
    </row>
    <row r="8268" spans="14:50" x14ac:dyDescent="0.25">
      <c r="N8268" s="3"/>
      <c r="AW8268" s="7"/>
      <c r="AX8268" s="7"/>
    </row>
    <row r="8269" spans="14:50" x14ac:dyDescent="0.25">
      <c r="N8269" s="3"/>
      <c r="AW8269" s="7"/>
      <c r="AX8269" s="7"/>
    </row>
    <row r="8270" spans="14:50" x14ac:dyDescent="0.25">
      <c r="N8270" s="3"/>
      <c r="AW8270" s="7"/>
      <c r="AX8270" s="7"/>
    </row>
    <row r="8271" spans="14:50" x14ac:dyDescent="0.25">
      <c r="N8271" s="3"/>
      <c r="AW8271" s="7"/>
      <c r="AX8271" s="7"/>
    </row>
    <row r="8272" spans="14:50" x14ac:dyDescent="0.25">
      <c r="N8272" s="3"/>
      <c r="AW8272" s="7"/>
      <c r="AX8272" s="7"/>
    </row>
    <row r="8273" spans="14:50" x14ac:dyDescent="0.25">
      <c r="N8273" s="3"/>
      <c r="AW8273" s="7"/>
      <c r="AX8273" s="7"/>
    </row>
    <row r="8274" spans="14:50" x14ac:dyDescent="0.25">
      <c r="N8274" s="3"/>
      <c r="AW8274" s="7"/>
      <c r="AX8274" s="7"/>
    </row>
    <row r="8275" spans="14:50" x14ac:dyDescent="0.25">
      <c r="N8275" s="3"/>
      <c r="AW8275" s="7"/>
      <c r="AX8275" s="7"/>
    </row>
    <row r="8276" spans="14:50" x14ac:dyDescent="0.25">
      <c r="N8276" s="3"/>
      <c r="AW8276" s="7"/>
      <c r="AX8276" s="7"/>
    </row>
    <row r="8277" spans="14:50" x14ac:dyDescent="0.25">
      <c r="N8277" s="3"/>
      <c r="AW8277" s="7"/>
      <c r="AX8277" s="7"/>
    </row>
    <row r="8278" spans="14:50" x14ac:dyDescent="0.25">
      <c r="N8278" s="3"/>
      <c r="AW8278" s="7"/>
      <c r="AX8278" s="7"/>
    </row>
    <row r="8279" spans="14:50" x14ac:dyDescent="0.25">
      <c r="N8279" s="3"/>
      <c r="AW8279" s="7"/>
      <c r="AX8279" s="7"/>
    </row>
    <row r="8280" spans="14:50" x14ac:dyDescent="0.25">
      <c r="N8280" s="3"/>
      <c r="AW8280" s="7"/>
      <c r="AX8280" s="7"/>
    </row>
    <row r="8281" spans="14:50" x14ac:dyDescent="0.25">
      <c r="N8281" s="3"/>
      <c r="AW8281" s="7"/>
      <c r="AX8281" s="7"/>
    </row>
    <row r="8282" spans="14:50" x14ac:dyDescent="0.25">
      <c r="N8282" s="3"/>
      <c r="AW8282" s="7"/>
      <c r="AX8282" s="7"/>
    </row>
    <row r="8283" spans="14:50" x14ac:dyDescent="0.25">
      <c r="N8283" s="3"/>
      <c r="AW8283" s="7"/>
      <c r="AX8283" s="7"/>
    </row>
    <row r="8284" spans="14:50" x14ac:dyDescent="0.25">
      <c r="N8284" s="3"/>
      <c r="AW8284" s="7"/>
      <c r="AX8284" s="7"/>
    </row>
    <row r="8285" spans="14:50" x14ac:dyDescent="0.25">
      <c r="N8285" s="3"/>
      <c r="AW8285" s="7"/>
      <c r="AX8285" s="7"/>
    </row>
    <row r="8286" spans="14:50" x14ac:dyDescent="0.25">
      <c r="N8286" s="3"/>
      <c r="AW8286" s="7"/>
      <c r="AX8286" s="7"/>
    </row>
    <row r="8287" spans="14:50" x14ac:dyDescent="0.25">
      <c r="N8287" s="3"/>
      <c r="AW8287" s="7"/>
      <c r="AX8287" s="7"/>
    </row>
    <row r="8288" spans="14:50" x14ac:dyDescent="0.25">
      <c r="N8288" s="3"/>
      <c r="AW8288" s="7"/>
      <c r="AX8288" s="7"/>
    </row>
    <row r="8289" spans="14:50" x14ac:dyDescent="0.25">
      <c r="N8289" s="3"/>
      <c r="AW8289" s="7"/>
      <c r="AX8289" s="7"/>
    </row>
    <row r="8290" spans="14:50" x14ac:dyDescent="0.25">
      <c r="N8290" s="3"/>
      <c r="AW8290" s="7"/>
      <c r="AX8290" s="7"/>
    </row>
    <row r="8291" spans="14:50" x14ac:dyDescent="0.25">
      <c r="N8291" s="3"/>
      <c r="AW8291" s="7"/>
      <c r="AX8291" s="7"/>
    </row>
    <row r="8292" spans="14:50" x14ac:dyDescent="0.25">
      <c r="N8292" s="3"/>
      <c r="AW8292" s="7"/>
      <c r="AX8292" s="7"/>
    </row>
    <row r="8293" spans="14:50" x14ac:dyDescent="0.25">
      <c r="N8293" s="3"/>
      <c r="AW8293" s="7"/>
      <c r="AX8293" s="7"/>
    </row>
    <row r="8294" spans="14:50" x14ac:dyDescent="0.25">
      <c r="N8294" s="3"/>
      <c r="AW8294" s="7"/>
      <c r="AX8294" s="7"/>
    </row>
    <row r="8295" spans="14:50" x14ac:dyDescent="0.25">
      <c r="N8295" s="3"/>
      <c r="AW8295" s="7"/>
      <c r="AX8295" s="7"/>
    </row>
    <row r="8296" spans="14:50" x14ac:dyDescent="0.25">
      <c r="N8296" s="3"/>
      <c r="AW8296" s="7"/>
      <c r="AX8296" s="7"/>
    </row>
    <row r="8297" spans="14:50" x14ac:dyDescent="0.25">
      <c r="N8297" s="3"/>
      <c r="AW8297" s="7"/>
      <c r="AX8297" s="7"/>
    </row>
    <row r="8298" spans="14:50" x14ac:dyDescent="0.25">
      <c r="N8298" s="3"/>
      <c r="AW8298" s="7"/>
      <c r="AX8298" s="7"/>
    </row>
    <row r="8299" spans="14:50" x14ac:dyDescent="0.25">
      <c r="N8299" s="3"/>
      <c r="AW8299" s="7"/>
      <c r="AX8299" s="7"/>
    </row>
    <row r="8300" spans="14:50" x14ac:dyDescent="0.25">
      <c r="N8300" s="3"/>
      <c r="AW8300" s="7"/>
      <c r="AX8300" s="7"/>
    </row>
    <row r="8301" spans="14:50" x14ac:dyDescent="0.25">
      <c r="N8301" s="3"/>
      <c r="AW8301" s="7"/>
      <c r="AX8301" s="7"/>
    </row>
    <row r="8302" spans="14:50" x14ac:dyDescent="0.25">
      <c r="N8302" s="3"/>
      <c r="AW8302" s="7"/>
      <c r="AX8302" s="7"/>
    </row>
    <row r="8303" spans="14:50" x14ac:dyDescent="0.25">
      <c r="N8303" s="3"/>
      <c r="AW8303" s="7"/>
      <c r="AX8303" s="7"/>
    </row>
    <row r="8304" spans="14:50" x14ac:dyDescent="0.25">
      <c r="N8304" s="3"/>
      <c r="AW8304" s="7"/>
      <c r="AX8304" s="7"/>
    </row>
    <row r="8305" spans="14:50" x14ac:dyDescent="0.25">
      <c r="N8305" s="3"/>
      <c r="AW8305" s="7"/>
      <c r="AX8305" s="7"/>
    </row>
    <row r="8306" spans="14:50" x14ac:dyDescent="0.25">
      <c r="N8306" s="3"/>
      <c r="AW8306" s="7"/>
      <c r="AX8306" s="7"/>
    </row>
    <row r="8307" spans="14:50" x14ac:dyDescent="0.25">
      <c r="N8307" s="3"/>
      <c r="AW8307" s="7"/>
      <c r="AX8307" s="7"/>
    </row>
    <row r="8308" spans="14:50" x14ac:dyDescent="0.25">
      <c r="N8308" s="3"/>
      <c r="AW8308" s="7"/>
      <c r="AX8308" s="7"/>
    </row>
    <row r="8309" spans="14:50" x14ac:dyDescent="0.25">
      <c r="N8309" s="3"/>
      <c r="AW8309" s="7"/>
      <c r="AX8309" s="7"/>
    </row>
    <row r="8310" spans="14:50" x14ac:dyDescent="0.25">
      <c r="N8310" s="3"/>
      <c r="AW8310" s="7"/>
      <c r="AX8310" s="7"/>
    </row>
    <row r="8311" spans="14:50" x14ac:dyDescent="0.25">
      <c r="N8311" s="3"/>
      <c r="AW8311" s="7"/>
      <c r="AX8311" s="7"/>
    </row>
    <row r="8312" spans="14:50" x14ac:dyDescent="0.25">
      <c r="N8312" s="3"/>
      <c r="AW8312" s="7"/>
      <c r="AX8312" s="7"/>
    </row>
    <row r="8313" spans="14:50" x14ac:dyDescent="0.25">
      <c r="N8313" s="3"/>
      <c r="AW8313" s="7"/>
      <c r="AX8313" s="7"/>
    </row>
    <row r="8314" spans="14:50" x14ac:dyDescent="0.25">
      <c r="N8314" s="3"/>
      <c r="AW8314" s="7"/>
      <c r="AX8314" s="7"/>
    </row>
    <row r="8315" spans="14:50" x14ac:dyDescent="0.25">
      <c r="N8315" s="3"/>
      <c r="AW8315" s="7"/>
      <c r="AX8315" s="7"/>
    </row>
    <row r="8316" spans="14:50" x14ac:dyDescent="0.25">
      <c r="N8316" s="3"/>
      <c r="AW8316" s="7"/>
      <c r="AX8316" s="7"/>
    </row>
    <row r="8317" spans="14:50" x14ac:dyDescent="0.25">
      <c r="N8317" s="3"/>
      <c r="AW8317" s="7"/>
      <c r="AX8317" s="7"/>
    </row>
    <row r="8318" spans="14:50" x14ac:dyDescent="0.25">
      <c r="N8318" s="3"/>
      <c r="AW8318" s="7"/>
      <c r="AX8318" s="7"/>
    </row>
    <row r="8319" spans="14:50" x14ac:dyDescent="0.25">
      <c r="N8319" s="3"/>
      <c r="AW8319" s="7"/>
      <c r="AX8319" s="7"/>
    </row>
    <row r="8320" spans="14:50" x14ac:dyDescent="0.25">
      <c r="N8320" s="3"/>
      <c r="AW8320" s="7"/>
      <c r="AX8320" s="7"/>
    </row>
    <row r="8321" spans="14:50" x14ac:dyDescent="0.25">
      <c r="N8321" s="3"/>
      <c r="AW8321" s="7"/>
      <c r="AX8321" s="7"/>
    </row>
    <row r="8322" spans="14:50" x14ac:dyDescent="0.25">
      <c r="N8322" s="3"/>
      <c r="AW8322" s="7"/>
      <c r="AX8322" s="7"/>
    </row>
    <row r="8323" spans="14:50" x14ac:dyDescent="0.25">
      <c r="N8323" s="3"/>
      <c r="AW8323" s="7"/>
      <c r="AX8323" s="7"/>
    </row>
    <row r="8324" spans="14:50" x14ac:dyDescent="0.25">
      <c r="N8324" s="3"/>
      <c r="AW8324" s="7"/>
      <c r="AX8324" s="7"/>
    </row>
    <row r="8325" spans="14:50" x14ac:dyDescent="0.25">
      <c r="N8325" s="3"/>
      <c r="AW8325" s="7"/>
      <c r="AX8325" s="7"/>
    </row>
    <row r="8326" spans="14:50" x14ac:dyDescent="0.25">
      <c r="N8326" s="3"/>
      <c r="AW8326" s="7"/>
      <c r="AX8326" s="7"/>
    </row>
    <row r="8327" spans="14:50" x14ac:dyDescent="0.25">
      <c r="N8327" s="3"/>
      <c r="AW8327" s="7"/>
      <c r="AX8327" s="7"/>
    </row>
    <row r="8328" spans="14:50" x14ac:dyDescent="0.25">
      <c r="N8328" s="3"/>
      <c r="AW8328" s="7"/>
      <c r="AX8328" s="7"/>
    </row>
    <row r="8329" spans="14:50" x14ac:dyDescent="0.25">
      <c r="N8329" s="3"/>
      <c r="AW8329" s="7"/>
      <c r="AX8329" s="7"/>
    </row>
    <row r="8330" spans="14:50" x14ac:dyDescent="0.25">
      <c r="N8330" s="3"/>
      <c r="AW8330" s="7"/>
      <c r="AX8330" s="7"/>
    </row>
    <row r="8331" spans="14:50" x14ac:dyDescent="0.25">
      <c r="N8331" s="3"/>
      <c r="AW8331" s="7"/>
      <c r="AX8331" s="7"/>
    </row>
    <row r="8332" spans="14:50" x14ac:dyDescent="0.25">
      <c r="N8332" s="3"/>
      <c r="AW8332" s="7"/>
      <c r="AX8332" s="7"/>
    </row>
    <row r="8333" spans="14:50" x14ac:dyDescent="0.25">
      <c r="N8333" s="3"/>
      <c r="AW8333" s="7"/>
      <c r="AX8333" s="7"/>
    </row>
    <row r="8334" spans="14:50" x14ac:dyDescent="0.25">
      <c r="N8334" s="3"/>
      <c r="AW8334" s="7"/>
      <c r="AX8334" s="7"/>
    </row>
    <row r="8335" spans="14:50" x14ac:dyDescent="0.25">
      <c r="N8335" s="3"/>
      <c r="AW8335" s="7"/>
      <c r="AX8335" s="7"/>
    </row>
    <row r="8336" spans="14:50" x14ac:dyDescent="0.25">
      <c r="N8336" s="3"/>
      <c r="AW8336" s="7"/>
      <c r="AX8336" s="7"/>
    </row>
    <row r="8337" spans="14:50" x14ac:dyDescent="0.25">
      <c r="N8337" s="3"/>
      <c r="AW8337" s="7"/>
      <c r="AX8337" s="7"/>
    </row>
    <row r="8338" spans="14:50" x14ac:dyDescent="0.25">
      <c r="N8338" s="3"/>
      <c r="AW8338" s="7"/>
      <c r="AX8338" s="7"/>
    </row>
    <row r="8339" spans="14:50" x14ac:dyDescent="0.25">
      <c r="N8339" s="3"/>
      <c r="AW8339" s="7"/>
      <c r="AX8339" s="7"/>
    </row>
    <row r="8340" spans="14:50" x14ac:dyDescent="0.25">
      <c r="N8340" s="3"/>
      <c r="AW8340" s="7"/>
      <c r="AX8340" s="7"/>
    </row>
    <row r="8341" spans="14:50" x14ac:dyDescent="0.25">
      <c r="N8341" s="3"/>
      <c r="AW8341" s="7"/>
      <c r="AX8341" s="7"/>
    </row>
    <row r="8342" spans="14:50" x14ac:dyDescent="0.25">
      <c r="N8342" s="3"/>
      <c r="AW8342" s="7"/>
      <c r="AX8342" s="7"/>
    </row>
    <row r="8343" spans="14:50" x14ac:dyDescent="0.25">
      <c r="N8343" s="3"/>
      <c r="AW8343" s="7"/>
      <c r="AX8343" s="7"/>
    </row>
    <row r="8344" spans="14:50" x14ac:dyDescent="0.25">
      <c r="N8344" s="3"/>
      <c r="AW8344" s="7"/>
      <c r="AX8344" s="7"/>
    </row>
    <row r="8345" spans="14:50" x14ac:dyDescent="0.25">
      <c r="N8345" s="3"/>
      <c r="AW8345" s="7"/>
      <c r="AX8345" s="7"/>
    </row>
    <row r="8346" spans="14:50" x14ac:dyDescent="0.25">
      <c r="N8346" s="3"/>
      <c r="AW8346" s="7"/>
      <c r="AX8346" s="7"/>
    </row>
    <row r="8347" spans="14:50" x14ac:dyDescent="0.25">
      <c r="N8347" s="3"/>
      <c r="AW8347" s="7"/>
      <c r="AX8347" s="7"/>
    </row>
    <row r="8348" spans="14:50" x14ac:dyDescent="0.25">
      <c r="N8348" s="3"/>
      <c r="AW8348" s="7"/>
      <c r="AX8348" s="7"/>
    </row>
    <row r="8349" spans="14:50" x14ac:dyDescent="0.25">
      <c r="N8349" s="3"/>
      <c r="AW8349" s="7"/>
      <c r="AX8349" s="7"/>
    </row>
    <row r="8350" spans="14:50" x14ac:dyDescent="0.25">
      <c r="N8350" s="3"/>
      <c r="AW8350" s="7"/>
      <c r="AX8350" s="7"/>
    </row>
    <row r="8351" spans="14:50" x14ac:dyDescent="0.25">
      <c r="N8351" s="3"/>
      <c r="AW8351" s="7"/>
      <c r="AX8351" s="7"/>
    </row>
    <row r="8352" spans="14:50" x14ac:dyDescent="0.25">
      <c r="N8352" s="3"/>
      <c r="AW8352" s="7"/>
      <c r="AX8352" s="7"/>
    </row>
    <row r="8353" spans="14:50" x14ac:dyDescent="0.25">
      <c r="N8353" s="3"/>
      <c r="AW8353" s="7"/>
      <c r="AX8353" s="7"/>
    </row>
    <row r="8354" spans="14:50" x14ac:dyDescent="0.25">
      <c r="N8354" s="3"/>
      <c r="AW8354" s="7"/>
      <c r="AX8354" s="7"/>
    </row>
    <row r="8355" spans="14:50" x14ac:dyDescent="0.25">
      <c r="N8355" s="3"/>
      <c r="AW8355" s="7"/>
      <c r="AX8355" s="7"/>
    </row>
    <row r="8356" spans="14:50" x14ac:dyDescent="0.25">
      <c r="N8356" s="3"/>
      <c r="AW8356" s="7"/>
      <c r="AX8356" s="7"/>
    </row>
    <row r="8357" spans="14:50" x14ac:dyDescent="0.25">
      <c r="N8357" s="3"/>
      <c r="AW8357" s="7"/>
      <c r="AX8357" s="7"/>
    </row>
    <row r="8358" spans="14:50" x14ac:dyDescent="0.25">
      <c r="N8358" s="3"/>
      <c r="AW8358" s="7"/>
      <c r="AX8358" s="7"/>
    </row>
    <row r="8359" spans="14:50" x14ac:dyDescent="0.25">
      <c r="N8359" s="3"/>
      <c r="AW8359" s="7"/>
      <c r="AX8359" s="7"/>
    </row>
    <row r="8360" spans="14:50" x14ac:dyDescent="0.25">
      <c r="N8360" s="3"/>
      <c r="AW8360" s="7"/>
      <c r="AX8360" s="7"/>
    </row>
    <row r="8361" spans="14:50" x14ac:dyDescent="0.25">
      <c r="N8361" s="3"/>
      <c r="AW8361" s="7"/>
      <c r="AX8361" s="7"/>
    </row>
    <row r="8362" spans="14:50" x14ac:dyDescent="0.25">
      <c r="N8362" s="3"/>
      <c r="AW8362" s="7"/>
      <c r="AX8362" s="7"/>
    </row>
    <row r="8363" spans="14:50" x14ac:dyDescent="0.25">
      <c r="N8363" s="3"/>
      <c r="AW8363" s="7"/>
      <c r="AX8363" s="7"/>
    </row>
    <row r="8364" spans="14:50" x14ac:dyDescent="0.25">
      <c r="N8364" s="3"/>
      <c r="AW8364" s="7"/>
      <c r="AX8364" s="7"/>
    </row>
    <row r="8365" spans="14:50" x14ac:dyDescent="0.25">
      <c r="N8365" s="3"/>
      <c r="AW8365" s="7"/>
      <c r="AX8365" s="7"/>
    </row>
    <row r="8366" spans="14:50" x14ac:dyDescent="0.25">
      <c r="N8366" s="3"/>
      <c r="AW8366" s="7"/>
      <c r="AX8366" s="7"/>
    </row>
    <row r="8367" spans="14:50" x14ac:dyDescent="0.25">
      <c r="N8367" s="3"/>
      <c r="AW8367" s="7"/>
      <c r="AX8367" s="7"/>
    </row>
    <row r="8368" spans="14:50" x14ac:dyDescent="0.25">
      <c r="N8368" s="3"/>
      <c r="AW8368" s="7"/>
      <c r="AX8368" s="7"/>
    </row>
    <row r="8369" spans="14:50" x14ac:dyDescent="0.25">
      <c r="N8369" s="3"/>
      <c r="AW8369" s="7"/>
      <c r="AX8369" s="7"/>
    </row>
    <row r="8370" spans="14:50" x14ac:dyDescent="0.25">
      <c r="N8370" s="3"/>
      <c r="AW8370" s="7"/>
      <c r="AX8370" s="7"/>
    </row>
    <row r="8371" spans="14:50" x14ac:dyDescent="0.25">
      <c r="N8371" s="3"/>
      <c r="AW8371" s="7"/>
      <c r="AX8371" s="7"/>
    </row>
    <row r="8372" spans="14:50" x14ac:dyDescent="0.25">
      <c r="N8372" s="3"/>
      <c r="AW8372" s="7"/>
      <c r="AX8372" s="7"/>
    </row>
    <row r="8373" spans="14:50" x14ac:dyDescent="0.25">
      <c r="N8373" s="3"/>
      <c r="AW8373" s="7"/>
      <c r="AX8373" s="7"/>
    </row>
    <row r="8374" spans="14:50" x14ac:dyDescent="0.25">
      <c r="N8374" s="3"/>
      <c r="AW8374" s="7"/>
      <c r="AX8374" s="7"/>
    </row>
    <row r="8375" spans="14:50" x14ac:dyDescent="0.25">
      <c r="N8375" s="3"/>
      <c r="AW8375" s="7"/>
      <c r="AX8375" s="7"/>
    </row>
    <row r="8376" spans="14:50" x14ac:dyDescent="0.25">
      <c r="N8376" s="3"/>
      <c r="AW8376" s="7"/>
      <c r="AX8376" s="7"/>
    </row>
    <row r="8377" spans="14:50" x14ac:dyDescent="0.25">
      <c r="N8377" s="3"/>
      <c r="AW8377" s="7"/>
      <c r="AX8377" s="7"/>
    </row>
    <row r="8378" spans="14:50" x14ac:dyDescent="0.25">
      <c r="N8378" s="3"/>
      <c r="AW8378" s="7"/>
      <c r="AX8378" s="7"/>
    </row>
    <row r="8379" spans="14:50" x14ac:dyDescent="0.25">
      <c r="N8379" s="3"/>
      <c r="AW8379" s="7"/>
      <c r="AX8379" s="7"/>
    </row>
    <row r="8380" spans="14:50" x14ac:dyDescent="0.25">
      <c r="N8380" s="3"/>
      <c r="AW8380" s="7"/>
      <c r="AX8380" s="7"/>
    </row>
    <row r="8381" spans="14:50" x14ac:dyDescent="0.25">
      <c r="N8381" s="3"/>
      <c r="AW8381" s="7"/>
      <c r="AX8381" s="7"/>
    </row>
    <row r="8382" spans="14:50" x14ac:dyDescent="0.25">
      <c r="N8382" s="3"/>
      <c r="AW8382" s="7"/>
      <c r="AX8382" s="7"/>
    </row>
    <row r="8383" spans="14:50" x14ac:dyDescent="0.25">
      <c r="N8383" s="3"/>
      <c r="AW8383" s="7"/>
      <c r="AX8383" s="7"/>
    </row>
    <row r="8384" spans="14:50" x14ac:dyDescent="0.25">
      <c r="N8384" s="3"/>
      <c r="AW8384" s="7"/>
      <c r="AX8384" s="7"/>
    </row>
    <row r="8385" spans="14:50" x14ac:dyDescent="0.25">
      <c r="N8385" s="3"/>
      <c r="AW8385" s="7"/>
      <c r="AX8385" s="7"/>
    </row>
    <row r="8386" spans="14:50" x14ac:dyDescent="0.25">
      <c r="N8386" s="3"/>
      <c r="AW8386" s="7"/>
      <c r="AX8386" s="7"/>
    </row>
    <row r="8387" spans="14:50" x14ac:dyDescent="0.25">
      <c r="N8387" s="3"/>
      <c r="AW8387" s="7"/>
      <c r="AX8387" s="7"/>
    </row>
    <row r="8388" spans="14:50" x14ac:dyDescent="0.25">
      <c r="N8388" s="3"/>
      <c r="AW8388" s="7"/>
      <c r="AX8388" s="7"/>
    </row>
    <row r="8389" spans="14:50" x14ac:dyDescent="0.25">
      <c r="N8389" s="3"/>
      <c r="AW8389" s="7"/>
      <c r="AX8389" s="7"/>
    </row>
    <row r="8390" spans="14:50" x14ac:dyDescent="0.25">
      <c r="N8390" s="3"/>
      <c r="AW8390" s="7"/>
      <c r="AX8390" s="7"/>
    </row>
    <row r="8391" spans="14:50" x14ac:dyDescent="0.25">
      <c r="N8391" s="3"/>
      <c r="AW8391" s="7"/>
      <c r="AX8391" s="7"/>
    </row>
    <row r="8392" spans="14:50" x14ac:dyDescent="0.25">
      <c r="N8392" s="3"/>
      <c r="AW8392" s="7"/>
      <c r="AX8392" s="7"/>
    </row>
    <row r="8393" spans="14:50" x14ac:dyDescent="0.25">
      <c r="N8393" s="3"/>
      <c r="AW8393" s="7"/>
      <c r="AX8393" s="7"/>
    </row>
    <row r="8394" spans="14:50" x14ac:dyDescent="0.25">
      <c r="N8394" s="3"/>
      <c r="AW8394" s="7"/>
      <c r="AX8394" s="7"/>
    </row>
    <row r="8395" spans="14:50" x14ac:dyDescent="0.25">
      <c r="N8395" s="3"/>
      <c r="AW8395" s="7"/>
      <c r="AX8395" s="7"/>
    </row>
    <row r="8396" spans="14:50" x14ac:dyDescent="0.25">
      <c r="N8396" s="3"/>
      <c r="AW8396" s="7"/>
      <c r="AX8396" s="7"/>
    </row>
    <row r="8397" spans="14:50" x14ac:dyDescent="0.25">
      <c r="N8397" s="3"/>
      <c r="AW8397" s="7"/>
      <c r="AX8397" s="7"/>
    </row>
    <row r="8398" spans="14:50" x14ac:dyDescent="0.25">
      <c r="N8398" s="3"/>
      <c r="AW8398" s="7"/>
      <c r="AX8398" s="7"/>
    </row>
    <row r="8399" spans="14:50" x14ac:dyDescent="0.25">
      <c r="N8399" s="3"/>
      <c r="AW8399" s="7"/>
      <c r="AX8399" s="7"/>
    </row>
    <row r="8400" spans="14:50" x14ac:dyDescent="0.25">
      <c r="N8400" s="3"/>
      <c r="AW8400" s="7"/>
      <c r="AX8400" s="7"/>
    </row>
    <row r="8401" spans="14:50" x14ac:dyDescent="0.25">
      <c r="N8401" s="3"/>
      <c r="AW8401" s="7"/>
      <c r="AX8401" s="7"/>
    </row>
    <row r="8402" spans="14:50" x14ac:dyDescent="0.25">
      <c r="N8402" s="3"/>
      <c r="AW8402" s="7"/>
      <c r="AX8402" s="7"/>
    </row>
    <row r="8403" spans="14:50" x14ac:dyDescent="0.25">
      <c r="N8403" s="3"/>
      <c r="AW8403" s="7"/>
      <c r="AX8403" s="7"/>
    </row>
    <row r="8404" spans="14:50" x14ac:dyDescent="0.25">
      <c r="N8404" s="3"/>
      <c r="AW8404" s="7"/>
      <c r="AX8404" s="7"/>
    </row>
    <row r="8405" spans="14:50" x14ac:dyDescent="0.25">
      <c r="N8405" s="3"/>
      <c r="AW8405" s="7"/>
      <c r="AX8405" s="7"/>
    </row>
    <row r="8406" spans="14:50" x14ac:dyDescent="0.25">
      <c r="N8406" s="3"/>
      <c r="AW8406" s="7"/>
      <c r="AX8406" s="7"/>
    </row>
    <row r="8407" spans="14:50" x14ac:dyDescent="0.25">
      <c r="N8407" s="3"/>
      <c r="AW8407" s="7"/>
      <c r="AX8407" s="7"/>
    </row>
    <row r="8408" spans="14:50" x14ac:dyDescent="0.25">
      <c r="N8408" s="3"/>
      <c r="AW8408" s="7"/>
      <c r="AX8408" s="7"/>
    </row>
    <row r="8409" spans="14:50" x14ac:dyDescent="0.25">
      <c r="N8409" s="3"/>
      <c r="AW8409" s="7"/>
      <c r="AX8409" s="7"/>
    </row>
    <row r="8410" spans="14:50" x14ac:dyDescent="0.25">
      <c r="N8410" s="3"/>
      <c r="AW8410" s="7"/>
      <c r="AX8410" s="7"/>
    </row>
    <row r="8411" spans="14:50" x14ac:dyDescent="0.25">
      <c r="N8411" s="3"/>
      <c r="AW8411" s="7"/>
      <c r="AX8411" s="7"/>
    </row>
    <row r="8412" spans="14:50" x14ac:dyDescent="0.25">
      <c r="N8412" s="3"/>
      <c r="AW8412" s="7"/>
      <c r="AX8412" s="7"/>
    </row>
    <row r="8413" spans="14:50" x14ac:dyDescent="0.25">
      <c r="N8413" s="3"/>
      <c r="AW8413" s="7"/>
      <c r="AX8413" s="7"/>
    </row>
    <row r="8414" spans="14:50" x14ac:dyDescent="0.25">
      <c r="N8414" s="3"/>
      <c r="AW8414" s="7"/>
      <c r="AX8414" s="7"/>
    </row>
    <row r="8415" spans="14:50" x14ac:dyDescent="0.25">
      <c r="N8415" s="3"/>
      <c r="AW8415" s="7"/>
      <c r="AX8415" s="7"/>
    </row>
    <row r="8416" spans="14:50" x14ac:dyDescent="0.25">
      <c r="N8416" s="3"/>
      <c r="AW8416" s="7"/>
      <c r="AX8416" s="7"/>
    </row>
    <row r="8417" spans="14:50" x14ac:dyDescent="0.25">
      <c r="N8417" s="3"/>
      <c r="AW8417" s="7"/>
      <c r="AX8417" s="7"/>
    </row>
    <row r="8418" spans="14:50" x14ac:dyDescent="0.25">
      <c r="N8418" s="3"/>
      <c r="AW8418" s="7"/>
      <c r="AX8418" s="7"/>
    </row>
    <row r="8419" spans="14:50" x14ac:dyDescent="0.25">
      <c r="N8419" s="3"/>
      <c r="AW8419" s="7"/>
      <c r="AX8419" s="7"/>
    </row>
    <row r="8420" spans="14:50" x14ac:dyDescent="0.25">
      <c r="N8420" s="3"/>
      <c r="AW8420" s="7"/>
      <c r="AX8420" s="7"/>
    </row>
    <row r="8421" spans="14:50" x14ac:dyDescent="0.25">
      <c r="N8421" s="3"/>
      <c r="AW8421" s="7"/>
      <c r="AX8421" s="7"/>
    </row>
    <row r="8422" spans="14:50" x14ac:dyDescent="0.25">
      <c r="N8422" s="3"/>
      <c r="AW8422" s="7"/>
      <c r="AX8422" s="7"/>
    </row>
    <row r="8423" spans="14:50" x14ac:dyDescent="0.25">
      <c r="N8423" s="3"/>
      <c r="AW8423" s="7"/>
      <c r="AX8423" s="7"/>
    </row>
    <row r="8424" spans="14:50" x14ac:dyDescent="0.25">
      <c r="N8424" s="3"/>
      <c r="AW8424" s="7"/>
      <c r="AX8424" s="7"/>
    </row>
    <row r="8425" spans="14:50" x14ac:dyDescent="0.25">
      <c r="N8425" s="3"/>
      <c r="AW8425" s="7"/>
      <c r="AX8425" s="7"/>
    </row>
    <row r="8426" spans="14:50" x14ac:dyDescent="0.25">
      <c r="N8426" s="3"/>
      <c r="AW8426" s="7"/>
      <c r="AX8426" s="7"/>
    </row>
    <row r="8427" spans="14:50" x14ac:dyDescent="0.25">
      <c r="N8427" s="3"/>
      <c r="AW8427" s="7"/>
      <c r="AX8427" s="7"/>
    </row>
    <row r="8428" spans="14:50" x14ac:dyDescent="0.25">
      <c r="N8428" s="3"/>
      <c r="AW8428" s="7"/>
      <c r="AX8428" s="7"/>
    </row>
    <row r="8429" spans="14:50" x14ac:dyDescent="0.25">
      <c r="N8429" s="3"/>
      <c r="AW8429" s="7"/>
      <c r="AX8429" s="7"/>
    </row>
    <row r="8430" spans="14:50" x14ac:dyDescent="0.25">
      <c r="N8430" s="3"/>
      <c r="AW8430" s="7"/>
      <c r="AX8430" s="7"/>
    </row>
    <row r="8431" spans="14:50" x14ac:dyDescent="0.25">
      <c r="N8431" s="3"/>
      <c r="AW8431" s="7"/>
      <c r="AX8431" s="7"/>
    </row>
    <row r="8432" spans="14:50" x14ac:dyDescent="0.25">
      <c r="N8432" s="3"/>
      <c r="AW8432" s="7"/>
      <c r="AX8432" s="7"/>
    </row>
    <row r="8433" spans="14:50" x14ac:dyDescent="0.25">
      <c r="N8433" s="3"/>
      <c r="AW8433" s="7"/>
      <c r="AX8433" s="7"/>
    </row>
    <row r="8434" spans="14:50" x14ac:dyDescent="0.25">
      <c r="N8434" s="3"/>
      <c r="AW8434" s="7"/>
      <c r="AX8434" s="7"/>
    </row>
    <row r="8435" spans="14:50" x14ac:dyDescent="0.25">
      <c r="N8435" s="3"/>
      <c r="AW8435" s="7"/>
      <c r="AX8435" s="7"/>
    </row>
    <row r="8436" spans="14:50" x14ac:dyDescent="0.25">
      <c r="N8436" s="3"/>
      <c r="AW8436" s="7"/>
      <c r="AX8436" s="7"/>
    </row>
    <row r="8437" spans="14:50" x14ac:dyDescent="0.25">
      <c r="N8437" s="3"/>
      <c r="AW8437" s="7"/>
      <c r="AX8437" s="7"/>
    </row>
    <row r="8438" spans="14:50" x14ac:dyDescent="0.25">
      <c r="N8438" s="3"/>
      <c r="AW8438" s="7"/>
      <c r="AX8438" s="7"/>
    </row>
    <row r="8439" spans="14:50" x14ac:dyDescent="0.25">
      <c r="N8439" s="3"/>
      <c r="AW8439" s="7"/>
      <c r="AX8439" s="7"/>
    </row>
    <row r="8440" spans="14:50" x14ac:dyDescent="0.25">
      <c r="N8440" s="3"/>
      <c r="AW8440" s="7"/>
      <c r="AX8440" s="7"/>
    </row>
    <row r="8441" spans="14:50" x14ac:dyDescent="0.25">
      <c r="N8441" s="3"/>
      <c r="AW8441" s="7"/>
      <c r="AX8441" s="7"/>
    </row>
    <row r="8442" spans="14:50" x14ac:dyDescent="0.25">
      <c r="N8442" s="3"/>
      <c r="AW8442" s="7"/>
      <c r="AX8442" s="7"/>
    </row>
    <row r="8443" spans="14:50" x14ac:dyDescent="0.25">
      <c r="N8443" s="3"/>
      <c r="AW8443" s="7"/>
      <c r="AX8443" s="7"/>
    </row>
    <row r="8444" spans="14:50" x14ac:dyDescent="0.25">
      <c r="N8444" s="3"/>
      <c r="AW8444" s="7"/>
      <c r="AX8444" s="7"/>
    </row>
    <row r="8445" spans="14:50" x14ac:dyDescent="0.25">
      <c r="N8445" s="3"/>
      <c r="AW8445" s="7"/>
      <c r="AX8445" s="7"/>
    </row>
    <row r="8446" spans="14:50" x14ac:dyDescent="0.25">
      <c r="N8446" s="3"/>
      <c r="AW8446" s="7"/>
      <c r="AX8446" s="7"/>
    </row>
    <row r="8447" spans="14:50" x14ac:dyDescent="0.25">
      <c r="N8447" s="3"/>
      <c r="AW8447" s="7"/>
      <c r="AX8447" s="7"/>
    </row>
    <row r="8448" spans="14:50" x14ac:dyDescent="0.25">
      <c r="N8448" s="3"/>
      <c r="AW8448" s="7"/>
      <c r="AX8448" s="7"/>
    </row>
    <row r="8449" spans="14:50" x14ac:dyDescent="0.25">
      <c r="N8449" s="3"/>
      <c r="AW8449" s="7"/>
      <c r="AX8449" s="7"/>
    </row>
    <row r="8450" spans="14:50" x14ac:dyDescent="0.25">
      <c r="N8450" s="3"/>
      <c r="AW8450" s="7"/>
      <c r="AX8450" s="7"/>
    </row>
    <row r="8451" spans="14:50" x14ac:dyDescent="0.25">
      <c r="N8451" s="3"/>
      <c r="AW8451" s="7"/>
      <c r="AX8451" s="7"/>
    </row>
    <row r="8452" spans="14:50" x14ac:dyDescent="0.25">
      <c r="N8452" s="3"/>
      <c r="AW8452" s="7"/>
      <c r="AX8452" s="7"/>
    </row>
    <row r="8453" spans="14:50" x14ac:dyDescent="0.25">
      <c r="N8453" s="3"/>
      <c r="AW8453" s="7"/>
      <c r="AX8453" s="7"/>
    </row>
    <row r="8454" spans="14:50" x14ac:dyDescent="0.25">
      <c r="N8454" s="3"/>
      <c r="AW8454" s="7"/>
      <c r="AX8454" s="7"/>
    </row>
    <row r="8455" spans="14:50" x14ac:dyDescent="0.25">
      <c r="N8455" s="3"/>
      <c r="AW8455" s="7"/>
      <c r="AX8455" s="7"/>
    </row>
    <row r="8456" spans="14:50" x14ac:dyDescent="0.25">
      <c r="N8456" s="3"/>
      <c r="AW8456" s="7"/>
      <c r="AX8456" s="7"/>
    </row>
    <row r="8457" spans="14:50" x14ac:dyDescent="0.25">
      <c r="N8457" s="3"/>
      <c r="AW8457" s="7"/>
      <c r="AX8457" s="7"/>
    </row>
    <row r="8458" spans="14:50" x14ac:dyDescent="0.25">
      <c r="N8458" s="3"/>
      <c r="AW8458" s="7"/>
      <c r="AX8458" s="7"/>
    </row>
    <row r="8459" spans="14:50" x14ac:dyDescent="0.25">
      <c r="N8459" s="3"/>
      <c r="AW8459" s="7"/>
      <c r="AX8459" s="7"/>
    </row>
    <row r="8460" spans="14:50" x14ac:dyDescent="0.25">
      <c r="N8460" s="3"/>
      <c r="AW8460" s="7"/>
      <c r="AX8460" s="7"/>
    </row>
    <row r="8461" spans="14:50" x14ac:dyDescent="0.25">
      <c r="N8461" s="3"/>
      <c r="AW8461" s="7"/>
      <c r="AX8461" s="7"/>
    </row>
    <row r="8462" spans="14:50" x14ac:dyDescent="0.25">
      <c r="N8462" s="3"/>
      <c r="AW8462" s="7"/>
      <c r="AX8462" s="7"/>
    </row>
    <row r="8463" spans="14:50" x14ac:dyDescent="0.25">
      <c r="N8463" s="3"/>
      <c r="AW8463" s="7"/>
      <c r="AX8463" s="7"/>
    </row>
    <row r="8464" spans="14:50" x14ac:dyDescent="0.25">
      <c r="N8464" s="3"/>
      <c r="AW8464" s="7"/>
      <c r="AX8464" s="7"/>
    </row>
    <row r="8465" spans="14:50" x14ac:dyDescent="0.25">
      <c r="N8465" s="3"/>
      <c r="AW8465" s="7"/>
      <c r="AX8465" s="7"/>
    </row>
    <row r="8466" spans="14:50" x14ac:dyDescent="0.25">
      <c r="N8466" s="3"/>
      <c r="AW8466" s="7"/>
      <c r="AX8466" s="7"/>
    </row>
    <row r="8467" spans="14:50" x14ac:dyDescent="0.25">
      <c r="N8467" s="3"/>
      <c r="AW8467" s="7"/>
      <c r="AX8467" s="7"/>
    </row>
    <row r="8468" spans="14:50" x14ac:dyDescent="0.25">
      <c r="N8468" s="3"/>
      <c r="AW8468" s="7"/>
      <c r="AX8468" s="7"/>
    </row>
    <row r="8469" spans="14:50" x14ac:dyDescent="0.25">
      <c r="N8469" s="3"/>
      <c r="AW8469" s="7"/>
      <c r="AX8469" s="7"/>
    </row>
    <row r="8470" spans="14:50" x14ac:dyDescent="0.25">
      <c r="N8470" s="3"/>
      <c r="AW8470" s="7"/>
      <c r="AX8470" s="7"/>
    </row>
    <row r="8471" spans="14:50" x14ac:dyDescent="0.25">
      <c r="N8471" s="3"/>
      <c r="AW8471" s="7"/>
      <c r="AX8471" s="7"/>
    </row>
    <row r="8472" spans="14:50" x14ac:dyDescent="0.25">
      <c r="N8472" s="3"/>
      <c r="AW8472" s="7"/>
      <c r="AX8472" s="7"/>
    </row>
    <row r="8473" spans="14:50" x14ac:dyDescent="0.25">
      <c r="N8473" s="3"/>
      <c r="AW8473" s="7"/>
      <c r="AX8473" s="7"/>
    </row>
    <row r="8474" spans="14:50" x14ac:dyDescent="0.25">
      <c r="N8474" s="3"/>
      <c r="AW8474" s="7"/>
      <c r="AX8474" s="7"/>
    </row>
    <row r="8475" spans="14:50" x14ac:dyDescent="0.25">
      <c r="N8475" s="3"/>
      <c r="AW8475" s="7"/>
      <c r="AX8475" s="7"/>
    </row>
    <row r="8476" spans="14:50" x14ac:dyDescent="0.25">
      <c r="N8476" s="3"/>
      <c r="AW8476" s="7"/>
      <c r="AX8476" s="7"/>
    </row>
    <row r="8477" spans="14:50" x14ac:dyDescent="0.25">
      <c r="N8477" s="3"/>
      <c r="AW8477" s="7"/>
      <c r="AX8477" s="7"/>
    </row>
    <row r="8478" spans="14:50" x14ac:dyDescent="0.25">
      <c r="N8478" s="3"/>
      <c r="AW8478" s="7"/>
      <c r="AX8478" s="7"/>
    </row>
    <row r="8479" spans="14:50" x14ac:dyDescent="0.25">
      <c r="N8479" s="3"/>
      <c r="AW8479" s="7"/>
      <c r="AX8479" s="7"/>
    </row>
    <row r="8480" spans="14:50" x14ac:dyDescent="0.25">
      <c r="N8480" s="3"/>
      <c r="AW8480" s="7"/>
      <c r="AX8480" s="7"/>
    </row>
    <row r="8481" spans="14:50" x14ac:dyDescent="0.25">
      <c r="N8481" s="3"/>
      <c r="AW8481" s="7"/>
      <c r="AX8481" s="7"/>
    </row>
    <row r="8482" spans="14:50" x14ac:dyDescent="0.25">
      <c r="N8482" s="3"/>
      <c r="AW8482" s="7"/>
      <c r="AX8482" s="7"/>
    </row>
    <row r="8483" spans="14:50" x14ac:dyDescent="0.25">
      <c r="N8483" s="3"/>
      <c r="AW8483" s="7"/>
      <c r="AX8483" s="7"/>
    </row>
    <row r="8484" spans="14:50" x14ac:dyDescent="0.25">
      <c r="N8484" s="3"/>
      <c r="AW8484" s="7"/>
      <c r="AX8484" s="7"/>
    </row>
    <row r="8485" spans="14:50" x14ac:dyDescent="0.25">
      <c r="N8485" s="3"/>
      <c r="AW8485" s="7"/>
      <c r="AX8485" s="7"/>
    </row>
    <row r="8486" spans="14:50" x14ac:dyDescent="0.25">
      <c r="N8486" s="3"/>
      <c r="AW8486" s="7"/>
      <c r="AX8486" s="7"/>
    </row>
    <row r="8487" spans="14:50" x14ac:dyDescent="0.25">
      <c r="N8487" s="3"/>
      <c r="AW8487" s="7"/>
      <c r="AX8487" s="7"/>
    </row>
    <row r="8488" spans="14:50" x14ac:dyDescent="0.25">
      <c r="N8488" s="3"/>
      <c r="AW8488" s="7"/>
      <c r="AX8488" s="7"/>
    </row>
    <row r="8489" spans="14:50" x14ac:dyDescent="0.25">
      <c r="N8489" s="3"/>
      <c r="AW8489" s="7"/>
      <c r="AX8489" s="7"/>
    </row>
    <row r="8490" spans="14:50" x14ac:dyDescent="0.25">
      <c r="N8490" s="3"/>
      <c r="AW8490" s="7"/>
      <c r="AX8490" s="7"/>
    </row>
    <row r="8491" spans="14:50" x14ac:dyDescent="0.25">
      <c r="N8491" s="3"/>
      <c r="AW8491" s="7"/>
      <c r="AX8491" s="7"/>
    </row>
    <row r="8492" spans="14:50" x14ac:dyDescent="0.25">
      <c r="N8492" s="3"/>
      <c r="AW8492" s="7"/>
      <c r="AX8492" s="7"/>
    </row>
    <row r="8493" spans="14:50" x14ac:dyDescent="0.25">
      <c r="N8493" s="3"/>
      <c r="AW8493" s="7"/>
      <c r="AX8493" s="7"/>
    </row>
    <row r="8494" spans="14:50" x14ac:dyDescent="0.25">
      <c r="N8494" s="3"/>
      <c r="AW8494" s="7"/>
      <c r="AX8494" s="7"/>
    </row>
    <row r="8495" spans="14:50" x14ac:dyDescent="0.25">
      <c r="N8495" s="3"/>
      <c r="AW8495" s="7"/>
      <c r="AX8495" s="7"/>
    </row>
    <row r="8496" spans="14:50" x14ac:dyDescent="0.25">
      <c r="N8496" s="3"/>
      <c r="AW8496" s="7"/>
      <c r="AX8496" s="7"/>
    </row>
    <row r="8497" spans="14:50" x14ac:dyDescent="0.25">
      <c r="N8497" s="3"/>
      <c r="AW8497" s="7"/>
      <c r="AX8497" s="7"/>
    </row>
    <row r="8498" spans="14:50" x14ac:dyDescent="0.25">
      <c r="N8498" s="3"/>
      <c r="AW8498" s="7"/>
      <c r="AX8498" s="7"/>
    </row>
    <row r="8499" spans="14:50" x14ac:dyDescent="0.25">
      <c r="N8499" s="3"/>
      <c r="AW8499" s="7"/>
      <c r="AX8499" s="7"/>
    </row>
    <row r="8500" spans="14:50" x14ac:dyDescent="0.25">
      <c r="N8500" s="3"/>
      <c r="AW8500" s="7"/>
      <c r="AX8500" s="7"/>
    </row>
    <row r="8501" spans="14:50" x14ac:dyDescent="0.25">
      <c r="N8501" s="3"/>
      <c r="AW8501" s="7"/>
      <c r="AX8501" s="7"/>
    </row>
    <row r="8502" spans="14:50" x14ac:dyDescent="0.25">
      <c r="N8502" s="3"/>
      <c r="AW8502" s="7"/>
      <c r="AX8502" s="7"/>
    </row>
    <row r="8503" spans="14:50" x14ac:dyDescent="0.25">
      <c r="N8503" s="3"/>
      <c r="AW8503" s="7"/>
      <c r="AX8503" s="7"/>
    </row>
    <row r="8504" spans="14:50" x14ac:dyDescent="0.25">
      <c r="N8504" s="3"/>
      <c r="AW8504" s="7"/>
      <c r="AX8504" s="7"/>
    </row>
    <row r="8505" spans="14:50" x14ac:dyDescent="0.25">
      <c r="N8505" s="3"/>
      <c r="AW8505" s="7"/>
      <c r="AX8505" s="7"/>
    </row>
    <row r="8506" spans="14:50" x14ac:dyDescent="0.25">
      <c r="N8506" s="3"/>
      <c r="AW8506" s="7"/>
      <c r="AX8506" s="7"/>
    </row>
    <row r="8507" spans="14:50" x14ac:dyDescent="0.25">
      <c r="N8507" s="3"/>
      <c r="AW8507" s="7"/>
      <c r="AX8507" s="7"/>
    </row>
    <row r="8508" spans="14:50" x14ac:dyDescent="0.25">
      <c r="N8508" s="3"/>
      <c r="AW8508" s="7"/>
      <c r="AX8508" s="7"/>
    </row>
    <row r="8509" spans="14:50" x14ac:dyDescent="0.25">
      <c r="N8509" s="3"/>
      <c r="AW8509" s="7"/>
      <c r="AX8509" s="7"/>
    </row>
    <row r="8510" spans="14:50" x14ac:dyDescent="0.25">
      <c r="N8510" s="3"/>
      <c r="AW8510" s="7"/>
      <c r="AX8510" s="7"/>
    </row>
    <row r="8511" spans="14:50" x14ac:dyDescent="0.25">
      <c r="N8511" s="3"/>
      <c r="AW8511" s="7"/>
      <c r="AX8511" s="7"/>
    </row>
    <row r="8512" spans="14:50" x14ac:dyDescent="0.25">
      <c r="N8512" s="3"/>
      <c r="AW8512" s="7"/>
      <c r="AX8512" s="7"/>
    </row>
    <row r="8513" spans="14:50" x14ac:dyDescent="0.25">
      <c r="N8513" s="3"/>
      <c r="AW8513" s="7"/>
      <c r="AX8513" s="7"/>
    </row>
    <row r="8514" spans="14:50" x14ac:dyDescent="0.25">
      <c r="N8514" s="3"/>
      <c r="AW8514" s="7"/>
      <c r="AX8514" s="7"/>
    </row>
    <row r="8515" spans="14:50" x14ac:dyDescent="0.25">
      <c r="N8515" s="3"/>
      <c r="AW8515" s="7"/>
      <c r="AX8515" s="7"/>
    </row>
    <row r="8516" spans="14:50" x14ac:dyDescent="0.25">
      <c r="N8516" s="3"/>
      <c r="AW8516" s="7"/>
      <c r="AX8516" s="7"/>
    </row>
    <row r="8517" spans="14:50" x14ac:dyDescent="0.25">
      <c r="N8517" s="3"/>
      <c r="AW8517" s="7"/>
      <c r="AX8517" s="7"/>
    </row>
    <row r="8518" spans="14:50" x14ac:dyDescent="0.25">
      <c r="N8518" s="3"/>
      <c r="AW8518" s="7"/>
      <c r="AX8518" s="7"/>
    </row>
    <row r="8519" spans="14:50" x14ac:dyDescent="0.25">
      <c r="N8519" s="3"/>
      <c r="AW8519" s="7"/>
      <c r="AX8519" s="7"/>
    </row>
    <row r="8520" spans="14:50" x14ac:dyDescent="0.25">
      <c r="N8520" s="3"/>
      <c r="AW8520" s="7"/>
      <c r="AX8520" s="7"/>
    </row>
    <row r="8521" spans="14:50" x14ac:dyDescent="0.25">
      <c r="N8521" s="3"/>
      <c r="AW8521" s="7"/>
      <c r="AX8521" s="7"/>
    </row>
    <row r="8522" spans="14:50" x14ac:dyDescent="0.25">
      <c r="N8522" s="3"/>
      <c r="AW8522" s="7"/>
      <c r="AX8522" s="7"/>
    </row>
    <row r="8523" spans="14:50" x14ac:dyDescent="0.25">
      <c r="N8523" s="3"/>
      <c r="AW8523" s="7"/>
      <c r="AX8523" s="7"/>
    </row>
    <row r="8524" spans="14:50" x14ac:dyDescent="0.25">
      <c r="N8524" s="3"/>
      <c r="AW8524" s="7"/>
      <c r="AX8524" s="7"/>
    </row>
    <row r="8525" spans="14:50" x14ac:dyDescent="0.25">
      <c r="N8525" s="3"/>
      <c r="AW8525" s="7"/>
      <c r="AX8525" s="7"/>
    </row>
    <row r="8526" spans="14:50" x14ac:dyDescent="0.25">
      <c r="N8526" s="3"/>
      <c r="AW8526" s="7"/>
      <c r="AX8526" s="7"/>
    </row>
    <row r="8527" spans="14:50" x14ac:dyDescent="0.25">
      <c r="N8527" s="3"/>
      <c r="AW8527" s="7"/>
      <c r="AX8527" s="7"/>
    </row>
    <row r="8528" spans="14:50" x14ac:dyDescent="0.25">
      <c r="N8528" s="3"/>
      <c r="AW8528" s="7"/>
      <c r="AX8528" s="7"/>
    </row>
    <row r="8529" spans="14:50" x14ac:dyDescent="0.25">
      <c r="N8529" s="3"/>
      <c r="AW8529" s="7"/>
      <c r="AX8529" s="7"/>
    </row>
    <row r="8530" spans="14:50" x14ac:dyDescent="0.25">
      <c r="N8530" s="3"/>
      <c r="AW8530" s="7"/>
      <c r="AX8530" s="7"/>
    </row>
    <row r="8531" spans="14:50" x14ac:dyDescent="0.25">
      <c r="N8531" s="3"/>
      <c r="AW8531" s="7"/>
      <c r="AX8531" s="7"/>
    </row>
    <row r="8532" spans="14:50" x14ac:dyDescent="0.25">
      <c r="N8532" s="3"/>
      <c r="AW8532" s="7"/>
      <c r="AX8532" s="7"/>
    </row>
    <row r="8533" spans="14:50" x14ac:dyDescent="0.25">
      <c r="N8533" s="3"/>
      <c r="AW8533" s="7"/>
      <c r="AX8533" s="7"/>
    </row>
    <row r="8534" spans="14:50" x14ac:dyDescent="0.25">
      <c r="N8534" s="3"/>
      <c r="AW8534" s="7"/>
      <c r="AX8534" s="7"/>
    </row>
    <row r="8535" spans="14:50" x14ac:dyDescent="0.25">
      <c r="N8535" s="3"/>
      <c r="AW8535" s="7"/>
      <c r="AX8535" s="7"/>
    </row>
    <row r="8536" spans="14:50" x14ac:dyDescent="0.25">
      <c r="N8536" s="3"/>
      <c r="AW8536" s="7"/>
      <c r="AX8536" s="7"/>
    </row>
    <row r="8537" spans="14:50" x14ac:dyDescent="0.25">
      <c r="N8537" s="3"/>
      <c r="AW8537" s="7"/>
      <c r="AX8537" s="7"/>
    </row>
    <row r="8538" spans="14:50" x14ac:dyDescent="0.25">
      <c r="N8538" s="3"/>
      <c r="AW8538" s="7"/>
      <c r="AX8538" s="7"/>
    </row>
    <row r="8539" spans="14:50" x14ac:dyDescent="0.25">
      <c r="N8539" s="3"/>
      <c r="AW8539" s="7"/>
      <c r="AX8539" s="7"/>
    </row>
    <row r="8540" spans="14:50" x14ac:dyDescent="0.25">
      <c r="N8540" s="3"/>
      <c r="AW8540" s="7"/>
      <c r="AX8540" s="7"/>
    </row>
    <row r="8541" spans="14:50" x14ac:dyDescent="0.25">
      <c r="N8541" s="3"/>
      <c r="AW8541" s="7"/>
      <c r="AX8541" s="7"/>
    </row>
    <row r="8542" spans="14:50" x14ac:dyDescent="0.25">
      <c r="N8542" s="3"/>
      <c r="AW8542" s="7"/>
      <c r="AX8542" s="7"/>
    </row>
    <row r="8543" spans="14:50" x14ac:dyDescent="0.25">
      <c r="N8543" s="3"/>
      <c r="AW8543" s="7"/>
      <c r="AX8543" s="7"/>
    </row>
    <row r="8544" spans="14:50" x14ac:dyDescent="0.25">
      <c r="N8544" s="3"/>
      <c r="AW8544" s="7"/>
      <c r="AX8544" s="7"/>
    </row>
    <row r="8545" spans="14:50" x14ac:dyDescent="0.25">
      <c r="N8545" s="3"/>
      <c r="AW8545" s="7"/>
      <c r="AX8545" s="7"/>
    </row>
    <row r="8546" spans="14:50" x14ac:dyDescent="0.25">
      <c r="N8546" s="3"/>
      <c r="AW8546" s="7"/>
      <c r="AX8546" s="7"/>
    </row>
    <row r="8547" spans="14:50" x14ac:dyDescent="0.25">
      <c r="N8547" s="3"/>
      <c r="AW8547" s="7"/>
      <c r="AX8547" s="7"/>
    </row>
    <row r="8548" spans="14:50" x14ac:dyDescent="0.25">
      <c r="N8548" s="3"/>
      <c r="AW8548" s="7"/>
      <c r="AX8548" s="7"/>
    </row>
    <row r="8549" spans="14:50" x14ac:dyDescent="0.25">
      <c r="N8549" s="3"/>
      <c r="AW8549" s="7"/>
      <c r="AX8549" s="7"/>
    </row>
    <row r="8550" spans="14:50" x14ac:dyDescent="0.25">
      <c r="N8550" s="3"/>
      <c r="AW8550" s="7"/>
      <c r="AX8550" s="7"/>
    </row>
    <row r="8551" spans="14:50" x14ac:dyDescent="0.25">
      <c r="N8551" s="3"/>
      <c r="AW8551" s="7"/>
      <c r="AX8551" s="7"/>
    </row>
    <row r="8552" spans="14:50" x14ac:dyDescent="0.25">
      <c r="N8552" s="3"/>
      <c r="AW8552" s="7"/>
      <c r="AX8552" s="7"/>
    </row>
    <row r="8553" spans="14:50" x14ac:dyDescent="0.25">
      <c r="N8553" s="3"/>
      <c r="AW8553" s="7"/>
      <c r="AX8553" s="7"/>
    </row>
    <row r="8554" spans="14:50" x14ac:dyDescent="0.25">
      <c r="N8554" s="3"/>
      <c r="AW8554" s="7"/>
      <c r="AX8554" s="7"/>
    </row>
    <row r="8555" spans="14:50" x14ac:dyDescent="0.25">
      <c r="N8555" s="3"/>
      <c r="AW8555" s="7"/>
      <c r="AX8555" s="7"/>
    </row>
    <row r="8556" spans="14:50" x14ac:dyDescent="0.25">
      <c r="N8556" s="3"/>
      <c r="AW8556" s="7"/>
      <c r="AX8556" s="7"/>
    </row>
    <row r="8557" spans="14:50" x14ac:dyDescent="0.25">
      <c r="N8557" s="3"/>
      <c r="AW8557" s="7"/>
      <c r="AX8557" s="7"/>
    </row>
    <row r="8558" spans="14:50" x14ac:dyDescent="0.25">
      <c r="N8558" s="3"/>
      <c r="AW8558" s="7"/>
      <c r="AX8558" s="7"/>
    </row>
    <row r="8559" spans="14:50" x14ac:dyDescent="0.25">
      <c r="N8559" s="3"/>
      <c r="AW8559" s="7"/>
      <c r="AX8559" s="7"/>
    </row>
    <row r="8560" spans="14:50" x14ac:dyDescent="0.25">
      <c r="N8560" s="3"/>
      <c r="AW8560" s="7"/>
      <c r="AX8560" s="7"/>
    </row>
    <row r="8561" spans="14:50" x14ac:dyDescent="0.25">
      <c r="N8561" s="3"/>
      <c r="AW8561" s="7"/>
      <c r="AX8561" s="7"/>
    </row>
    <row r="8562" spans="14:50" x14ac:dyDescent="0.25">
      <c r="N8562" s="3"/>
      <c r="AW8562" s="7"/>
      <c r="AX8562" s="7"/>
    </row>
    <row r="8563" spans="14:50" x14ac:dyDescent="0.25">
      <c r="N8563" s="3"/>
      <c r="AW8563" s="7"/>
      <c r="AX8563" s="7"/>
    </row>
    <row r="8564" spans="14:50" x14ac:dyDescent="0.25">
      <c r="N8564" s="3"/>
      <c r="AW8564" s="7"/>
      <c r="AX8564" s="7"/>
    </row>
    <row r="8565" spans="14:50" x14ac:dyDescent="0.25">
      <c r="N8565" s="3"/>
      <c r="AW8565" s="7"/>
      <c r="AX8565" s="7"/>
    </row>
    <row r="8566" spans="14:50" x14ac:dyDescent="0.25">
      <c r="N8566" s="3"/>
      <c r="AW8566" s="7"/>
      <c r="AX8566" s="7"/>
    </row>
    <row r="8567" spans="14:50" x14ac:dyDescent="0.25">
      <c r="N8567" s="3"/>
      <c r="AW8567" s="7"/>
      <c r="AX8567" s="7"/>
    </row>
    <row r="8568" spans="14:50" x14ac:dyDescent="0.25">
      <c r="N8568" s="3"/>
      <c r="AW8568" s="7"/>
      <c r="AX8568" s="7"/>
    </row>
    <row r="8569" spans="14:50" x14ac:dyDescent="0.25">
      <c r="N8569" s="3"/>
      <c r="AW8569" s="7"/>
      <c r="AX8569" s="7"/>
    </row>
    <row r="8570" spans="14:50" x14ac:dyDescent="0.25">
      <c r="N8570" s="3"/>
      <c r="AW8570" s="7"/>
      <c r="AX8570" s="7"/>
    </row>
    <row r="8571" spans="14:50" x14ac:dyDescent="0.25">
      <c r="N8571" s="3"/>
      <c r="AW8571" s="7"/>
      <c r="AX8571" s="7"/>
    </row>
    <row r="8572" spans="14:50" x14ac:dyDescent="0.25">
      <c r="N8572" s="3"/>
      <c r="AW8572" s="7"/>
      <c r="AX8572" s="7"/>
    </row>
    <row r="8573" spans="14:50" x14ac:dyDescent="0.25">
      <c r="N8573" s="3"/>
      <c r="AW8573" s="7"/>
      <c r="AX8573" s="7"/>
    </row>
    <row r="8574" spans="14:50" x14ac:dyDescent="0.25">
      <c r="N8574" s="3"/>
      <c r="AW8574" s="7"/>
      <c r="AX8574" s="7"/>
    </row>
    <row r="8575" spans="14:50" x14ac:dyDescent="0.25">
      <c r="N8575" s="3"/>
      <c r="AW8575" s="7"/>
      <c r="AX8575" s="7"/>
    </row>
    <row r="8576" spans="14:50" x14ac:dyDescent="0.25">
      <c r="N8576" s="3"/>
      <c r="AW8576" s="7"/>
      <c r="AX8576" s="7"/>
    </row>
    <row r="8577" spans="14:50" x14ac:dyDescent="0.25">
      <c r="N8577" s="3"/>
      <c r="AW8577" s="7"/>
      <c r="AX8577" s="7"/>
    </row>
    <row r="8578" spans="14:50" x14ac:dyDescent="0.25">
      <c r="N8578" s="3"/>
      <c r="AW8578" s="7"/>
      <c r="AX8578" s="7"/>
    </row>
    <row r="8579" spans="14:50" x14ac:dyDescent="0.25">
      <c r="N8579" s="3"/>
      <c r="AW8579" s="7"/>
      <c r="AX8579" s="7"/>
    </row>
    <row r="8580" spans="14:50" x14ac:dyDescent="0.25">
      <c r="N8580" s="3"/>
      <c r="AW8580" s="7"/>
      <c r="AX8580" s="7"/>
    </row>
    <row r="8581" spans="14:50" x14ac:dyDescent="0.25">
      <c r="N8581" s="3"/>
      <c r="AW8581" s="7"/>
      <c r="AX8581" s="7"/>
    </row>
    <row r="8582" spans="14:50" x14ac:dyDescent="0.25">
      <c r="N8582" s="3"/>
      <c r="AW8582" s="7"/>
      <c r="AX8582" s="7"/>
    </row>
    <row r="8583" spans="14:50" x14ac:dyDescent="0.25">
      <c r="N8583" s="3"/>
      <c r="AW8583" s="7"/>
      <c r="AX8583" s="7"/>
    </row>
    <row r="8584" spans="14:50" x14ac:dyDescent="0.25">
      <c r="N8584" s="3"/>
      <c r="AW8584" s="7"/>
      <c r="AX8584" s="7"/>
    </row>
    <row r="8585" spans="14:50" x14ac:dyDescent="0.25">
      <c r="N8585" s="3"/>
      <c r="AW8585" s="7"/>
      <c r="AX8585" s="7"/>
    </row>
    <row r="8586" spans="14:50" x14ac:dyDescent="0.25">
      <c r="N8586" s="3"/>
      <c r="AW8586" s="7"/>
      <c r="AX8586" s="7"/>
    </row>
    <row r="8587" spans="14:50" x14ac:dyDescent="0.25">
      <c r="N8587" s="3"/>
      <c r="AW8587" s="7"/>
      <c r="AX8587" s="7"/>
    </row>
    <row r="8588" spans="14:50" x14ac:dyDescent="0.25">
      <c r="N8588" s="3"/>
      <c r="AW8588" s="7"/>
      <c r="AX8588" s="7"/>
    </row>
    <row r="8589" spans="14:50" x14ac:dyDescent="0.25">
      <c r="N8589" s="3"/>
      <c r="AW8589" s="7"/>
      <c r="AX8589" s="7"/>
    </row>
    <row r="8590" spans="14:50" x14ac:dyDescent="0.25">
      <c r="N8590" s="3"/>
      <c r="AW8590" s="7"/>
      <c r="AX8590" s="7"/>
    </row>
    <row r="8591" spans="14:50" x14ac:dyDescent="0.25">
      <c r="N8591" s="3"/>
      <c r="AW8591" s="7"/>
      <c r="AX8591" s="7"/>
    </row>
    <row r="8592" spans="14:50" x14ac:dyDescent="0.25">
      <c r="N8592" s="3"/>
      <c r="AW8592" s="7"/>
      <c r="AX8592" s="7"/>
    </row>
    <row r="8593" spans="14:50" x14ac:dyDescent="0.25">
      <c r="N8593" s="3"/>
      <c r="AW8593" s="7"/>
      <c r="AX8593" s="7"/>
    </row>
    <row r="8594" spans="14:50" x14ac:dyDescent="0.25">
      <c r="N8594" s="3"/>
      <c r="AW8594" s="7"/>
      <c r="AX8594" s="7"/>
    </row>
    <row r="8595" spans="14:50" x14ac:dyDescent="0.25">
      <c r="N8595" s="3"/>
      <c r="AW8595" s="7"/>
      <c r="AX8595" s="7"/>
    </row>
    <row r="8596" spans="14:50" x14ac:dyDescent="0.25">
      <c r="N8596" s="3"/>
      <c r="AW8596" s="7"/>
      <c r="AX8596" s="7"/>
    </row>
    <row r="8597" spans="14:50" x14ac:dyDescent="0.25">
      <c r="N8597" s="3"/>
      <c r="AW8597" s="7"/>
      <c r="AX8597" s="7"/>
    </row>
    <row r="8598" spans="14:50" x14ac:dyDescent="0.25">
      <c r="N8598" s="3"/>
      <c r="AW8598" s="7"/>
      <c r="AX8598" s="7"/>
    </row>
    <row r="8599" spans="14:50" x14ac:dyDescent="0.25">
      <c r="N8599" s="3"/>
      <c r="AW8599" s="7"/>
      <c r="AX8599" s="7"/>
    </row>
    <row r="8600" spans="14:50" x14ac:dyDescent="0.25">
      <c r="N8600" s="3"/>
      <c r="AW8600" s="7"/>
      <c r="AX8600" s="7"/>
    </row>
    <row r="8601" spans="14:50" x14ac:dyDescent="0.25">
      <c r="N8601" s="3"/>
      <c r="AW8601" s="7"/>
      <c r="AX8601" s="7"/>
    </row>
    <row r="8602" spans="14:50" x14ac:dyDescent="0.25">
      <c r="N8602" s="3"/>
      <c r="AW8602" s="7"/>
      <c r="AX8602" s="7"/>
    </row>
    <row r="8603" spans="14:50" x14ac:dyDescent="0.25">
      <c r="N8603" s="3"/>
      <c r="AW8603" s="7"/>
      <c r="AX8603" s="7"/>
    </row>
    <row r="8604" spans="14:50" x14ac:dyDescent="0.25">
      <c r="N8604" s="3"/>
      <c r="AW8604" s="7"/>
      <c r="AX8604" s="7"/>
    </row>
    <row r="8605" spans="14:50" x14ac:dyDescent="0.25">
      <c r="N8605" s="3"/>
      <c r="AW8605" s="7"/>
      <c r="AX8605" s="7"/>
    </row>
    <row r="8606" spans="14:50" x14ac:dyDescent="0.25">
      <c r="N8606" s="3"/>
      <c r="AW8606" s="7"/>
      <c r="AX8606" s="7"/>
    </row>
    <row r="8607" spans="14:50" x14ac:dyDescent="0.25">
      <c r="N8607" s="3"/>
      <c r="AW8607" s="7"/>
      <c r="AX8607" s="7"/>
    </row>
    <row r="8608" spans="14:50" x14ac:dyDescent="0.25">
      <c r="N8608" s="3"/>
      <c r="AW8608" s="7"/>
      <c r="AX8608" s="7"/>
    </row>
    <row r="8609" spans="14:50" x14ac:dyDescent="0.25">
      <c r="N8609" s="3"/>
      <c r="AW8609" s="7"/>
      <c r="AX8609" s="7"/>
    </row>
    <row r="8610" spans="14:50" x14ac:dyDescent="0.25">
      <c r="N8610" s="3"/>
      <c r="AW8610" s="7"/>
      <c r="AX8610" s="7"/>
    </row>
    <row r="8611" spans="14:50" x14ac:dyDescent="0.25">
      <c r="N8611" s="3"/>
      <c r="AW8611" s="7"/>
      <c r="AX8611" s="7"/>
    </row>
    <row r="8612" spans="14:50" x14ac:dyDescent="0.25">
      <c r="N8612" s="3"/>
      <c r="AW8612" s="7"/>
      <c r="AX8612" s="7"/>
    </row>
    <row r="8613" spans="14:50" x14ac:dyDescent="0.25">
      <c r="N8613" s="3"/>
      <c r="AW8613" s="7"/>
      <c r="AX8613" s="7"/>
    </row>
    <row r="8614" spans="14:50" x14ac:dyDescent="0.25">
      <c r="N8614" s="3"/>
      <c r="AW8614" s="7"/>
      <c r="AX8614" s="7"/>
    </row>
    <row r="8615" spans="14:50" x14ac:dyDescent="0.25">
      <c r="N8615" s="3"/>
      <c r="AW8615" s="7"/>
      <c r="AX8615" s="7"/>
    </row>
    <row r="8616" spans="14:50" x14ac:dyDescent="0.25">
      <c r="N8616" s="3"/>
      <c r="AW8616" s="7"/>
      <c r="AX8616" s="7"/>
    </row>
    <row r="8617" spans="14:50" x14ac:dyDescent="0.25">
      <c r="N8617" s="3"/>
      <c r="AW8617" s="7"/>
      <c r="AX8617" s="7"/>
    </row>
    <row r="8618" spans="14:50" x14ac:dyDescent="0.25">
      <c r="N8618" s="3"/>
      <c r="AW8618" s="7"/>
      <c r="AX8618" s="7"/>
    </row>
    <row r="8619" spans="14:50" x14ac:dyDescent="0.25">
      <c r="N8619" s="3"/>
      <c r="AW8619" s="7"/>
      <c r="AX8619" s="7"/>
    </row>
    <row r="8620" spans="14:50" x14ac:dyDescent="0.25">
      <c r="N8620" s="3"/>
      <c r="AW8620" s="7"/>
      <c r="AX8620" s="7"/>
    </row>
    <row r="8621" spans="14:50" x14ac:dyDescent="0.25">
      <c r="N8621" s="3"/>
      <c r="AW8621" s="7"/>
      <c r="AX8621" s="7"/>
    </row>
    <row r="8622" spans="14:50" x14ac:dyDescent="0.25">
      <c r="N8622" s="3"/>
      <c r="AW8622" s="7"/>
      <c r="AX8622" s="7"/>
    </row>
    <row r="8623" spans="14:50" x14ac:dyDescent="0.25">
      <c r="N8623" s="3"/>
      <c r="AW8623" s="7"/>
      <c r="AX8623" s="7"/>
    </row>
    <row r="8624" spans="14:50" x14ac:dyDescent="0.25">
      <c r="N8624" s="3"/>
      <c r="AW8624" s="7"/>
      <c r="AX8624" s="7"/>
    </row>
    <row r="8625" spans="14:50" x14ac:dyDescent="0.25">
      <c r="N8625" s="3"/>
      <c r="AW8625" s="7"/>
      <c r="AX8625" s="7"/>
    </row>
    <row r="8626" spans="14:50" x14ac:dyDescent="0.25">
      <c r="N8626" s="3"/>
      <c r="AW8626" s="7"/>
      <c r="AX8626" s="7"/>
    </row>
    <row r="8627" spans="14:50" x14ac:dyDescent="0.25">
      <c r="N8627" s="3"/>
      <c r="AW8627" s="7"/>
      <c r="AX8627" s="7"/>
    </row>
    <row r="8628" spans="14:50" x14ac:dyDescent="0.25">
      <c r="N8628" s="3"/>
      <c r="AW8628" s="7"/>
      <c r="AX8628" s="7"/>
    </row>
    <row r="8629" spans="14:50" x14ac:dyDescent="0.25">
      <c r="N8629" s="3"/>
      <c r="AW8629" s="7"/>
      <c r="AX8629" s="7"/>
    </row>
    <row r="8630" spans="14:50" x14ac:dyDescent="0.25">
      <c r="N8630" s="3"/>
      <c r="AW8630" s="7"/>
      <c r="AX8630" s="7"/>
    </row>
    <row r="8631" spans="14:50" x14ac:dyDescent="0.25">
      <c r="N8631" s="3"/>
      <c r="AW8631" s="7"/>
      <c r="AX8631" s="7"/>
    </row>
    <row r="8632" spans="14:50" x14ac:dyDescent="0.25">
      <c r="N8632" s="3"/>
      <c r="AW8632" s="7"/>
      <c r="AX8632" s="7"/>
    </row>
    <row r="8633" spans="14:50" x14ac:dyDescent="0.25">
      <c r="N8633" s="3"/>
      <c r="AW8633" s="7"/>
      <c r="AX8633" s="7"/>
    </row>
    <row r="8634" spans="14:50" x14ac:dyDescent="0.25">
      <c r="N8634" s="3"/>
      <c r="AW8634" s="7"/>
      <c r="AX8634" s="7"/>
    </row>
    <row r="8635" spans="14:50" x14ac:dyDescent="0.25">
      <c r="N8635" s="3"/>
      <c r="AW8635" s="7"/>
      <c r="AX8635" s="7"/>
    </row>
    <row r="8636" spans="14:50" x14ac:dyDescent="0.25">
      <c r="N8636" s="3"/>
      <c r="AW8636" s="7"/>
      <c r="AX8636" s="7"/>
    </row>
    <row r="8637" spans="14:50" x14ac:dyDescent="0.25">
      <c r="N8637" s="3"/>
      <c r="AW8637" s="7"/>
      <c r="AX8637" s="7"/>
    </row>
    <row r="8638" spans="14:50" x14ac:dyDescent="0.25">
      <c r="N8638" s="3"/>
      <c r="AW8638" s="7"/>
      <c r="AX8638" s="7"/>
    </row>
    <row r="8639" spans="14:50" x14ac:dyDescent="0.25">
      <c r="N8639" s="3"/>
      <c r="AW8639" s="7"/>
      <c r="AX8639" s="7"/>
    </row>
    <row r="8640" spans="14:50" x14ac:dyDescent="0.25">
      <c r="N8640" s="3"/>
      <c r="AW8640" s="7"/>
      <c r="AX8640" s="7"/>
    </row>
    <row r="8641" spans="14:50" x14ac:dyDescent="0.25">
      <c r="N8641" s="3"/>
      <c r="AW8641" s="7"/>
      <c r="AX8641" s="7"/>
    </row>
    <row r="8642" spans="14:50" x14ac:dyDescent="0.25">
      <c r="N8642" s="3"/>
      <c r="AW8642" s="7"/>
      <c r="AX8642" s="7"/>
    </row>
    <row r="8643" spans="14:50" x14ac:dyDescent="0.25">
      <c r="N8643" s="3"/>
      <c r="AW8643" s="7"/>
      <c r="AX8643" s="7"/>
    </row>
    <row r="8644" spans="14:50" x14ac:dyDescent="0.25">
      <c r="N8644" s="3"/>
      <c r="AW8644" s="7"/>
      <c r="AX8644" s="7"/>
    </row>
    <row r="8645" spans="14:50" x14ac:dyDescent="0.25">
      <c r="N8645" s="3"/>
      <c r="AW8645" s="7"/>
      <c r="AX8645" s="7"/>
    </row>
    <row r="8646" spans="14:50" x14ac:dyDescent="0.25">
      <c r="N8646" s="3"/>
      <c r="AW8646" s="7"/>
      <c r="AX8646" s="7"/>
    </row>
    <row r="8647" spans="14:50" x14ac:dyDescent="0.25">
      <c r="N8647" s="3"/>
      <c r="AW8647" s="7"/>
      <c r="AX8647" s="7"/>
    </row>
    <row r="8648" spans="14:50" x14ac:dyDescent="0.25">
      <c r="N8648" s="3"/>
      <c r="AW8648" s="7"/>
      <c r="AX8648" s="7"/>
    </row>
    <row r="8649" spans="14:50" x14ac:dyDescent="0.25">
      <c r="N8649" s="3"/>
      <c r="AW8649" s="7"/>
      <c r="AX8649" s="7"/>
    </row>
    <row r="8650" spans="14:50" x14ac:dyDescent="0.25">
      <c r="N8650" s="3"/>
      <c r="AW8650" s="7"/>
      <c r="AX8650" s="7"/>
    </row>
    <row r="8651" spans="14:50" x14ac:dyDescent="0.25">
      <c r="N8651" s="3"/>
      <c r="AW8651" s="7"/>
      <c r="AX8651" s="7"/>
    </row>
    <row r="8652" spans="14:50" x14ac:dyDescent="0.25">
      <c r="N8652" s="3"/>
      <c r="AW8652" s="7"/>
      <c r="AX8652" s="7"/>
    </row>
    <row r="8653" spans="14:50" x14ac:dyDescent="0.25">
      <c r="N8653" s="3"/>
      <c r="AW8653" s="7"/>
      <c r="AX8653" s="7"/>
    </row>
    <row r="8654" spans="14:50" x14ac:dyDescent="0.25">
      <c r="N8654" s="3"/>
      <c r="AW8654" s="7"/>
      <c r="AX8654" s="7"/>
    </row>
    <row r="8655" spans="14:50" x14ac:dyDescent="0.25">
      <c r="N8655" s="3"/>
      <c r="AW8655" s="7"/>
      <c r="AX8655" s="7"/>
    </row>
    <row r="8656" spans="14:50" x14ac:dyDescent="0.25">
      <c r="N8656" s="3"/>
      <c r="AW8656" s="7"/>
      <c r="AX8656" s="7"/>
    </row>
    <row r="8657" spans="14:50" x14ac:dyDescent="0.25">
      <c r="N8657" s="3"/>
      <c r="AW8657" s="7"/>
      <c r="AX8657" s="7"/>
    </row>
    <row r="8658" spans="14:50" x14ac:dyDescent="0.25">
      <c r="N8658" s="3"/>
      <c r="AW8658" s="7"/>
      <c r="AX8658" s="7"/>
    </row>
    <row r="8659" spans="14:50" x14ac:dyDescent="0.25">
      <c r="N8659" s="3"/>
      <c r="AW8659" s="7"/>
      <c r="AX8659" s="7"/>
    </row>
    <row r="8660" spans="14:50" x14ac:dyDescent="0.25">
      <c r="N8660" s="3"/>
      <c r="AW8660" s="7"/>
      <c r="AX8660" s="7"/>
    </row>
    <row r="8661" spans="14:50" x14ac:dyDescent="0.25">
      <c r="N8661" s="3"/>
      <c r="AW8661" s="7"/>
      <c r="AX8661" s="7"/>
    </row>
    <row r="8662" spans="14:50" x14ac:dyDescent="0.25">
      <c r="N8662" s="3"/>
      <c r="AW8662" s="7"/>
      <c r="AX8662" s="7"/>
    </row>
    <row r="8663" spans="14:50" x14ac:dyDescent="0.25">
      <c r="N8663" s="3"/>
      <c r="AW8663" s="7"/>
      <c r="AX8663" s="7"/>
    </row>
    <row r="8664" spans="14:50" x14ac:dyDescent="0.25">
      <c r="N8664" s="3"/>
      <c r="AW8664" s="7"/>
      <c r="AX8664" s="7"/>
    </row>
    <row r="8665" spans="14:50" x14ac:dyDescent="0.25">
      <c r="N8665" s="3"/>
      <c r="AW8665" s="7"/>
      <c r="AX8665" s="7"/>
    </row>
    <row r="8666" spans="14:50" x14ac:dyDescent="0.25">
      <c r="N8666" s="3"/>
      <c r="AW8666" s="7"/>
      <c r="AX8666" s="7"/>
    </row>
    <row r="8667" spans="14:50" x14ac:dyDescent="0.25">
      <c r="N8667" s="3"/>
      <c r="AW8667" s="7"/>
      <c r="AX8667" s="7"/>
    </row>
    <row r="8668" spans="14:50" x14ac:dyDescent="0.25">
      <c r="N8668" s="3"/>
      <c r="AW8668" s="7"/>
      <c r="AX8668" s="7"/>
    </row>
    <row r="8669" spans="14:50" x14ac:dyDescent="0.25">
      <c r="N8669" s="3"/>
      <c r="AW8669" s="7"/>
      <c r="AX8669" s="7"/>
    </row>
    <row r="8670" spans="14:50" x14ac:dyDescent="0.25">
      <c r="N8670" s="3"/>
      <c r="AW8670" s="7"/>
      <c r="AX8670" s="7"/>
    </row>
    <row r="8671" spans="14:50" x14ac:dyDescent="0.25">
      <c r="N8671" s="3"/>
      <c r="AW8671" s="7"/>
      <c r="AX8671" s="7"/>
    </row>
    <row r="8672" spans="14:50" x14ac:dyDescent="0.25">
      <c r="N8672" s="3"/>
      <c r="AW8672" s="7"/>
      <c r="AX8672" s="7"/>
    </row>
    <row r="8673" spans="14:50" x14ac:dyDescent="0.25">
      <c r="N8673" s="3"/>
      <c r="AW8673" s="7"/>
      <c r="AX8673" s="7"/>
    </row>
    <row r="8674" spans="14:50" x14ac:dyDescent="0.25">
      <c r="N8674" s="3"/>
      <c r="AW8674" s="7"/>
      <c r="AX8674" s="7"/>
    </row>
    <row r="8675" spans="14:50" x14ac:dyDescent="0.25">
      <c r="N8675" s="3"/>
      <c r="AW8675" s="7"/>
      <c r="AX8675" s="7"/>
    </row>
    <row r="8676" spans="14:50" x14ac:dyDescent="0.25">
      <c r="N8676" s="3"/>
      <c r="AW8676" s="7"/>
      <c r="AX8676" s="7"/>
    </row>
    <row r="8677" spans="14:50" x14ac:dyDescent="0.25">
      <c r="N8677" s="3"/>
      <c r="AW8677" s="7"/>
      <c r="AX8677" s="7"/>
    </row>
    <row r="8678" spans="14:50" x14ac:dyDescent="0.25">
      <c r="N8678" s="3"/>
      <c r="AW8678" s="7"/>
      <c r="AX8678" s="7"/>
    </row>
    <row r="8679" spans="14:50" x14ac:dyDescent="0.25">
      <c r="N8679" s="3"/>
      <c r="AW8679" s="7"/>
      <c r="AX8679" s="7"/>
    </row>
    <row r="8680" spans="14:50" x14ac:dyDescent="0.25">
      <c r="N8680" s="3"/>
      <c r="AW8680" s="7"/>
      <c r="AX8680" s="7"/>
    </row>
    <row r="8681" spans="14:50" x14ac:dyDescent="0.25">
      <c r="N8681" s="3"/>
      <c r="AW8681" s="7"/>
      <c r="AX8681" s="7"/>
    </row>
    <row r="8682" spans="14:50" x14ac:dyDescent="0.25">
      <c r="N8682" s="3"/>
      <c r="AW8682" s="7"/>
      <c r="AX8682" s="7"/>
    </row>
    <row r="8683" spans="14:50" x14ac:dyDescent="0.25">
      <c r="N8683" s="3"/>
      <c r="AW8683" s="7"/>
      <c r="AX8683" s="7"/>
    </row>
    <row r="8684" spans="14:50" x14ac:dyDescent="0.25">
      <c r="N8684" s="3"/>
      <c r="AW8684" s="7"/>
      <c r="AX8684" s="7"/>
    </row>
    <row r="8685" spans="14:50" x14ac:dyDescent="0.25">
      <c r="N8685" s="3"/>
      <c r="AW8685" s="7"/>
      <c r="AX8685" s="7"/>
    </row>
    <row r="8686" spans="14:50" x14ac:dyDescent="0.25">
      <c r="N8686" s="3"/>
      <c r="AW8686" s="7"/>
      <c r="AX8686" s="7"/>
    </row>
    <row r="8687" spans="14:50" x14ac:dyDescent="0.25">
      <c r="N8687" s="3"/>
      <c r="AW8687" s="7"/>
      <c r="AX8687" s="7"/>
    </row>
    <row r="8688" spans="14:50" x14ac:dyDescent="0.25">
      <c r="N8688" s="3"/>
      <c r="AW8688" s="7"/>
      <c r="AX8688" s="7"/>
    </row>
    <row r="8689" spans="14:50" x14ac:dyDescent="0.25">
      <c r="N8689" s="3"/>
      <c r="AW8689" s="7"/>
      <c r="AX8689" s="7"/>
    </row>
    <row r="8690" spans="14:50" x14ac:dyDescent="0.25">
      <c r="N8690" s="3"/>
      <c r="AW8690" s="7"/>
      <c r="AX8690" s="7"/>
    </row>
    <row r="8691" spans="14:50" x14ac:dyDescent="0.25">
      <c r="N8691" s="3"/>
      <c r="AW8691" s="7"/>
      <c r="AX8691" s="7"/>
    </row>
    <row r="8692" spans="14:50" x14ac:dyDescent="0.25">
      <c r="N8692" s="3"/>
      <c r="AW8692" s="7"/>
      <c r="AX8692" s="7"/>
    </row>
    <row r="8693" spans="14:50" x14ac:dyDescent="0.25">
      <c r="N8693" s="3"/>
      <c r="AW8693" s="7"/>
      <c r="AX8693" s="7"/>
    </row>
    <row r="8694" spans="14:50" x14ac:dyDescent="0.25">
      <c r="N8694" s="3"/>
      <c r="AW8694" s="7"/>
      <c r="AX8694" s="7"/>
    </row>
    <row r="8695" spans="14:50" x14ac:dyDescent="0.25">
      <c r="N8695" s="3"/>
      <c r="AW8695" s="7"/>
      <c r="AX8695" s="7"/>
    </row>
    <row r="8696" spans="14:50" x14ac:dyDescent="0.25">
      <c r="N8696" s="3"/>
      <c r="AW8696" s="7"/>
      <c r="AX8696" s="7"/>
    </row>
    <row r="8697" spans="14:50" x14ac:dyDescent="0.25">
      <c r="N8697" s="3"/>
      <c r="AW8697" s="7"/>
      <c r="AX8697" s="7"/>
    </row>
    <row r="8698" spans="14:50" x14ac:dyDescent="0.25">
      <c r="N8698" s="3"/>
      <c r="AW8698" s="7"/>
      <c r="AX8698" s="7"/>
    </row>
    <row r="8699" spans="14:50" x14ac:dyDescent="0.25">
      <c r="N8699" s="3"/>
      <c r="AW8699" s="7"/>
      <c r="AX8699" s="7"/>
    </row>
    <row r="8700" spans="14:50" x14ac:dyDescent="0.25">
      <c r="N8700" s="3"/>
      <c r="AW8700" s="7"/>
      <c r="AX8700" s="7"/>
    </row>
    <row r="8701" spans="14:50" x14ac:dyDescent="0.25">
      <c r="N8701" s="3"/>
      <c r="AW8701" s="7"/>
      <c r="AX8701" s="7"/>
    </row>
    <row r="8702" spans="14:50" x14ac:dyDescent="0.25">
      <c r="N8702" s="3"/>
      <c r="AW8702" s="7"/>
      <c r="AX8702" s="7"/>
    </row>
    <row r="8703" spans="14:50" x14ac:dyDescent="0.25">
      <c r="N8703" s="3"/>
      <c r="AW8703" s="7"/>
      <c r="AX8703" s="7"/>
    </row>
    <row r="8704" spans="14:50" x14ac:dyDescent="0.25">
      <c r="N8704" s="3"/>
      <c r="AW8704" s="7"/>
      <c r="AX8704" s="7"/>
    </row>
    <row r="8705" spans="14:50" x14ac:dyDescent="0.25">
      <c r="N8705" s="3"/>
      <c r="AW8705" s="7"/>
      <c r="AX8705" s="7"/>
    </row>
    <row r="8706" spans="14:50" x14ac:dyDescent="0.25">
      <c r="N8706" s="3"/>
      <c r="AW8706" s="7"/>
      <c r="AX8706" s="7"/>
    </row>
    <row r="8707" spans="14:50" x14ac:dyDescent="0.25">
      <c r="N8707" s="3"/>
      <c r="AW8707" s="7"/>
      <c r="AX8707" s="7"/>
    </row>
    <row r="8708" spans="14:50" x14ac:dyDescent="0.25">
      <c r="N8708" s="3"/>
      <c r="AW8708" s="7"/>
      <c r="AX8708" s="7"/>
    </row>
    <row r="8709" spans="14:50" x14ac:dyDescent="0.25">
      <c r="N8709" s="3"/>
      <c r="AW8709" s="7"/>
      <c r="AX8709" s="7"/>
    </row>
    <row r="8710" spans="14:50" x14ac:dyDescent="0.25">
      <c r="N8710" s="3"/>
      <c r="AW8710" s="7"/>
      <c r="AX8710" s="7"/>
    </row>
    <row r="8711" spans="14:50" x14ac:dyDescent="0.25">
      <c r="N8711" s="3"/>
      <c r="AW8711" s="7"/>
      <c r="AX8711" s="7"/>
    </row>
    <row r="8712" spans="14:50" x14ac:dyDescent="0.25">
      <c r="N8712" s="3"/>
      <c r="AW8712" s="7"/>
      <c r="AX8712" s="7"/>
    </row>
    <row r="8713" spans="14:50" x14ac:dyDescent="0.25">
      <c r="N8713" s="3"/>
      <c r="AW8713" s="7"/>
      <c r="AX8713" s="7"/>
    </row>
    <row r="8714" spans="14:50" x14ac:dyDescent="0.25">
      <c r="N8714" s="3"/>
      <c r="AW8714" s="7"/>
      <c r="AX8714" s="7"/>
    </row>
    <row r="8715" spans="14:50" x14ac:dyDescent="0.25">
      <c r="N8715" s="3"/>
      <c r="AW8715" s="7"/>
      <c r="AX8715" s="7"/>
    </row>
    <row r="8716" spans="14:50" x14ac:dyDescent="0.25">
      <c r="N8716" s="3"/>
      <c r="AW8716" s="7"/>
      <c r="AX8716" s="7"/>
    </row>
    <row r="8717" spans="14:50" x14ac:dyDescent="0.25">
      <c r="N8717" s="3"/>
      <c r="AW8717" s="7"/>
      <c r="AX8717" s="7"/>
    </row>
    <row r="8718" spans="14:50" x14ac:dyDescent="0.25">
      <c r="N8718" s="3"/>
      <c r="AW8718" s="7"/>
      <c r="AX8718" s="7"/>
    </row>
    <row r="8719" spans="14:50" x14ac:dyDescent="0.25">
      <c r="N8719" s="3"/>
      <c r="AW8719" s="7"/>
      <c r="AX8719" s="7"/>
    </row>
    <row r="8720" spans="14:50" x14ac:dyDescent="0.25">
      <c r="N8720" s="3"/>
      <c r="AW8720" s="7"/>
      <c r="AX8720" s="7"/>
    </row>
    <row r="8721" spans="14:50" x14ac:dyDescent="0.25">
      <c r="N8721" s="3"/>
      <c r="AW8721" s="7"/>
      <c r="AX8721" s="7"/>
    </row>
    <row r="8722" spans="14:50" x14ac:dyDescent="0.25">
      <c r="N8722" s="3"/>
      <c r="AW8722" s="7"/>
      <c r="AX8722" s="7"/>
    </row>
    <row r="8723" spans="14:50" x14ac:dyDescent="0.25">
      <c r="N8723" s="3"/>
      <c r="AW8723" s="7"/>
      <c r="AX8723" s="7"/>
    </row>
    <row r="8724" spans="14:50" x14ac:dyDescent="0.25">
      <c r="N8724" s="3"/>
      <c r="AW8724" s="7"/>
      <c r="AX8724" s="7"/>
    </row>
    <row r="8725" spans="14:50" x14ac:dyDescent="0.25">
      <c r="N8725" s="3"/>
      <c r="AW8725" s="7"/>
      <c r="AX8725" s="7"/>
    </row>
    <row r="8726" spans="14:50" x14ac:dyDescent="0.25">
      <c r="N8726" s="3"/>
      <c r="AW8726" s="7"/>
      <c r="AX8726" s="7"/>
    </row>
    <row r="8727" spans="14:50" x14ac:dyDescent="0.25">
      <c r="N8727" s="3"/>
      <c r="AW8727" s="7"/>
      <c r="AX8727" s="7"/>
    </row>
    <row r="8728" spans="14:50" x14ac:dyDescent="0.25">
      <c r="N8728" s="3"/>
      <c r="AW8728" s="7"/>
      <c r="AX8728" s="7"/>
    </row>
    <row r="8729" spans="14:50" x14ac:dyDescent="0.25">
      <c r="N8729" s="3"/>
      <c r="AW8729" s="7"/>
      <c r="AX8729" s="7"/>
    </row>
    <row r="8730" spans="14:50" x14ac:dyDescent="0.25">
      <c r="N8730" s="3"/>
      <c r="AW8730" s="7"/>
      <c r="AX8730" s="7"/>
    </row>
    <row r="8731" spans="14:50" x14ac:dyDescent="0.25">
      <c r="N8731" s="3"/>
      <c r="AW8731" s="7"/>
      <c r="AX8731" s="7"/>
    </row>
    <row r="8732" spans="14:50" x14ac:dyDescent="0.25">
      <c r="N8732" s="3"/>
      <c r="AW8732" s="7"/>
      <c r="AX8732" s="7"/>
    </row>
    <row r="8733" spans="14:50" x14ac:dyDescent="0.25">
      <c r="N8733" s="3"/>
      <c r="AW8733" s="7"/>
      <c r="AX8733" s="7"/>
    </row>
    <row r="8734" spans="14:50" x14ac:dyDescent="0.25">
      <c r="N8734" s="3"/>
      <c r="AW8734" s="7"/>
      <c r="AX8734" s="7"/>
    </row>
    <row r="8735" spans="14:50" x14ac:dyDescent="0.25">
      <c r="N8735" s="3"/>
      <c r="AW8735" s="7"/>
      <c r="AX8735" s="7"/>
    </row>
    <row r="8736" spans="14:50" x14ac:dyDescent="0.25">
      <c r="N8736" s="3"/>
      <c r="AW8736" s="7"/>
      <c r="AX8736" s="7"/>
    </row>
    <row r="8737" spans="14:50" x14ac:dyDescent="0.25">
      <c r="N8737" s="3"/>
      <c r="AW8737" s="7"/>
      <c r="AX8737" s="7"/>
    </row>
    <row r="8738" spans="14:50" x14ac:dyDescent="0.25">
      <c r="N8738" s="3"/>
      <c r="AW8738" s="7"/>
      <c r="AX8738" s="7"/>
    </row>
    <row r="8739" spans="14:50" x14ac:dyDescent="0.25">
      <c r="N8739" s="3"/>
      <c r="AW8739" s="7"/>
      <c r="AX8739" s="7"/>
    </row>
    <row r="8740" spans="14:50" x14ac:dyDescent="0.25">
      <c r="N8740" s="3"/>
      <c r="AW8740" s="7"/>
      <c r="AX8740" s="7"/>
    </row>
    <row r="8741" spans="14:50" x14ac:dyDescent="0.25">
      <c r="N8741" s="3"/>
      <c r="AW8741" s="7"/>
      <c r="AX8741" s="7"/>
    </row>
    <row r="8742" spans="14:50" x14ac:dyDescent="0.25">
      <c r="N8742" s="3"/>
      <c r="AW8742" s="7"/>
      <c r="AX8742" s="7"/>
    </row>
    <row r="8743" spans="14:50" x14ac:dyDescent="0.25">
      <c r="N8743" s="3"/>
      <c r="AW8743" s="7"/>
      <c r="AX8743" s="7"/>
    </row>
    <row r="8744" spans="14:50" x14ac:dyDescent="0.25">
      <c r="N8744" s="3"/>
      <c r="AW8744" s="7"/>
      <c r="AX8744" s="7"/>
    </row>
    <row r="8745" spans="14:50" x14ac:dyDescent="0.25">
      <c r="N8745" s="3"/>
      <c r="AW8745" s="7"/>
      <c r="AX8745" s="7"/>
    </row>
    <row r="8746" spans="14:50" x14ac:dyDescent="0.25">
      <c r="N8746" s="3"/>
      <c r="AW8746" s="7"/>
      <c r="AX8746" s="7"/>
    </row>
    <row r="8747" spans="14:50" x14ac:dyDescent="0.25">
      <c r="N8747" s="3"/>
      <c r="AW8747" s="7"/>
      <c r="AX8747" s="7"/>
    </row>
    <row r="8748" spans="14:50" x14ac:dyDescent="0.25">
      <c r="N8748" s="3"/>
      <c r="AW8748" s="7"/>
      <c r="AX8748" s="7"/>
    </row>
    <row r="8749" spans="14:50" x14ac:dyDescent="0.25">
      <c r="N8749" s="3"/>
      <c r="AW8749" s="7"/>
      <c r="AX8749" s="7"/>
    </row>
    <row r="8750" spans="14:50" x14ac:dyDescent="0.25">
      <c r="N8750" s="3"/>
      <c r="AW8750" s="7"/>
      <c r="AX8750" s="7"/>
    </row>
    <row r="8751" spans="14:50" x14ac:dyDescent="0.25">
      <c r="N8751" s="3"/>
      <c r="AW8751" s="7"/>
      <c r="AX8751" s="7"/>
    </row>
    <row r="8752" spans="14:50" x14ac:dyDescent="0.25">
      <c r="N8752" s="3"/>
      <c r="AW8752" s="7"/>
      <c r="AX8752" s="7"/>
    </row>
    <row r="8753" spans="14:50" x14ac:dyDescent="0.25">
      <c r="N8753" s="3"/>
      <c r="AW8753" s="7"/>
      <c r="AX8753" s="7"/>
    </row>
    <row r="8754" spans="14:50" x14ac:dyDescent="0.25">
      <c r="N8754" s="3"/>
      <c r="AW8754" s="7"/>
      <c r="AX8754" s="7"/>
    </row>
    <row r="8755" spans="14:50" x14ac:dyDescent="0.25">
      <c r="N8755" s="3"/>
      <c r="AW8755" s="7"/>
      <c r="AX8755" s="7"/>
    </row>
    <row r="8756" spans="14:50" x14ac:dyDescent="0.25">
      <c r="N8756" s="3"/>
      <c r="AW8756" s="7"/>
      <c r="AX8756" s="7"/>
    </row>
    <row r="8757" spans="14:50" x14ac:dyDescent="0.25">
      <c r="N8757" s="3"/>
      <c r="AW8757" s="7"/>
      <c r="AX8757" s="7"/>
    </row>
    <row r="8758" spans="14:50" x14ac:dyDescent="0.25">
      <c r="N8758" s="3"/>
      <c r="AW8758" s="7"/>
      <c r="AX8758" s="7"/>
    </row>
    <row r="8759" spans="14:50" x14ac:dyDescent="0.25">
      <c r="N8759" s="3"/>
      <c r="AW8759" s="7"/>
      <c r="AX8759" s="7"/>
    </row>
    <row r="8760" spans="14:50" x14ac:dyDescent="0.25">
      <c r="N8760" s="3"/>
      <c r="AW8760" s="7"/>
      <c r="AX8760" s="7"/>
    </row>
    <row r="8761" spans="14:50" x14ac:dyDescent="0.25">
      <c r="N8761" s="3"/>
      <c r="AW8761" s="7"/>
      <c r="AX8761" s="7"/>
    </row>
    <row r="8762" spans="14:50" x14ac:dyDescent="0.25">
      <c r="N8762" s="3"/>
      <c r="AW8762" s="7"/>
      <c r="AX8762" s="7"/>
    </row>
    <row r="8763" spans="14:50" x14ac:dyDescent="0.25">
      <c r="N8763" s="3"/>
      <c r="AW8763" s="7"/>
      <c r="AX8763" s="7"/>
    </row>
    <row r="8764" spans="14:50" x14ac:dyDescent="0.25">
      <c r="N8764" s="3"/>
      <c r="AW8764" s="7"/>
      <c r="AX8764" s="7"/>
    </row>
    <row r="8765" spans="14:50" x14ac:dyDescent="0.25">
      <c r="N8765" s="3"/>
      <c r="AW8765" s="7"/>
      <c r="AX8765" s="7"/>
    </row>
    <row r="8766" spans="14:50" x14ac:dyDescent="0.25">
      <c r="N8766" s="3"/>
      <c r="AW8766" s="7"/>
      <c r="AX8766" s="7"/>
    </row>
    <row r="8767" spans="14:50" x14ac:dyDescent="0.25">
      <c r="N8767" s="3"/>
      <c r="AW8767" s="7"/>
      <c r="AX8767" s="7"/>
    </row>
    <row r="8768" spans="14:50" x14ac:dyDescent="0.25">
      <c r="N8768" s="3"/>
      <c r="AW8768" s="7"/>
      <c r="AX8768" s="7"/>
    </row>
    <row r="8769" spans="14:50" x14ac:dyDescent="0.25">
      <c r="N8769" s="3"/>
      <c r="AW8769" s="7"/>
      <c r="AX8769" s="7"/>
    </row>
    <row r="8770" spans="14:50" x14ac:dyDescent="0.25">
      <c r="N8770" s="3"/>
      <c r="AW8770" s="7"/>
      <c r="AX8770" s="7"/>
    </row>
    <row r="8771" spans="14:50" x14ac:dyDescent="0.25">
      <c r="N8771" s="3"/>
      <c r="AW8771" s="7"/>
      <c r="AX8771" s="7"/>
    </row>
    <row r="8772" spans="14:50" x14ac:dyDescent="0.25">
      <c r="N8772" s="3"/>
      <c r="AW8772" s="7"/>
      <c r="AX8772" s="7"/>
    </row>
    <row r="8773" spans="14:50" x14ac:dyDescent="0.25">
      <c r="N8773" s="3"/>
      <c r="AW8773" s="7"/>
      <c r="AX8773" s="7"/>
    </row>
    <row r="8774" spans="14:50" x14ac:dyDescent="0.25">
      <c r="N8774" s="3"/>
      <c r="AW8774" s="7"/>
      <c r="AX8774" s="7"/>
    </row>
    <row r="8775" spans="14:50" x14ac:dyDescent="0.25">
      <c r="N8775" s="3"/>
      <c r="AW8775" s="7"/>
      <c r="AX8775" s="7"/>
    </row>
    <row r="8776" spans="14:50" x14ac:dyDescent="0.25">
      <c r="N8776" s="3"/>
      <c r="AW8776" s="7"/>
      <c r="AX8776" s="7"/>
    </row>
    <row r="8777" spans="14:50" x14ac:dyDescent="0.25">
      <c r="N8777" s="3"/>
      <c r="AW8777" s="7"/>
      <c r="AX8777" s="7"/>
    </row>
    <row r="8778" spans="14:50" x14ac:dyDescent="0.25">
      <c r="N8778" s="3"/>
      <c r="AW8778" s="7"/>
      <c r="AX8778" s="7"/>
    </row>
    <row r="8779" spans="14:50" x14ac:dyDescent="0.25">
      <c r="N8779" s="3"/>
      <c r="AW8779" s="7"/>
      <c r="AX8779" s="7"/>
    </row>
    <row r="8780" spans="14:50" x14ac:dyDescent="0.25">
      <c r="N8780" s="3"/>
      <c r="AW8780" s="7"/>
      <c r="AX8780" s="7"/>
    </row>
    <row r="8781" spans="14:50" x14ac:dyDescent="0.25">
      <c r="N8781" s="3"/>
      <c r="AW8781" s="7"/>
      <c r="AX8781" s="7"/>
    </row>
    <row r="8782" spans="14:50" x14ac:dyDescent="0.25">
      <c r="N8782" s="3"/>
      <c r="AW8782" s="7"/>
      <c r="AX8782" s="7"/>
    </row>
    <row r="8783" spans="14:50" x14ac:dyDescent="0.25">
      <c r="N8783" s="3"/>
      <c r="AW8783" s="7"/>
      <c r="AX8783" s="7"/>
    </row>
    <row r="8784" spans="14:50" x14ac:dyDescent="0.25">
      <c r="N8784" s="3"/>
      <c r="AW8784" s="7"/>
      <c r="AX8784" s="7"/>
    </row>
    <row r="8785" spans="14:50" x14ac:dyDescent="0.25">
      <c r="N8785" s="3"/>
      <c r="AW8785" s="7"/>
      <c r="AX8785" s="7"/>
    </row>
    <row r="8786" spans="14:50" x14ac:dyDescent="0.25">
      <c r="N8786" s="3"/>
      <c r="AW8786" s="7"/>
      <c r="AX8786" s="7"/>
    </row>
    <row r="8787" spans="14:50" x14ac:dyDescent="0.25">
      <c r="N8787" s="3"/>
      <c r="AW8787" s="7"/>
      <c r="AX8787" s="7"/>
    </row>
    <row r="8788" spans="14:50" x14ac:dyDescent="0.25">
      <c r="N8788" s="3"/>
      <c r="AW8788" s="7"/>
      <c r="AX8788" s="7"/>
    </row>
    <row r="8789" spans="14:50" x14ac:dyDescent="0.25">
      <c r="N8789" s="3"/>
      <c r="AW8789" s="7"/>
      <c r="AX8789" s="7"/>
    </row>
    <row r="8790" spans="14:50" x14ac:dyDescent="0.25">
      <c r="N8790" s="3"/>
      <c r="AW8790" s="7"/>
      <c r="AX8790" s="7"/>
    </row>
    <row r="8791" spans="14:50" x14ac:dyDescent="0.25">
      <c r="N8791" s="3"/>
      <c r="AW8791" s="7"/>
      <c r="AX8791" s="7"/>
    </row>
    <row r="8792" spans="14:50" x14ac:dyDescent="0.25">
      <c r="N8792" s="3"/>
      <c r="AW8792" s="7"/>
      <c r="AX8792" s="7"/>
    </row>
    <row r="8793" spans="14:50" x14ac:dyDescent="0.25">
      <c r="N8793" s="3"/>
      <c r="AW8793" s="7"/>
      <c r="AX8793" s="7"/>
    </row>
    <row r="8794" spans="14:50" x14ac:dyDescent="0.25">
      <c r="N8794" s="3"/>
      <c r="AW8794" s="7"/>
      <c r="AX8794" s="7"/>
    </row>
    <row r="8795" spans="14:50" x14ac:dyDescent="0.25">
      <c r="N8795" s="3"/>
      <c r="AW8795" s="7"/>
      <c r="AX8795" s="7"/>
    </row>
    <row r="8796" spans="14:50" x14ac:dyDescent="0.25">
      <c r="N8796" s="3"/>
      <c r="AW8796" s="7"/>
      <c r="AX8796" s="7"/>
    </row>
    <row r="8797" spans="14:50" x14ac:dyDescent="0.25">
      <c r="N8797" s="3"/>
      <c r="AW8797" s="7"/>
      <c r="AX8797" s="7"/>
    </row>
    <row r="8798" spans="14:50" x14ac:dyDescent="0.25">
      <c r="N8798" s="3"/>
      <c r="AW8798" s="7"/>
      <c r="AX8798" s="7"/>
    </row>
    <row r="8799" spans="14:50" x14ac:dyDescent="0.25">
      <c r="N8799" s="3"/>
      <c r="AW8799" s="7"/>
      <c r="AX8799" s="7"/>
    </row>
    <row r="8800" spans="14:50" x14ac:dyDescent="0.25">
      <c r="N8800" s="3"/>
      <c r="AW8800" s="7"/>
      <c r="AX8800" s="7"/>
    </row>
    <row r="8801" spans="14:50" x14ac:dyDescent="0.25">
      <c r="N8801" s="3"/>
      <c r="AW8801" s="7"/>
      <c r="AX8801" s="7"/>
    </row>
    <row r="8802" spans="14:50" x14ac:dyDescent="0.25">
      <c r="N8802" s="3"/>
      <c r="AW8802" s="7"/>
      <c r="AX8802" s="7"/>
    </row>
    <row r="8803" spans="14:50" x14ac:dyDescent="0.25">
      <c r="N8803" s="3"/>
      <c r="AW8803" s="7"/>
      <c r="AX8803" s="7"/>
    </row>
    <row r="8804" spans="14:50" x14ac:dyDescent="0.25">
      <c r="N8804" s="3"/>
      <c r="AW8804" s="7"/>
      <c r="AX8804" s="7"/>
    </row>
    <row r="8805" spans="14:50" x14ac:dyDescent="0.25">
      <c r="N8805" s="3"/>
      <c r="AW8805" s="7"/>
      <c r="AX8805" s="7"/>
    </row>
    <row r="8806" spans="14:50" x14ac:dyDescent="0.25">
      <c r="N8806" s="3"/>
      <c r="AW8806" s="7"/>
      <c r="AX8806" s="7"/>
    </row>
    <row r="8807" spans="14:50" x14ac:dyDescent="0.25">
      <c r="N8807" s="3"/>
      <c r="AW8807" s="7"/>
      <c r="AX8807" s="7"/>
    </row>
    <row r="8808" spans="14:50" x14ac:dyDescent="0.25">
      <c r="N8808" s="3"/>
      <c r="AW8808" s="7"/>
      <c r="AX8808" s="7"/>
    </row>
    <row r="8809" spans="14:50" x14ac:dyDescent="0.25">
      <c r="N8809" s="3"/>
      <c r="AW8809" s="7"/>
      <c r="AX8809" s="7"/>
    </row>
    <row r="8810" spans="14:50" x14ac:dyDescent="0.25">
      <c r="N8810" s="3"/>
      <c r="AW8810" s="7"/>
      <c r="AX8810" s="7"/>
    </row>
    <row r="8811" spans="14:50" x14ac:dyDescent="0.25">
      <c r="N8811" s="3"/>
      <c r="AW8811" s="7"/>
      <c r="AX8811" s="7"/>
    </row>
    <row r="8812" spans="14:50" x14ac:dyDescent="0.25">
      <c r="N8812" s="3"/>
      <c r="AW8812" s="7"/>
      <c r="AX8812" s="7"/>
    </row>
    <row r="8813" spans="14:50" x14ac:dyDescent="0.25">
      <c r="N8813" s="3"/>
      <c r="AW8813" s="7"/>
      <c r="AX8813" s="7"/>
    </row>
    <row r="8814" spans="14:50" x14ac:dyDescent="0.25">
      <c r="N8814" s="3"/>
      <c r="AW8814" s="7"/>
      <c r="AX8814" s="7"/>
    </row>
    <row r="8815" spans="14:50" x14ac:dyDescent="0.25">
      <c r="N8815" s="3"/>
      <c r="AW8815" s="7"/>
      <c r="AX8815" s="7"/>
    </row>
    <row r="8816" spans="14:50" x14ac:dyDescent="0.25">
      <c r="N8816" s="3"/>
      <c r="AW8816" s="7"/>
      <c r="AX8816" s="7"/>
    </row>
    <row r="8817" spans="14:50" x14ac:dyDescent="0.25">
      <c r="N8817" s="3"/>
      <c r="AW8817" s="7"/>
      <c r="AX8817" s="7"/>
    </row>
    <row r="8818" spans="14:50" x14ac:dyDescent="0.25">
      <c r="N8818" s="3"/>
      <c r="AW8818" s="7"/>
      <c r="AX8818" s="7"/>
    </row>
    <row r="8819" spans="14:50" x14ac:dyDescent="0.25">
      <c r="N8819" s="3"/>
      <c r="AW8819" s="7"/>
      <c r="AX8819" s="7"/>
    </row>
    <row r="8820" spans="14:50" x14ac:dyDescent="0.25">
      <c r="N8820" s="3"/>
      <c r="AW8820" s="7"/>
      <c r="AX8820" s="7"/>
    </row>
    <row r="8821" spans="14:50" x14ac:dyDescent="0.25">
      <c r="N8821" s="3"/>
      <c r="AW8821" s="7"/>
      <c r="AX8821" s="7"/>
    </row>
    <row r="8822" spans="14:50" x14ac:dyDescent="0.25">
      <c r="N8822" s="3"/>
      <c r="AW8822" s="7"/>
      <c r="AX8822" s="7"/>
    </row>
    <row r="8823" spans="14:50" x14ac:dyDescent="0.25">
      <c r="N8823" s="3"/>
      <c r="AW8823" s="7"/>
      <c r="AX8823" s="7"/>
    </row>
    <row r="8824" spans="14:50" x14ac:dyDescent="0.25">
      <c r="N8824" s="3"/>
      <c r="AW8824" s="7"/>
      <c r="AX8824" s="7"/>
    </row>
    <row r="8825" spans="14:50" x14ac:dyDescent="0.25">
      <c r="N8825" s="3"/>
      <c r="AW8825" s="7"/>
      <c r="AX8825" s="7"/>
    </row>
    <row r="8826" spans="14:50" x14ac:dyDescent="0.25">
      <c r="N8826" s="3"/>
      <c r="AW8826" s="7"/>
      <c r="AX8826" s="7"/>
    </row>
    <row r="8827" spans="14:50" x14ac:dyDescent="0.25">
      <c r="N8827" s="3"/>
      <c r="AW8827" s="7"/>
      <c r="AX8827" s="7"/>
    </row>
    <row r="8828" spans="14:50" x14ac:dyDescent="0.25">
      <c r="N8828" s="3"/>
      <c r="AW8828" s="7"/>
      <c r="AX8828" s="7"/>
    </row>
    <row r="8829" spans="14:50" x14ac:dyDescent="0.25">
      <c r="N8829" s="3"/>
      <c r="AW8829" s="7"/>
      <c r="AX8829" s="7"/>
    </row>
    <row r="8830" spans="14:50" x14ac:dyDescent="0.25">
      <c r="N8830" s="3"/>
      <c r="AW8830" s="7"/>
      <c r="AX8830" s="7"/>
    </row>
    <row r="8831" spans="14:50" x14ac:dyDescent="0.25">
      <c r="N8831" s="3"/>
      <c r="AW8831" s="7"/>
      <c r="AX8831" s="7"/>
    </row>
    <row r="8832" spans="14:50" x14ac:dyDescent="0.25">
      <c r="N8832" s="3"/>
      <c r="AW8832" s="7"/>
      <c r="AX8832" s="7"/>
    </row>
    <row r="8833" spans="14:50" x14ac:dyDescent="0.25">
      <c r="N8833" s="3"/>
      <c r="AW8833" s="7"/>
      <c r="AX8833" s="7"/>
    </row>
    <row r="8834" spans="14:50" x14ac:dyDescent="0.25">
      <c r="N8834" s="3"/>
      <c r="AW8834" s="7"/>
      <c r="AX8834" s="7"/>
    </row>
    <row r="8835" spans="14:50" x14ac:dyDescent="0.25">
      <c r="N8835" s="3"/>
      <c r="AW8835" s="7"/>
      <c r="AX8835" s="7"/>
    </row>
    <row r="8836" spans="14:50" x14ac:dyDescent="0.25">
      <c r="N8836" s="3"/>
      <c r="AW8836" s="7"/>
      <c r="AX8836" s="7"/>
    </row>
    <row r="8837" spans="14:50" x14ac:dyDescent="0.25">
      <c r="N8837" s="3"/>
      <c r="AW8837" s="7"/>
      <c r="AX8837" s="7"/>
    </row>
    <row r="8838" spans="14:50" x14ac:dyDescent="0.25">
      <c r="N8838" s="3"/>
      <c r="AW8838" s="7"/>
      <c r="AX8838" s="7"/>
    </row>
    <row r="8839" spans="14:50" x14ac:dyDescent="0.25">
      <c r="N8839" s="3"/>
      <c r="AW8839" s="7"/>
      <c r="AX8839" s="7"/>
    </row>
    <row r="8840" spans="14:50" x14ac:dyDescent="0.25">
      <c r="N8840" s="3"/>
      <c r="AW8840" s="7"/>
      <c r="AX8840" s="7"/>
    </row>
    <row r="8841" spans="14:50" x14ac:dyDescent="0.25">
      <c r="N8841" s="3"/>
      <c r="AW8841" s="7"/>
      <c r="AX8841" s="7"/>
    </row>
    <row r="8842" spans="14:50" x14ac:dyDescent="0.25">
      <c r="N8842" s="3"/>
      <c r="AW8842" s="7"/>
      <c r="AX8842" s="7"/>
    </row>
    <row r="8843" spans="14:50" x14ac:dyDescent="0.25">
      <c r="N8843" s="3"/>
      <c r="AW8843" s="7"/>
      <c r="AX8843" s="7"/>
    </row>
    <row r="8844" spans="14:50" x14ac:dyDescent="0.25">
      <c r="N8844" s="3"/>
      <c r="AW8844" s="7"/>
      <c r="AX8844" s="7"/>
    </row>
    <row r="8845" spans="14:50" x14ac:dyDescent="0.25">
      <c r="N8845" s="3"/>
      <c r="AW8845" s="7"/>
      <c r="AX8845" s="7"/>
    </row>
    <row r="8846" spans="14:50" x14ac:dyDescent="0.25">
      <c r="N8846" s="3"/>
      <c r="AW8846" s="7"/>
      <c r="AX8846" s="7"/>
    </row>
    <row r="8847" spans="14:50" x14ac:dyDescent="0.25">
      <c r="N8847" s="3"/>
      <c r="AW8847" s="7"/>
      <c r="AX8847" s="7"/>
    </row>
    <row r="8848" spans="14:50" x14ac:dyDescent="0.25">
      <c r="N8848" s="3"/>
      <c r="AW8848" s="7"/>
      <c r="AX8848" s="7"/>
    </row>
    <row r="8849" spans="14:50" x14ac:dyDescent="0.25">
      <c r="N8849" s="3"/>
      <c r="AW8849" s="7"/>
      <c r="AX8849" s="7"/>
    </row>
    <row r="8850" spans="14:50" x14ac:dyDescent="0.25">
      <c r="N8850" s="3"/>
      <c r="AW8850" s="7"/>
      <c r="AX8850" s="7"/>
    </row>
    <row r="8851" spans="14:50" x14ac:dyDescent="0.25">
      <c r="N8851" s="3"/>
      <c r="AW8851" s="7"/>
      <c r="AX8851" s="7"/>
    </row>
    <row r="8852" spans="14:50" x14ac:dyDescent="0.25">
      <c r="N8852" s="3"/>
      <c r="AW8852" s="7"/>
      <c r="AX8852" s="7"/>
    </row>
    <row r="8853" spans="14:50" x14ac:dyDescent="0.25">
      <c r="N8853" s="3"/>
      <c r="AW8853" s="7"/>
      <c r="AX8853" s="7"/>
    </row>
    <row r="8854" spans="14:50" x14ac:dyDescent="0.25">
      <c r="N8854" s="3"/>
      <c r="AW8854" s="7"/>
      <c r="AX8854" s="7"/>
    </row>
    <row r="8855" spans="14:50" x14ac:dyDescent="0.25">
      <c r="N8855" s="3"/>
      <c r="AW8855" s="7"/>
      <c r="AX8855" s="7"/>
    </row>
    <row r="8856" spans="14:50" x14ac:dyDescent="0.25">
      <c r="N8856" s="3"/>
      <c r="AW8856" s="7"/>
      <c r="AX8856" s="7"/>
    </row>
    <row r="8857" spans="14:50" x14ac:dyDescent="0.25">
      <c r="N8857" s="3"/>
      <c r="AW8857" s="7"/>
      <c r="AX8857" s="7"/>
    </row>
    <row r="8858" spans="14:50" x14ac:dyDescent="0.25">
      <c r="N8858" s="3"/>
      <c r="AW8858" s="7"/>
      <c r="AX8858" s="7"/>
    </row>
    <row r="8859" spans="14:50" x14ac:dyDescent="0.25">
      <c r="N8859" s="3"/>
      <c r="AW8859" s="7"/>
      <c r="AX8859" s="7"/>
    </row>
    <row r="8860" spans="14:50" x14ac:dyDescent="0.25">
      <c r="N8860" s="3"/>
      <c r="AW8860" s="7"/>
      <c r="AX8860" s="7"/>
    </row>
    <row r="8861" spans="14:50" x14ac:dyDescent="0.25">
      <c r="N8861" s="3"/>
      <c r="AW8861" s="7"/>
      <c r="AX8861" s="7"/>
    </row>
    <row r="8862" spans="14:50" x14ac:dyDescent="0.25">
      <c r="N8862" s="3"/>
      <c r="AW8862" s="7"/>
      <c r="AX8862" s="7"/>
    </row>
    <row r="8863" spans="14:50" x14ac:dyDescent="0.25">
      <c r="N8863" s="3"/>
      <c r="AW8863" s="7"/>
      <c r="AX8863" s="7"/>
    </row>
    <row r="8864" spans="14:50" x14ac:dyDescent="0.25">
      <c r="N8864" s="3"/>
      <c r="AW8864" s="7"/>
      <c r="AX8864" s="7"/>
    </row>
    <row r="8865" spans="14:50" x14ac:dyDescent="0.25">
      <c r="N8865" s="3"/>
      <c r="AW8865" s="7"/>
      <c r="AX8865" s="7"/>
    </row>
    <row r="8866" spans="14:50" x14ac:dyDescent="0.25">
      <c r="N8866" s="3"/>
      <c r="AW8866" s="7"/>
      <c r="AX8866" s="7"/>
    </row>
    <row r="8867" spans="14:50" x14ac:dyDescent="0.25">
      <c r="N8867" s="3"/>
      <c r="AW8867" s="7"/>
      <c r="AX8867" s="7"/>
    </row>
    <row r="8868" spans="14:50" x14ac:dyDescent="0.25">
      <c r="N8868" s="3"/>
      <c r="AW8868" s="7"/>
      <c r="AX8868" s="7"/>
    </row>
    <row r="8869" spans="14:50" x14ac:dyDescent="0.25">
      <c r="N8869" s="3"/>
      <c r="AW8869" s="7"/>
      <c r="AX8869" s="7"/>
    </row>
    <row r="8870" spans="14:50" x14ac:dyDescent="0.25">
      <c r="N8870" s="3"/>
      <c r="AW8870" s="7"/>
      <c r="AX8870" s="7"/>
    </row>
    <row r="8871" spans="14:50" x14ac:dyDescent="0.25">
      <c r="N8871" s="3"/>
      <c r="AW8871" s="7"/>
      <c r="AX8871" s="7"/>
    </row>
    <row r="8872" spans="14:50" x14ac:dyDescent="0.25">
      <c r="N8872" s="3"/>
      <c r="AW8872" s="7"/>
      <c r="AX8872" s="7"/>
    </row>
    <row r="8873" spans="14:50" x14ac:dyDescent="0.25">
      <c r="N8873" s="3"/>
      <c r="AW8873" s="7"/>
      <c r="AX8873" s="7"/>
    </row>
    <row r="8874" spans="14:50" x14ac:dyDescent="0.25">
      <c r="N8874" s="3"/>
      <c r="AW8874" s="7"/>
      <c r="AX8874" s="7"/>
    </row>
    <row r="8875" spans="14:50" x14ac:dyDescent="0.25">
      <c r="N8875" s="3"/>
      <c r="AW8875" s="7"/>
      <c r="AX8875" s="7"/>
    </row>
    <row r="8876" spans="14:50" x14ac:dyDescent="0.25">
      <c r="N8876" s="3"/>
      <c r="AW8876" s="7"/>
      <c r="AX8876" s="7"/>
    </row>
    <row r="8877" spans="14:50" x14ac:dyDescent="0.25">
      <c r="N8877" s="3"/>
      <c r="AW8877" s="7"/>
      <c r="AX8877" s="7"/>
    </row>
    <row r="8878" spans="14:50" x14ac:dyDescent="0.25">
      <c r="N8878" s="3"/>
      <c r="AW8878" s="7"/>
      <c r="AX8878" s="7"/>
    </row>
    <row r="8879" spans="14:50" x14ac:dyDescent="0.25">
      <c r="N8879" s="3"/>
      <c r="AW8879" s="7"/>
      <c r="AX8879" s="7"/>
    </row>
    <row r="8880" spans="14:50" x14ac:dyDescent="0.25">
      <c r="N8880" s="3"/>
      <c r="AW8880" s="7"/>
      <c r="AX8880" s="7"/>
    </row>
    <row r="8881" spans="14:50" x14ac:dyDescent="0.25">
      <c r="N8881" s="3"/>
      <c r="AW8881" s="7"/>
      <c r="AX8881" s="7"/>
    </row>
    <row r="8882" spans="14:50" x14ac:dyDescent="0.25">
      <c r="N8882" s="3"/>
      <c r="AW8882" s="7"/>
      <c r="AX8882" s="7"/>
    </row>
    <row r="8883" spans="14:50" x14ac:dyDescent="0.25">
      <c r="N8883" s="3"/>
      <c r="AW8883" s="7"/>
      <c r="AX8883" s="7"/>
    </row>
    <row r="8884" spans="14:50" x14ac:dyDescent="0.25">
      <c r="N8884" s="3"/>
      <c r="AW8884" s="7"/>
      <c r="AX8884" s="7"/>
    </row>
    <row r="8885" spans="14:50" x14ac:dyDescent="0.25">
      <c r="N8885" s="3"/>
      <c r="AW8885" s="7"/>
      <c r="AX8885" s="7"/>
    </row>
    <row r="8886" spans="14:50" x14ac:dyDescent="0.25">
      <c r="N8886" s="3"/>
      <c r="AW8886" s="7"/>
      <c r="AX8886" s="7"/>
    </row>
    <row r="8887" spans="14:50" x14ac:dyDescent="0.25">
      <c r="N8887" s="3"/>
      <c r="AW8887" s="7"/>
      <c r="AX8887" s="7"/>
    </row>
    <row r="8888" spans="14:50" x14ac:dyDescent="0.25">
      <c r="N8888" s="3"/>
      <c r="AW8888" s="7"/>
      <c r="AX8888" s="7"/>
    </row>
    <row r="8889" spans="14:50" x14ac:dyDescent="0.25">
      <c r="N8889" s="3"/>
      <c r="AW8889" s="7"/>
      <c r="AX8889" s="7"/>
    </row>
    <row r="8890" spans="14:50" x14ac:dyDescent="0.25">
      <c r="N8890" s="3"/>
      <c r="AW8890" s="7"/>
      <c r="AX8890" s="7"/>
    </row>
    <row r="8891" spans="14:50" x14ac:dyDescent="0.25">
      <c r="N8891" s="3"/>
      <c r="AW8891" s="7"/>
      <c r="AX8891" s="7"/>
    </row>
    <row r="8892" spans="14:50" x14ac:dyDescent="0.25">
      <c r="N8892" s="3"/>
      <c r="AW8892" s="7"/>
      <c r="AX8892" s="7"/>
    </row>
    <row r="8893" spans="14:50" x14ac:dyDescent="0.25">
      <c r="N8893" s="3"/>
      <c r="AW8893" s="7"/>
      <c r="AX8893" s="7"/>
    </row>
    <row r="8894" spans="14:50" x14ac:dyDescent="0.25">
      <c r="N8894" s="3"/>
      <c r="AW8894" s="7"/>
      <c r="AX8894" s="7"/>
    </row>
    <row r="8895" spans="14:50" x14ac:dyDescent="0.25">
      <c r="N8895" s="3"/>
      <c r="AW8895" s="7"/>
      <c r="AX8895" s="7"/>
    </row>
    <row r="8896" spans="14:50" x14ac:dyDescent="0.25">
      <c r="N8896" s="3"/>
      <c r="AW8896" s="7"/>
      <c r="AX8896" s="7"/>
    </row>
    <row r="8897" spans="14:50" x14ac:dyDescent="0.25">
      <c r="N8897" s="3"/>
      <c r="AW8897" s="7"/>
      <c r="AX8897" s="7"/>
    </row>
    <row r="8898" spans="14:50" x14ac:dyDescent="0.25">
      <c r="N8898" s="3"/>
      <c r="AW8898" s="7"/>
      <c r="AX8898" s="7"/>
    </row>
    <row r="8899" spans="14:50" x14ac:dyDescent="0.25">
      <c r="N8899" s="3"/>
      <c r="AW8899" s="7"/>
      <c r="AX8899" s="7"/>
    </row>
    <row r="8900" spans="14:50" x14ac:dyDescent="0.25">
      <c r="N8900" s="3"/>
      <c r="AW8900" s="7"/>
      <c r="AX8900" s="7"/>
    </row>
    <row r="8901" spans="14:50" x14ac:dyDescent="0.25">
      <c r="N8901" s="3"/>
      <c r="AW8901" s="7"/>
      <c r="AX8901" s="7"/>
    </row>
    <row r="8902" spans="14:50" x14ac:dyDescent="0.25">
      <c r="N8902" s="3"/>
      <c r="AW8902" s="7"/>
      <c r="AX8902" s="7"/>
    </row>
    <row r="8903" spans="14:50" x14ac:dyDescent="0.25">
      <c r="N8903" s="3"/>
      <c r="AW8903" s="7"/>
      <c r="AX8903" s="7"/>
    </row>
    <row r="8904" spans="14:50" x14ac:dyDescent="0.25">
      <c r="N8904" s="3"/>
      <c r="AW8904" s="7"/>
      <c r="AX8904" s="7"/>
    </row>
    <row r="8905" spans="14:50" x14ac:dyDescent="0.25">
      <c r="N8905" s="3"/>
      <c r="AW8905" s="7"/>
      <c r="AX8905" s="7"/>
    </row>
    <row r="8906" spans="14:50" x14ac:dyDescent="0.25">
      <c r="N8906" s="3"/>
      <c r="AW8906" s="7"/>
      <c r="AX8906" s="7"/>
    </row>
    <row r="8907" spans="14:50" x14ac:dyDescent="0.25">
      <c r="N8907" s="3"/>
      <c r="AW8907" s="7"/>
      <c r="AX8907" s="7"/>
    </row>
    <row r="8908" spans="14:50" x14ac:dyDescent="0.25">
      <c r="N8908" s="3"/>
      <c r="AW8908" s="7"/>
      <c r="AX8908" s="7"/>
    </row>
    <row r="8909" spans="14:50" x14ac:dyDescent="0.25">
      <c r="N8909" s="3"/>
      <c r="AW8909" s="7"/>
      <c r="AX8909" s="7"/>
    </row>
    <row r="8910" spans="14:50" x14ac:dyDescent="0.25">
      <c r="N8910" s="3"/>
      <c r="AW8910" s="7"/>
      <c r="AX8910" s="7"/>
    </row>
    <row r="8911" spans="14:50" x14ac:dyDescent="0.25">
      <c r="N8911" s="3"/>
      <c r="AW8911" s="7"/>
      <c r="AX8911" s="7"/>
    </row>
    <row r="8912" spans="14:50" x14ac:dyDescent="0.25">
      <c r="N8912" s="3"/>
      <c r="AW8912" s="7"/>
      <c r="AX8912" s="7"/>
    </row>
    <row r="8913" spans="14:50" x14ac:dyDescent="0.25">
      <c r="N8913" s="3"/>
      <c r="AW8913" s="7"/>
      <c r="AX8913" s="7"/>
    </row>
    <row r="8914" spans="14:50" x14ac:dyDescent="0.25">
      <c r="N8914" s="3"/>
      <c r="AW8914" s="7"/>
      <c r="AX8914" s="7"/>
    </row>
    <row r="8915" spans="14:50" x14ac:dyDescent="0.25">
      <c r="N8915" s="3"/>
      <c r="AW8915" s="7"/>
      <c r="AX8915" s="7"/>
    </row>
    <row r="8916" spans="14:50" x14ac:dyDescent="0.25">
      <c r="N8916" s="3"/>
      <c r="AW8916" s="7"/>
      <c r="AX8916" s="7"/>
    </row>
    <row r="8917" spans="14:50" x14ac:dyDescent="0.25">
      <c r="N8917" s="3"/>
      <c r="AW8917" s="7"/>
      <c r="AX8917" s="7"/>
    </row>
    <row r="8918" spans="14:50" x14ac:dyDescent="0.25">
      <c r="N8918" s="3"/>
      <c r="AW8918" s="7"/>
      <c r="AX8918" s="7"/>
    </row>
    <row r="8919" spans="14:50" x14ac:dyDescent="0.25">
      <c r="N8919" s="3"/>
      <c r="AW8919" s="7"/>
      <c r="AX8919" s="7"/>
    </row>
    <row r="8920" spans="14:50" x14ac:dyDescent="0.25">
      <c r="N8920" s="3"/>
      <c r="AW8920" s="7"/>
      <c r="AX8920" s="7"/>
    </row>
    <row r="8921" spans="14:50" x14ac:dyDescent="0.25">
      <c r="N8921" s="3"/>
      <c r="AW8921" s="7"/>
      <c r="AX8921" s="7"/>
    </row>
    <row r="8922" spans="14:50" x14ac:dyDescent="0.25">
      <c r="N8922" s="3"/>
      <c r="AW8922" s="7"/>
      <c r="AX8922" s="7"/>
    </row>
    <row r="8923" spans="14:50" x14ac:dyDescent="0.25">
      <c r="N8923" s="3"/>
      <c r="AW8923" s="7"/>
      <c r="AX8923" s="7"/>
    </row>
    <row r="8924" spans="14:50" x14ac:dyDescent="0.25">
      <c r="N8924" s="3"/>
      <c r="AW8924" s="7"/>
      <c r="AX8924" s="7"/>
    </row>
    <row r="8925" spans="14:50" x14ac:dyDescent="0.25">
      <c r="N8925" s="3"/>
      <c r="AW8925" s="7"/>
      <c r="AX8925" s="7"/>
    </row>
    <row r="8926" spans="14:50" x14ac:dyDescent="0.25">
      <c r="N8926" s="3"/>
      <c r="AW8926" s="7"/>
      <c r="AX8926" s="7"/>
    </row>
    <row r="8927" spans="14:50" x14ac:dyDescent="0.25">
      <c r="N8927" s="3"/>
      <c r="AW8927" s="7"/>
      <c r="AX8927" s="7"/>
    </row>
    <row r="8928" spans="14:50" x14ac:dyDescent="0.25">
      <c r="N8928" s="3"/>
      <c r="AW8928" s="7"/>
      <c r="AX8928" s="7"/>
    </row>
    <row r="8929" spans="14:50" x14ac:dyDescent="0.25">
      <c r="N8929" s="3"/>
      <c r="AW8929" s="7"/>
      <c r="AX8929" s="7"/>
    </row>
    <row r="8930" spans="14:50" x14ac:dyDescent="0.25">
      <c r="N8930" s="3"/>
      <c r="AW8930" s="7"/>
      <c r="AX8930" s="7"/>
    </row>
    <row r="8931" spans="14:50" x14ac:dyDescent="0.25">
      <c r="N8931" s="3"/>
      <c r="AW8931" s="7"/>
      <c r="AX8931" s="7"/>
    </row>
    <row r="8932" spans="14:50" x14ac:dyDescent="0.25">
      <c r="N8932" s="3"/>
      <c r="AW8932" s="7"/>
      <c r="AX8932" s="7"/>
    </row>
    <row r="8933" spans="14:50" x14ac:dyDescent="0.25">
      <c r="N8933" s="3"/>
      <c r="AW8933" s="7"/>
      <c r="AX8933" s="7"/>
    </row>
    <row r="8934" spans="14:50" x14ac:dyDescent="0.25">
      <c r="N8934" s="3"/>
      <c r="AW8934" s="7"/>
      <c r="AX8934" s="7"/>
    </row>
    <row r="8935" spans="14:50" x14ac:dyDescent="0.25">
      <c r="N8935" s="3"/>
      <c r="AW8935" s="7"/>
      <c r="AX8935" s="7"/>
    </row>
    <row r="8936" spans="14:50" x14ac:dyDescent="0.25">
      <c r="N8936" s="3"/>
      <c r="AW8936" s="7"/>
      <c r="AX8936" s="7"/>
    </row>
    <row r="8937" spans="14:50" x14ac:dyDescent="0.25">
      <c r="N8937" s="3"/>
      <c r="AW8937" s="7"/>
      <c r="AX8937" s="7"/>
    </row>
    <row r="8938" spans="14:50" x14ac:dyDescent="0.25">
      <c r="N8938" s="3"/>
      <c r="AW8938" s="7"/>
      <c r="AX8938" s="7"/>
    </row>
    <row r="8939" spans="14:50" x14ac:dyDescent="0.25">
      <c r="N8939" s="3"/>
      <c r="AW8939" s="7"/>
      <c r="AX8939" s="7"/>
    </row>
    <row r="8940" spans="14:50" x14ac:dyDescent="0.25">
      <c r="N8940" s="3"/>
      <c r="AW8940" s="7"/>
      <c r="AX8940" s="7"/>
    </row>
    <row r="8941" spans="14:50" x14ac:dyDescent="0.25">
      <c r="N8941" s="3"/>
      <c r="AW8941" s="7"/>
      <c r="AX8941" s="7"/>
    </row>
    <row r="8942" spans="14:50" x14ac:dyDescent="0.25">
      <c r="N8942" s="3"/>
      <c r="AW8942" s="7"/>
      <c r="AX8942" s="7"/>
    </row>
    <row r="8943" spans="14:50" x14ac:dyDescent="0.25">
      <c r="N8943" s="3"/>
      <c r="AW8943" s="7"/>
      <c r="AX8943" s="7"/>
    </row>
    <row r="8944" spans="14:50" x14ac:dyDescent="0.25">
      <c r="N8944" s="3"/>
      <c r="AW8944" s="7"/>
      <c r="AX8944" s="7"/>
    </row>
    <row r="8945" spans="14:50" x14ac:dyDescent="0.25">
      <c r="N8945" s="3"/>
      <c r="AW8945" s="7"/>
      <c r="AX8945" s="7"/>
    </row>
    <row r="8946" spans="14:50" x14ac:dyDescent="0.25">
      <c r="N8946" s="3"/>
      <c r="AW8946" s="7"/>
      <c r="AX8946" s="7"/>
    </row>
    <row r="8947" spans="14:50" x14ac:dyDescent="0.25">
      <c r="N8947" s="3"/>
      <c r="AW8947" s="7"/>
      <c r="AX8947" s="7"/>
    </row>
    <row r="8948" spans="14:50" x14ac:dyDescent="0.25">
      <c r="N8948" s="3"/>
      <c r="AW8948" s="7"/>
      <c r="AX8948" s="7"/>
    </row>
    <row r="8949" spans="14:50" x14ac:dyDescent="0.25">
      <c r="N8949" s="3"/>
      <c r="AW8949" s="7"/>
      <c r="AX8949" s="7"/>
    </row>
    <row r="8950" spans="14:50" x14ac:dyDescent="0.25">
      <c r="N8950" s="3"/>
      <c r="AW8950" s="7"/>
      <c r="AX8950" s="7"/>
    </row>
    <row r="8951" spans="14:50" x14ac:dyDescent="0.25">
      <c r="N8951" s="3"/>
      <c r="AW8951" s="7"/>
      <c r="AX8951" s="7"/>
    </row>
    <row r="8952" spans="14:50" x14ac:dyDescent="0.25">
      <c r="N8952" s="3"/>
      <c r="AW8952" s="7"/>
      <c r="AX8952" s="7"/>
    </row>
    <row r="8953" spans="14:50" x14ac:dyDescent="0.25">
      <c r="N8953" s="3"/>
      <c r="AW8953" s="7"/>
      <c r="AX8953" s="7"/>
    </row>
    <row r="8954" spans="14:50" x14ac:dyDescent="0.25">
      <c r="N8954" s="3"/>
      <c r="AW8954" s="7"/>
      <c r="AX8954" s="7"/>
    </row>
    <row r="8955" spans="14:50" x14ac:dyDescent="0.25">
      <c r="N8955" s="3"/>
      <c r="AW8955" s="7"/>
      <c r="AX8955" s="7"/>
    </row>
    <row r="8956" spans="14:50" x14ac:dyDescent="0.25">
      <c r="N8956" s="3"/>
      <c r="AW8956" s="7"/>
      <c r="AX8956" s="7"/>
    </row>
    <row r="8957" spans="14:50" x14ac:dyDescent="0.25">
      <c r="N8957" s="3"/>
      <c r="AW8957" s="7"/>
      <c r="AX8957" s="7"/>
    </row>
    <row r="8958" spans="14:50" x14ac:dyDescent="0.25">
      <c r="N8958" s="3"/>
      <c r="AW8958" s="7"/>
      <c r="AX8958" s="7"/>
    </row>
    <row r="8959" spans="14:50" x14ac:dyDescent="0.25">
      <c r="N8959" s="3"/>
      <c r="AW8959" s="7"/>
      <c r="AX8959" s="7"/>
    </row>
    <row r="8960" spans="14:50" x14ac:dyDescent="0.25">
      <c r="N8960" s="3"/>
      <c r="AW8960" s="7"/>
      <c r="AX8960" s="7"/>
    </row>
    <row r="8961" spans="14:50" x14ac:dyDescent="0.25">
      <c r="N8961" s="3"/>
      <c r="AW8961" s="7"/>
      <c r="AX8961" s="7"/>
    </row>
    <row r="8962" spans="14:50" x14ac:dyDescent="0.25">
      <c r="N8962" s="3"/>
      <c r="AW8962" s="7"/>
      <c r="AX8962" s="7"/>
    </row>
    <row r="8963" spans="14:50" x14ac:dyDescent="0.25">
      <c r="N8963" s="3"/>
      <c r="AW8963" s="7"/>
      <c r="AX8963" s="7"/>
    </row>
    <row r="8964" spans="14:50" x14ac:dyDescent="0.25">
      <c r="N8964" s="3"/>
      <c r="AW8964" s="7"/>
      <c r="AX8964" s="7"/>
    </row>
    <row r="8965" spans="14:50" x14ac:dyDescent="0.25">
      <c r="N8965" s="3"/>
      <c r="AW8965" s="7"/>
      <c r="AX8965" s="7"/>
    </row>
    <row r="8966" spans="14:50" x14ac:dyDescent="0.25">
      <c r="N8966" s="3"/>
      <c r="AW8966" s="7"/>
      <c r="AX8966" s="7"/>
    </row>
    <row r="8967" spans="14:50" x14ac:dyDescent="0.25">
      <c r="N8967" s="3"/>
      <c r="AW8967" s="7"/>
      <c r="AX8967" s="7"/>
    </row>
    <row r="8968" spans="14:50" x14ac:dyDescent="0.25">
      <c r="N8968" s="3"/>
      <c r="AW8968" s="7"/>
      <c r="AX8968" s="7"/>
    </row>
    <row r="8969" spans="14:50" x14ac:dyDescent="0.25">
      <c r="N8969" s="3"/>
      <c r="AW8969" s="7"/>
      <c r="AX8969" s="7"/>
    </row>
    <row r="8970" spans="14:50" x14ac:dyDescent="0.25">
      <c r="N8970" s="3"/>
      <c r="AW8970" s="7"/>
      <c r="AX8970" s="7"/>
    </row>
    <row r="8971" spans="14:50" x14ac:dyDescent="0.25">
      <c r="N8971" s="3"/>
      <c r="AW8971" s="7"/>
      <c r="AX8971" s="7"/>
    </row>
    <row r="8972" spans="14:50" x14ac:dyDescent="0.25">
      <c r="N8972" s="3"/>
      <c r="AW8972" s="7"/>
      <c r="AX8972" s="7"/>
    </row>
    <row r="8973" spans="14:50" x14ac:dyDescent="0.25">
      <c r="N8973" s="3"/>
      <c r="AW8973" s="7"/>
      <c r="AX8973" s="7"/>
    </row>
    <row r="8974" spans="14:50" x14ac:dyDescent="0.25">
      <c r="N8974" s="3"/>
      <c r="AW8974" s="7"/>
      <c r="AX8974" s="7"/>
    </row>
    <row r="8975" spans="14:50" x14ac:dyDescent="0.25">
      <c r="N8975" s="3"/>
      <c r="AW8975" s="7"/>
      <c r="AX8975" s="7"/>
    </row>
    <row r="8976" spans="14:50" x14ac:dyDescent="0.25">
      <c r="N8976" s="3"/>
      <c r="AW8976" s="7"/>
      <c r="AX8976" s="7"/>
    </row>
    <row r="8977" spans="14:50" x14ac:dyDescent="0.25">
      <c r="N8977" s="3"/>
      <c r="AW8977" s="7"/>
      <c r="AX8977" s="7"/>
    </row>
    <row r="8978" spans="14:50" x14ac:dyDescent="0.25">
      <c r="N8978" s="3"/>
      <c r="AW8978" s="7"/>
      <c r="AX8978" s="7"/>
    </row>
    <row r="8979" spans="14:50" x14ac:dyDescent="0.25">
      <c r="N8979" s="3"/>
      <c r="AW8979" s="7"/>
      <c r="AX8979" s="7"/>
    </row>
    <row r="8980" spans="14:50" x14ac:dyDescent="0.25">
      <c r="N8980" s="3"/>
      <c r="AW8980" s="7"/>
      <c r="AX8980" s="7"/>
    </row>
    <row r="8981" spans="14:50" x14ac:dyDescent="0.25">
      <c r="N8981" s="3"/>
      <c r="AW8981" s="7"/>
      <c r="AX8981" s="7"/>
    </row>
    <row r="8982" spans="14:50" x14ac:dyDescent="0.25">
      <c r="N8982" s="3"/>
      <c r="AW8982" s="7"/>
      <c r="AX8982" s="7"/>
    </row>
    <row r="8983" spans="14:50" x14ac:dyDescent="0.25">
      <c r="N8983" s="3"/>
      <c r="AW8983" s="7"/>
      <c r="AX8983" s="7"/>
    </row>
    <row r="8984" spans="14:50" x14ac:dyDescent="0.25">
      <c r="N8984" s="3"/>
      <c r="AW8984" s="7"/>
      <c r="AX8984" s="7"/>
    </row>
    <row r="8985" spans="14:50" x14ac:dyDescent="0.25">
      <c r="N8985" s="3"/>
      <c r="AW8985" s="7"/>
      <c r="AX8985" s="7"/>
    </row>
    <row r="8986" spans="14:50" x14ac:dyDescent="0.25">
      <c r="N8986" s="3"/>
      <c r="AW8986" s="7"/>
      <c r="AX8986" s="7"/>
    </row>
    <row r="8987" spans="14:50" x14ac:dyDescent="0.25">
      <c r="N8987" s="3"/>
      <c r="AW8987" s="7"/>
      <c r="AX8987" s="7"/>
    </row>
    <row r="8988" spans="14:50" x14ac:dyDescent="0.25">
      <c r="N8988" s="3"/>
      <c r="AW8988" s="7"/>
      <c r="AX8988" s="7"/>
    </row>
    <row r="8989" spans="14:50" x14ac:dyDescent="0.25">
      <c r="N8989" s="3"/>
      <c r="AW8989" s="7"/>
      <c r="AX8989" s="7"/>
    </row>
    <row r="8990" spans="14:50" x14ac:dyDescent="0.25">
      <c r="N8990" s="3"/>
      <c r="AW8990" s="7"/>
      <c r="AX8990" s="7"/>
    </row>
    <row r="8991" spans="14:50" x14ac:dyDescent="0.25">
      <c r="N8991" s="3"/>
      <c r="AW8991" s="7"/>
      <c r="AX8991" s="7"/>
    </row>
    <row r="8992" spans="14:50" x14ac:dyDescent="0.25">
      <c r="N8992" s="3"/>
      <c r="AW8992" s="7"/>
      <c r="AX8992" s="7"/>
    </row>
    <row r="8993" spans="14:50" x14ac:dyDescent="0.25">
      <c r="N8993" s="3"/>
      <c r="AW8993" s="7"/>
      <c r="AX8993" s="7"/>
    </row>
    <row r="8994" spans="14:50" x14ac:dyDescent="0.25">
      <c r="N8994" s="3"/>
      <c r="AW8994" s="7"/>
      <c r="AX8994" s="7"/>
    </row>
    <row r="8995" spans="14:50" x14ac:dyDescent="0.25">
      <c r="N8995" s="3"/>
      <c r="AW8995" s="7"/>
      <c r="AX8995" s="7"/>
    </row>
    <row r="8996" spans="14:50" x14ac:dyDescent="0.25">
      <c r="N8996" s="3"/>
      <c r="AW8996" s="7"/>
      <c r="AX8996" s="7"/>
    </row>
    <row r="8997" spans="14:50" x14ac:dyDescent="0.25">
      <c r="N8997" s="3"/>
      <c r="AW8997" s="7"/>
      <c r="AX8997" s="7"/>
    </row>
    <row r="8998" spans="14:50" x14ac:dyDescent="0.25">
      <c r="N8998" s="3"/>
      <c r="AW8998" s="7"/>
      <c r="AX8998" s="7"/>
    </row>
    <row r="8999" spans="14:50" x14ac:dyDescent="0.25">
      <c r="N8999" s="3"/>
      <c r="AW8999" s="7"/>
      <c r="AX8999" s="7"/>
    </row>
    <row r="9000" spans="14:50" x14ac:dyDescent="0.25">
      <c r="N9000" s="3"/>
      <c r="AW9000" s="7"/>
      <c r="AX9000" s="7"/>
    </row>
    <row r="9001" spans="14:50" x14ac:dyDescent="0.25">
      <c r="N9001" s="3"/>
      <c r="AW9001" s="7"/>
      <c r="AX9001" s="7"/>
    </row>
    <row r="9002" spans="14:50" x14ac:dyDescent="0.25">
      <c r="N9002" s="3"/>
      <c r="AW9002" s="7"/>
      <c r="AX9002" s="7"/>
    </row>
    <row r="9003" spans="14:50" x14ac:dyDescent="0.25">
      <c r="N9003" s="3"/>
      <c r="AW9003" s="7"/>
      <c r="AX9003" s="7"/>
    </row>
    <row r="9004" spans="14:50" x14ac:dyDescent="0.25">
      <c r="N9004" s="3"/>
      <c r="AW9004" s="7"/>
      <c r="AX9004" s="7"/>
    </row>
    <row r="9005" spans="14:50" x14ac:dyDescent="0.25">
      <c r="N9005" s="3"/>
      <c r="AW9005" s="7"/>
      <c r="AX9005" s="7"/>
    </row>
    <row r="9006" spans="14:50" x14ac:dyDescent="0.25">
      <c r="N9006" s="3"/>
      <c r="AW9006" s="7"/>
      <c r="AX9006" s="7"/>
    </row>
    <row r="9007" spans="14:50" x14ac:dyDescent="0.25">
      <c r="N9007" s="3"/>
      <c r="AW9007" s="7"/>
      <c r="AX9007" s="7"/>
    </row>
    <row r="9008" spans="14:50" x14ac:dyDescent="0.25">
      <c r="N9008" s="3"/>
      <c r="AW9008" s="7"/>
      <c r="AX9008" s="7"/>
    </row>
    <row r="9009" spans="14:50" x14ac:dyDescent="0.25">
      <c r="N9009" s="3"/>
      <c r="AW9009" s="7"/>
      <c r="AX9009" s="7"/>
    </row>
    <row r="9010" spans="14:50" x14ac:dyDescent="0.25">
      <c r="N9010" s="3"/>
      <c r="AW9010" s="7"/>
      <c r="AX9010" s="7"/>
    </row>
    <row r="9011" spans="14:50" x14ac:dyDescent="0.25">
      <c r="N9011" s="3"/>
      <c r="AW9011" s="7"/>
      <c r="AX9011" s="7"/>
    </row>
    <row r="9012" spans="14:50" x14ac:dyDescent="0.25">
      <c r="N9012" s="3"/>
      <c r="AW9012" s="7"/>
      <c r="AX9012" s="7"/>
    </row>
    <row r="9013" spans="14:50" x14ac:dyDescent="0.25">
      <c r="N9013" s="3"/>
      <c r="AW9013" s="7"/>
      <c r="AX9013" s="7"/>
    </row>
    <row r="9014" spans="14:50" x14ac:dyDescent="0.25">
      <c r="N9014" s="3"/>
      <c r="AW9014" s="7"/>
      <c r="AX9014" s="7"/>
    </row>
    <row r="9015" spans="14:50" x14ac:dyDescent="0.25">
      <c r="N9015" s="3"/>
      <c r="AW9015" s="7"/>
      <c r="AX9015" s="7"/>
    </row>
    <row r="9016" spans="14:50" x14ac:dyDescent="0.25">
      <c r="N9016" s="3"/>
      <c r="AW9016" s="7"/>
      <c r="AX9016" s="7"/>
    </row>
    <row r="9017" spans="14:50" x14ac:dyDescent="0.25">
      <c r="N9017" s="3"/>
      <c r="AW9017" s="7"/>
      <c r="AX9017" s="7"/>
    </row>
    <row r="9018" spans="14:50" x14ac:dyDescent="0.25">
      <c r="N9018" s="3"/>
      <c r="AW9018" s="7"/>
      <c r="AX9018" s="7"/>
    </row>
    <row r="9019" spans="14:50" x14ac:dyDescent="0.25">
      <c r="N9019" s="3"/>
      <c r="AW9019" s="7"/>
      <c r="AX9019" s="7"/>
    </row>
    <row r="9020" spans="14:50" x14ac:dyDescent="0.25">
      <c r="N9020" s="3"/>
      <c r="AW9020" s="7"/>
      <c r="AX9020" s="7"/>
    </row>
    <row r="9021" spans="14:50" x14ac:dyDescent="0.25">
      <c r="N9021" s="3"/>
      <c r="AW9021" s="7"/>
      <c r="AX9021" s="7"/>
    </row>
    <row r="9022" spans="14:50" x14ac:dyDescent="0.25">
      <c r="N9022" s="3"/>
      <c r="AW9022" s="7"/>
      <c r="AX9022" s="7"/>
    </row>
    <row r="9023" spans="14:50" x14ac:dyDescent="0.25">
      <c r="N9023" s="3"/>
      <c r="AW9023" s="7"/>
      <c r="AX9023" s="7"/>
    </row>
    <row r="9024" spans="14:50" x14ac:dyDescent="0.25">
      <c r="N9024" s="3"/>
      <c r="AW9024" s="7"/>
      <c r="AX9024" s="7"/>
    </row>
    <row r="9025" spans="14:50" x14ac:dyDescent="0.25">
      <c r="N9025" s="3"/>
      <c r="AW9025" s="7"/>
      <c r="AX9025" s="7"/>
    </row>
    <row r="9026" spans="14:50" x14ac:dyDescent="0.25">
      <c r="N9026" s="3"/>
      <c r="AW9026" s="7"/>
      <c r="AX9026" s="7"/>
    </row>
    <row r="9027" spans="14:50" x14ac:dyDescent="0.25">
      <c r="N9027" s="3"/>
      <c r="AW9027" s="7"/>
      <c r="AX9027" s="7"/>
    </row>
    <row r="9028" spans="14:50" x14ac:dyDescent="0.25">
      <c r="N9028" s="3"/>
      <c r="AW9028" s="7"/>
      <c r="AX9028" s="7"/>
    </row>
    <row r="9029" spans="14:50" x14ac:dyDescent="0.25">
      <c r="N9029" s="3"/>
      <c r="AW9029" s="7"/>
      <c r="AX9029" s="7"/>
    </row>
    <row r="9030" spans="14:50" x14ac:dyDescent="0.25">
      <c r="N9030" s="3"/>
      <c r="AW9030" s="7"/>
      <c r="AX9030" s="7"/>
    </row>
    <row r="9031" spans="14:50" x14ac:dyDescent="0.25">
      <c r="N9031" s="3"/>
      <c r="AW9031" s="7"/>
      <c r="AX9031" s="7"/>
    </row>
    <row r="9032" spans="14:50" x14ac:dyDescent="0.25">
      <c r="N9032" s="3"/>
      <c r="AW9032" s="7"/>
      <c r="AX9032" s="7"/>
    </row>
    <row r="9033" spans="14:50" x14ac:dyDescent="0.25">
      <c r="N9033" s="3"/>
      <c r="AW9033" s="7"/>
      <c r="AX9033" s="7"/>
    </row>
    <row r="9034" spans="14:50" x14ac:dyDescent="0.25">
      <c r="N9034" s="3"/>
      <c r="AW9034" s="7"/>
      <c r="AX9034" s="7"/>
    </row>
    <row r="9035" spans="14:50" x14ac:dyDescent="0.25">
      <c r="N9035" s="3"/>
      <c r="AW9035" s="7"/>
      <c r="AX9035" s="7"/>
    </row>
    <row r="9036" spans="14:50" x14ac:dyDescent="0.25">
      <c r="N9036" s="3"/>
      <c r="AW9036" s="7"/>
      <c r="AX9036" s="7"/>
    </row>
    <row r="9037" spans="14:50" x14ac:dyDescent="0.25">
      <c r="N9037" s="3"/>
      <c r="AW9037" s="7"/>
      <c r="AX9037" s="7"/>
    </row>
    <row r="9038" spans="14:50" x14ac:dyDescent="0.25">
      <c r="N9038" s="3"/>
      <c r="AW9038" s="7"/>
      <c r="AX9038" s="7"/>
    </row>
    <row r="9039" spans="14:50" x14ac:dyDescent="0.25">
      <c r="N9039" s="3"/>
      <c r="AW9039" s="7"/>
      <c r="AX9039" s="7"/>
    </row>
    <row r="9040" spans="14:50" x14ac:dyDescent="0.25">
      <c r="N9040" s="3"/>
      <c r="AW9040" s="7"/>
      <c r="AX9040" s="7"/>
    </row>
    <row r="9041" spans="14:50" x14ac:dyDescent="0.25">
      <c r="N9041" s="3"/>
      <c r="AW9041" s="7"/>
      <c r="AX9041" s="7"/>
    </row>
    <row r="9042" spans="14:50" x14ac:dyDescent="0.25">
      <c r="N9042" s="3"/>
      <c r="AW9042" s="7"/>
      <c r="AX9042" s="7"/>
    </row>
    <row r="9043" spans="14:50" x14ac:dyDescent="0.25">
      <c r="N9043" s="3"/>
      <c r="AW9043" s="7"/>
      <c r="AX9043" s="7"/>
    </row>
    <row r="9044" spans="14:50" x14ac:dyDescent="0.25">
      <c r="N9044" s="3"/>
      <c r="AW9044" s="7"/>
      <c r="AX9044" s="7"/>
    </row>
    <row r="9045" spans="14:50" x14ac:dyDescent="0.25">
      <c r="N9045" s="3"/>
      <c r="AW9045" s="7"/>
      <c r="AX9045" s="7"/>
    </row>
    <row r="9046" spans="14:50" x14ac:dyDescent="0.25">
      <c r="N9046" s="3"/>
      <c r="AW9046" s="7"/>
      <c r="AX9046" s="7"/>
    </row>
    <row r="9047" spans="14:50" x14ac:dyDescent="0.25">
      <c r="N9047" s="3"/>
      <c r="AW9047" s="7"/>
      <c r="AX9047" s="7"/>
    </row>
    <row r="9048" spans="14:50" x14ac:dyDescent="0.25">
      <c r="N9048" s="3"/>
      <c r="AW9048" s="7"/>
      <c r="AX9048" s="7"/>
    </row>
    <row r="9049" spans="14:50" x14ac:dyDescent="0.25">
      <c r="N9049" s="3"/>
      <c r="AW9049" s="7"/>
      <c r="AX9049" s="7"/>
    </row>
    <row r="9050" spans="14:50" x14ac:dyDescent="0.25">
      <c r="N9050" s="3"/>
      <c r="AW9050" s="7"/>
      <c r="AX9050" s="7"/>
    </row>
    <row r="9051" spans="14:50" x14ac:dyDescent="0.25">
      <c r="N9051" s="3"/>
      <c r="AW9051" s="7"/>
      <c r="AX9051" s="7"/>
    </row>
    <row r="9052" spans="14:50" x14ac:dyDescent="0.25">
      <c r="N9052" s="3"/>
      <c r="AW9052" s="7"/>
      <c r="AX9052" s="7"/>
    </row>
    <row r="9053" spans="14:50" x14ac:dyDescent="0.25">
      <c r="N9053" s="3"/>
      <c r="AW9053" s="7"/>
      <c r="AX9053" s="7"/>
    </row>
    <row r="9054" spans="14:50" x14ac:dyDescent="0.25">
      <c r="N9054" s="3"/>
      <c r="AW9054" s="7"/>
      <c r="AX9054" s="7"/>
    </row>
    <row r="9055" spans="14:50" x14ac:dyDescent="0.25">
      <c r="N9055" s="3"/>
      <c r="AW9055" s="7"/>
      <c r="AX9055" s="7"/>
    </row>
    <row r="9056" spans="14:50" x14ac:dyDescent="0.25">
      <c r="N9056" s="3"/>
      <c r="AW9056" s="7"/>
      <c r="AX9056" s="7"/>
    </row>
    <row r="9057" spans="14:50" x14ac:dyDescent="0.25">
      <c r="N9057" s="3"/>
      <c r="AW9057" s="7"/>
      <c r="AX9057" s="7"/>
    </row>
    <row r="9058" spans="14:50" x14ac:dyDescent="0.25">
      <c r="N9058" s="3"/>
      <c r="AW9058" s="7"/>
      <c r="AX9058" s="7"/>
    </row>
    <row r="9059" spans="14:50" x14ac:dyDescent="0.25">
      <c r="N9059" s="3"/>
      <c r="AW9059" s="7"/>
      <c r="AX9059" s="7"/>
    </row>
    <row r="9060" spans="14:50" x14ac:dyDescent="0.25">
      <c r="N9060" s="3"/>
      <c r="AW9060" s="7"/>
      <c r="AX9060" s="7"/>
    </row>
    <row r="9061" spans="14:50" x14ac:dyDescent="0.25">
      <c r="N9061" s="3"/>
      <c r="AW9061" s="7"/>
      <c r="AX9061" s="7"/>
    </row>
    <row r="9062" spans="14:50" x14ac:dyDescent="0.25">
      <c r="N9062" s="3"/>
      <c r="AW9062" s="7"/>
      <c r="AX9062" s="7"/>
    </row>
    <row r="9063" spans="14:50" x14ac:dyDescent="0.25">
      <c r="N9063" s="3"/>
      <c r="AW9063" s="7"/>
      <c r="AX9063" s="7"/>
    </row>
    <row r="9064" spans="14:50" x14ac:dyDescent="0.25">
      <c r="N9064" s="3"/>
      <c r="AW9064" s="7"/>
      <c r="AX9064" s="7"/>
    </row>
    <row r="9065" spans="14:50" x14ac:dyDescent="0.25">
      <c r="N9065" s="3"/>
      <c r="AW9065" s="7"/>
      <c r="AX9065" s="7"/>
    </row>
    <row r="9066" spans="14:50" x14ac:dyDescent="0.25">
      <c r="N9066" s="3"/>
      <c r="AW9066" s="7"/>
      <c r="AX9066" s="7"/>
    </row>
    <row r="9067" spans="14:50" x14ac:dyDescent="0.25">
      <c r="N9067" s="3"/>
      <c r="AW9067" s="7"/>
      <c r="AX9067" s="7"/>
    </row>
    <row r="9068" spans="14:50" x14ac:dyDescent="0.25">
      <c r="N9068" s="3"/>
      <c r="AW9068" s="7"/>
      <c r="AX9068" s="7"/>
    </row>
    <row r="9069" spans="14:50" x14ac:dyDescent="0.25">
      <c r="N9069" s="3"/>
      <c r="AW9069" s="7"/>
      <c r="AX9069" s="7"/>
    </row>
    <row r="9070" spans="14:50" x14ac:dyDescent="0.25">
      <c r="N9070" s="3"/>
      <c r="AW9070" s="7"/>
      <c r="AX9070" s="7"/>
    </row>
    <row r="9071" spans="14:50" x14ac:dyDescent="0.25">
      <c r="N9071" s="3"/>
      <c r="AW9071" s="7"/>
      <c r="AX9071" s="7"/>
    </row>
    <row r="9072" spans="14:50" x14ac:dyDescent="0.25">
      <c r="N9072" s="3"/>
      <c r="AW9072" s="7"/>
      <c r="AX9072" s="7"/>
    </row>
    <row r="9073" spans="14:50" x14ac:dyDescent="0.25">
      <c r="N9073" s="3"/>
      <c r="AW9073" s="7"/>
      <c r="AX9073" s="7"/>
    </row>
    <row r="9074" spans="14:50" x14ac:dyDescent="0.25">
      <c r="N9074" s="3"/>
      <c r="AW9074" s="7"/>
      <c r="AX9074" s="7"/>
    </row>
    <row r="9075" spans="14:50" x14ac:dyDescent="0.25">
      <c r="N9075" s="3"/>
      <c r="AW9075" s="7"/>
      <c r="AX9075" s="7"/>
    </row>
    <row r="9076" spans="14:50" x14ac:dyDescent="0.25">
      <c r="N9076" s="3"/>
      <c r="AW9076" s="7"/>
      <c r="AX9076" s="7"/>
    </row>
    <row r="9077" spans="14:50" x14ac:dyDescent="0.25">
      <c r="N9077" s="3"/>
      <c r="AW9077" s="7"/>
      <c r="AX9077" s="7"/>
    </row>
    <row r="9078" spans="14:50" x14ac:dyDescent="0.25">
      <c r="N9078" s="3"/>
      <c r="AW9078" s="7"/>
      <c r="AX9078" s="7"/>
    </row>
    <row r="9079" spans="14:50" x14ac:dyDescent="0.25">
      <c r="N9079" s="3"/>
      <c r="AW9079" s="7"/>
      <c r="AX9079" s="7"/>
    </row>
    <row r="9080" spans="14:50" x14ac:dyDescent="0.25">
      <c r="N9080" s="3"/>
      <c r="AW9080" s="7"/>
      <c r="AX9080" s="7"/>
    </row>
    <row r="9081" spans="14:50" x14ac:dyDescent="0.25">
      <c r="N9081" s="3"/>
      <c r="AW9081" s="7"/>
      <c r="AX9081" s="7"/>
    </row>
    <row r="9082" spans="14:50" x14ac:dyDescent="0.25">
      <c r="N9082" s="3"/>
      <c r="AW9082" s="7"/>
      <c r="AX9082" s="7"/>
    </row>
    <row r="9083" spans="14:50" x14ac:dyDescent="0.25">
      <c r="N9083" s="3"/>
      <c r="AW9083" s="7"/>
      <c r="AX9083" s="7"/>
    </row>
    <row r="9084" spans="14:50" x14ac:dyDescent="0.25">
      <c r="N9084" s="3"/>
      <c r="AW9084" s="7"/>
      <c r="AX9084" s="7"/>
    </row>
    <row r="9085" spans="14:50" x14ac:dyDescent="0.25">
      <c r="N9085" s="3"/>
      <c r="AW9085" s="7"/>
      <c r="AX9085" s="7"/>
    </row>
    <row r="9086" spans="14:50" x14ac:dyDescent="0.25">
      <c r="N9086" s="3"/>
      <c r="AW9086" s="7"/>
      <c r="AX9086" s="7"/>
    </row>
    <row r="9087" spans="14:50" x14ac:dyDescent="0.25">
      <c r="N9087" s="3"/>
      <c r="AW9087" s="7"/>
      <c r="AX9087" s="7"/>
    </row>
    <row r="9088" spans="14:50" x14ac:dyDescent="0.25">
      <c r="N9088" s="3"/>
      <c r="AW9088" s="7"/>
      <c r="AX9088" s="7"/>
    </row>
    <row r="9089" spans="14:50" x14ac:dyDescent="0.25">
      <c r="N9089" s="3"/>
      <c r="AW9089" s="7"/>
      <c r="AX9089" s="7"/>
    </row>
    <row r="9090" spans="14:50" x14ac:dyDescent="0.25">
      <c r="N9090" s="3"/>
      <c r="AW9090" s="7"/>
      <c r="AX9090" s="7"/>
    </row>
    <row r="9091" spans="14:50" x14ac:dyDescent="0.25">
      <c r="N9091" s="3"/>
      <c r="AW9091" s="7"/>
      <c r="AX9091" s="7"/>
    </row>
    <row r="9092" spans="14:50" x14ac:dyDescent="0.25">
      <c r="N9092" s="3"/>
      <c r="AW9092" s="7"/>
      <c r="AX9092" s="7"/>
    </row>
    <row r="9093" spans="14:50" x14ac:dyDescent="0.25">
      <c r="N9093" s="3"/>
      <c r="AW9093" s="7"/>
      <c r="AX9093" s="7"/>
    </row>
    <row r="9094" spans="14:50" x14ac:dyDescent="0.25">
      <c r="N9094" s="3"/>
      <c r="AW9094" s="7"/>
      <c r="AX9094" s="7"/>
    </row>
    <row r="9095" spans="14:50" x14ac:dyDescent="0.25">
      <c r="N9095" s="3"/>
      <c r="AW9095" s="7"/>
      <c r="AX9095" s="7"/>
    </row>
    <row r="9096" spans="14:50" x14ac:dyDescent="0.25">
      <c r="N9096" s="3"/>
      <c r="AW9096" s="7"/>
      <c r="AX9096" s="7"/>
    </row>
    <row r="9097" spans="14:50" x14ac:dyDescent="0.25">
      <c r="N9097" s="3"/>
      <c r="AW9097" s="7"/>
      <c r="AX9097" s="7"/>
    </row>
    <row r="9098" spans="14:50" x14ac:dyDescent="0.25">
      <c r="N9098" s="3"/>
      <c r="AW9098" s="7"/>
      <c r="AX9098" s="7"/>
    </row>
    <row r="9099" spans="14:50" x14ac:dyDescent="0.25">
      <c r="N9099" s="3"/>
      <c r="AW9099" s="7"/>
      <c r="AX9099" s="7"/>
    </row>
    <row r="9100" spans="14:50" x14ac:dyDescent="0.25">
      <c r="N9100" s="3"/>
      <c r="AW9100" s="7"/>
      <c r="AX9100" s="7"/>
    </row>
    <row r="9101" spans="14:50" x14ac:dyDescent="0.25">
      <c r="N9101" s="3"/>
      <c r="AW9101" s="7"/>
      <c r="AX9101" s="7"/>
    </row>
    <row r="9102" spans="14:50" x14ac:dyDescent="0.25">
      <c r="N9102" s="3"/>
      <c r="AW9102" s="7"/>
      <c r="AX9102" s="7"/>
    </row>
    <row r="9103" spans="14:50" x14ac:dyDescent="0.25">
      <c r="N9103" s="3"/>
      <c r="AW9103" s="7"/>
      <c r="AX9103" s="7"/>
    </row>
    <row r="9104" spans="14:50" x14ac:dyDescent="0.25">
      <c r="N9104" s="3"/>
      <c r="AW9104" s="7"/>
      <c r="AX9104" s="7"/>
    </row>
    <row r="9105" spans="14:50" x14ac:dyDescent="0.25">
      <c r="N9105" s="3"/>
      <c r="AW9105" s="7"/>
      <c r="AX9105" s="7"/>
    </row>
    <row r="9106" spans="14:50" x14ac:dyDescent="0.25">
      <c r="N9106" s="3"/>
      <c r="AW9106" s="7"/>
      <c r="AX9106" s="7"/>
    </row>
    <row r="9107" spans="14:50" x14ac:dyDescent="0.25">
      <c r="N9107" s="3"/>
      <c r="AW9107" s="7"/>
      <c r="AX9107" s="7"/>
    </row>
    <row r="9108" spans="14:50" x14ac:dyDescent="0.25">
      <c r="N9108" s="3"/>
      <c r="AW9108" s="7"/>
      <c r="AX9108" s="7"/>
    </row>
    <row r="9109" spans="14:50" x14ac:dyDescent="0.25">
      <c r="N9109" s="3"/>
      <c r="AW9109" s="7"/>
      <c r="AX9109" s="7"/>
    </row>
    <row r="9110" spans="14:50" x14ac:dyDescent="0.25">
      <c r="N9110" s="3"/>
      <c r="AW9110" s="7"/>
      <c r="AX9110" s="7"/>
    </row>
    <row r="9111" spans="14:50" x14ac:dyDescent="0.25">
      <c r="N9111" s="3"/>
      <c r="AW9111" s="7"/>
      <c r="AX9111" s="7"/>
    </row>
    <row r="9112" spans="14:50" x14ac:dyDescent="0.25">
      <c r="N9112" s="3"/>
      <c r="AW9112" s="7"/>
      <c r="AX9112" s="7"/>
    </row>
    <row r="9113" spans="14:50" x14ac:dyDescent="0.25">
      <c r="N9113" s="3"/>
      <c r="AW9113" s="7"/>
      <c r="AX9113" s="7"/>
    </row>
    <row r="9114" spans="14:50" x14ac:dyDescent="0.25">
      <c r="N9114" s="3"/>
      <c r="AW9114" s="7"/>
      <c r="AX9114" s="7"/>
    </row>
    <row r="9115" spans="14:50" x14ac:dyDescent="0.25">
      <c r="N9115" s="3"/>
      <c r="AW9115" s="7"/>
      <c r="AX9115" s="7"/>
    </row>
    <row r="9116" spans="14:50" x14ac:dyDescent="0.25">
      <c r="N9116" s="3"/>
      <c r="AW9116" s="7"/>
      <c r="AX9116" s="7"/>
    </row>
    <row r="9117" spans="14:50" x14ac:dyDescent="0.25">
      <c r="N9117" s="3"/>
      <c r="AW9117" s="7"/>
      <c r="AX9117" s="7"/>
    </row>
    <row r="9118" spans="14:50" x14ac:dyDescent="0.25">
      <c r="N9118" s="3"/>
      <c r="AW9118" s="7"/>
      <c r="AX9118" s="7"/>
    </row>
    <row r="9119" spans="14:50" x14ac:dyDescent="0.25">
      <c r="N9119" s="3"/>
      <c r="AW9119" s="7"/>
      <c r="AX9119" s="7"/>
    </row>
    <row r="9120" spans="14:50" x14ac:dyDescent="0.25">
      <c r="N9120" s="3"/>
      <c r="AW9120" s="7"/>
      <c r="AX9120" s="7"/>
    </row>
    <row r="9121" spans="14:50" x14ac:dyDescent="0.25">
      <c r="N9121" s="3"/>
      <c r="AW9121" s="7"/>
      <c r="AX9121" s="7"/>
    </row>
    <row r="9122" spans="14:50" x14ac:dyDescent="0.25">
      <c r="N9122" s="3"/>
      <c r="AW9122" s="7"/>
      <c r="AX9122" s="7"/>
    </row>
    <row r="9123" spans="14:50" x14ac:dyDescent="0.25">
      <c r="N9123" s="3"/>
      <c r="AW9123" s="7"/>
      <c r="AX9123" s="7"/>
    </row>
    <row r="9124" spans="14:50" x14ac:dyDescent="0.25">
      <c r="N9124" s="3"/>
      <c r="AW9124" s="7"/>
      <c r="AX9124" s="7"/>
    </row>
    <row r="9125" spans="14:50" x14ac:dyDescent="0.25">
      <c r="N9125" s="3"/>
      <c r="AW9125" s="7"/>
      <c r="AX9125" s="7"/>
    </row>
    <row r="9126" spans="14:50" x14ac:dyDescent="0.25">
      <c r="N9126" s="3"/>
      <c r="AW9126" s="7"/>
      <c r="AX9126" s="7"/>
    </row>
    <row r="9127" spans="14:50" x14ac:dyDescent="0.25">
      <c r="N9127" s="3"/>
      <c r="AW9127" s="7"/>
      <c r="AX9127" s="7"/>
    </row>
    <row r="9128" spans="14:50" x14ac:dyDescent="0.25">
      <c r="N9128" s="3"/>
      <c r="AW9128" s="7"/>
      <c r="AX9128" s="7"/>
    </row>
    <row r="9129" spans="14:50" x14ac:dyDescent="0.25">
      <c r="N9129" s="3"/>
      <c r="AW9129" s="7"/>
      <c r="AX9129" s="7"/>
    </row>
    <row r="9130" spans="14:50" x14ac:dyDescent="0.25">
      <c r="N9130" s="3"/>
      <c r="AW9130" s="7"/>
      <c r="AX9130" s="7"/>
    </row>
    <row r="9131" spans="14:50" x14ac:dyDescent="0.25">
      <c r="N9131" s="3"/>
      <c r="AW9131" s="7"/>
      <c r="AX9131" s="7"/>
    </row>
    <row r="9132" spans="14:50" x14ac:dyDescent="0.25">
      <c r="N9132" s="3"/>
      <c r="AW9132" s="7"/>
      <c r="AX9132" s="7"/>
    </row>
    <row r="9133" spans="14:50" x14ac:dyDescent="0.25">
      <c r="N9133" s="3"/>
      <c r="AW9133" s="7"/>
      <c r="AX9133" s="7"/>
    </row>
    <row r="9134" spans="14:50" x14ac:dyDescent="0.25">
      <c r="N9134" s="3"/>
      <c r="AW9134" s="7"/>
      <c r="AX9134" s="7"/>
    </row>
    <row r="9135" spans="14:50" x14ac:dyDescent="0.25">
      <c r="N9135" s="3"/>
      <c r="AW9135" s="7"/>
      <c r="AX9135" s="7"/>
    </row>
    <row r="9136" spans="14:50" x14ac:dyDescent="0.25">
      <c r="N9136" s="3"/>
      <c r="AW9136" s="7"/>
      <c r="AX9136" s="7"/>
    </row>
    <row r="9137" spans="14:50" x14ac:dyDescent="0.25">
      <c r="N9137" s="3"/>
      <c r="AW9137" s="7"/>
      <c r="AX9137" s="7"/>
    </row>
    <row r="9138" spans="14:50" x14ac:dyDescent="0.25">
      <c r="N9138" s="3"/>
      <c r="AW9138" s="7"/>
      <c r="AX9138" s="7"/>
    </row>
    <row r="9139" spans="14:50" x14ac:dyDescent="0.25">
      <c r="N9139" s="3"/>
      <c r="AW9139" s="7"/>
      <c r="AX9139" s="7"/>
    </row>
    <row r="9140" spans="14:50" x14ac:dyDescent="0.25">
      <c r="N9140" s="3"/>
      <c r="AW9140" s="7"/>
      <c r="AX9140" s="7"/>
    </row>
    <row r="9141" spans="14:50" x14ac:dyDescent="0.25">
      <c r="N9141" s="3"/>
      <c r="AW9141" s="7"/>
      <c r="AX9141" s="7"/>
    </row>
    <row r="9142" spans="14:50" x14ac:dyDescent="0.25">
      <c r="N9142" s="3"/>
      <c r="AW9142" s="7"/>
      <c r="AX9142" s="7"/>
    </row>
    <row r="9143" spans="14:50" x14ac:dyDescent="0.25">
      <c r="N9143" s="3"/>
      <c r="AW9143" s="7"/>
      <c r="AX9143" s="7"/>
    </row>
    <row r="9144" spans="14:50" x14ac:dyDescent="0.25">
      <c r="N9144" s="3"/>
      <c r="AW9144" s="7"/>
      <c r="AX9144" s="7"/>
    </row>
    <row r="9145" spans="14:50" x14ac:dyDescent="0.25">
      <c r="N9145" s="3"/>
      <c r="AW9145" s="7"/>
      <c r="AX9145" s="7"/>
    </row>
    <row r="9146" spans="14:50" x14ac:dyDescent="0.25">
      <c r="N9146" s="3"/>
      <c r="AW9146" s="7"/>
      <c r="AX9146" s="7"/>
    </row>
    <row r="9147" spans="14:50" x14ac:dyDescent="0.25">
      <c r="N9147" s="3"/>
      <c r="AW9147" s="7"/>
      <c r="AX9147" s="7"/>
    </row>
    <row r="9148" spans="14:50" x14ac:dyDescent="0.25">
      <c r="N9148" s="3"/>
      <c r="AW9148" s="7"/>
      <c r="AX9148" s="7"/>
    </row>
    <row r="9149" spans="14:50" x14ac:dyDescent="0.25">
      <c r="N9149" s="3"/>
      <c r="AW9149" s="7"/>
      <c r="AX9149" s="7"/>
    </row>
    <row r="9150" spans="14:50" x14ac:dyDescent="0.25">
      <c r="N9150" s="3"/>
      <c r="AW9150" s="7"/>
      <c r="AX9150" s="7"/>
    </row>
    <row r="9151" spans="14:50" x14ac:dyDescent="0.25">
      <c r="N9151" s="3"/>
      <c r="AW9151" s="7"/>
      <c r="AX9151" s="7"/>
    </row>
    <row r="9152" spans="14:50" x14ac:dyDescent="0.25">
      <c r="N9152" s="3"/>
      <c r="AW9152" s="7"/>
      <c r="AX9152" s="7"/>
    </row>
    <row r="9153" spans="14:50" x14ac:dyDescent="0.25">
      <c r="N9153" s="3"/>
      <c r="AW9153" s="7"/>
      <c r="AX9153" s="7"/>
    </row>
    <row r="9154" spans="14:50" x14ac:dyDescent="0.25">
      <c r="N9154" s="3"/>
      <c r="AW9154" s="7"/>
      <c r="AX9154" s="7"/>
    </row>
    <row r="9155" spans="14:50" x14ac:dyDescent="0.25">
      <c r="N9155" s="3"/>
      <c r="AW9155" s="7"/>
      <c r="AX9155" s="7"/>
    </row>
    <row r="9156" spans="14:50" x14ac:dyDescent="0.25">
      <c r="N9156" s="3"/>
      <c r="AW9156" s="7"/>
      <c r="AX9156" s="7"/>
    </row>
    <row r="9157" spans="14:50" x14ac:dyDescent="0.25">
      <c r="N9157" s="3"/>
      <c r="AW9157" s="7"/>
      <c r="AX9157" s="7"/>
    </row>
    <row r="9158" spans="14:50" x14ac:dyDescent="0.25">
      <c r="N9158" s="3"/>
      <c r="AW9158" s="7"/>
      <c r="AX9158" s="7"/>
    </row>
    <row r="9159" spans="14:50" x14ac:dyDescent="0.25">
      <c r="N9159" s="3"/>
      <c r="AW9159" s="7"/>
      <c r="AX9159" s="7"/>
    </row>
    <row r="9160" spans="14:50" x14ac:dyDescent="0.25">
      <c r="N9160" s="3"/>
      <c r="AW9160" s="7"/>
      <c r="AX9160" s="7"/>
    </row>
    <row r="9161" spans="14:50" x14ac:dyDescent="0.25">
      <c r="N9161" s="3"/>
      <c r="AW9161" s="7"/>
      <c r="AX9161" s="7"/>
    </row>
    <row r="9162" spans="14:50" x14ac:dyDescent="0.25">
      <c r="N9162" s="3"/>
      <c r="AW9162" s="7"/>
      <c r="AX9162" s="7"/>
    </row>
    <row r="9163" spans="14:50" x14ac:dyDescent="0.25">
      <c r="N9163" s="3"/>
      <c r="AW9163" s="7"/>
      <c r="AX9163" s="7"/>
    </row>
    <row r="9164" spans="14:50" x14ac:dyDescent="0.25">
      <c r="N9164" s="3"/>
      <c r="AW9164" s="7"/>
      <c r="AX9164" s="7"/>
    </row>
    <row r="9165" spans="14:50" x14ac:dyDescent="0.25">
      <c r="N9165" s="3"/>
      <c r="AW9165" s="7"/>
      <c r="AX9165" s="7"/>
    </row>
    <row r="9166" spans="14:50" x14ac:dyDescent="0.25">
      <c r="N9166" s="3"/>
      <c r="AW9166" s="7"/>
      <c r="AX9166" s="7"/>
    </row>
    <row r="9167" spans="14:50" x14ac:dyDescent="0.25">
      <c r="N9167" s="3"/>
      <c r="AW9167" s="7"/>
      <c r="AX9167" s="7"/>
    </row>
    <row r="9168" spans="14:50" x14ac:dyDescent="0.25">
      <c r="N9168" s="3"/>
      <c r="AW9168" s="7"/>
      <c r="AX9168" s="7"/>
    </row>
    <row r="9169" spans="14:50" x14ac:dyDescent="0.25">
      <c r="N9169" s="3"/>
      <c r="AW9169" s="7"/>
      <c r="AX9169" s="7"/>
    </row>
    <row r="9170" spans="14:50" x14ac:dyDescent="0.25">
      <c r="N9170" s="3"/>
      <c r="AW9170" s="7"/>
      <c r="AX9170" s="7"/>
    </row>
    <row r="9171" spans="14:50" x14ac:dyDescent="0.25">
      <c r="N9171" s="3"/>
      <c r="AW9171" s="7"/>
      <c r="AX9171" s="7"/>
    </row>
    <row r="9172" spans="14:50" x14ac:dyDescent="0.25">
      <c r="N9172" s="3"/>
      <c r="AW9172" s="7"/>
      <c r="AX9172" s="7"/>
    </row>
    <row r="9173" spans="14:50" x14ac:dyDescent="0.25">
      <c r="N9173" s="3"/>
      <c r="AW9173" s="7"/>
      <c r="AX9173" s="7"/>
    </row>
    <row r="9174" spans="14:50" x14ac:dyDescent="0.25">
      <c r="N9174" s="3"/>
      <c r="AW9174" s="7"/>
      <c r="AX9174" s="7"/>
    </row>
    <row r="9175" spans="14:50" x14ac:dyDescent="0.25">
      <c r="N9175" s="3"/>
      <c r="AW9175" s="7"/>
      <c r="AX9175" s="7"/>
    </row>
    <row r="9176" spans="14:50" x14ac:dyDescent="0.25">
      <c r="N9176" s="3"/>
      <c r="AW9176" s="7"/>
      <c r="AX9176" s="7"/>
    </row>
    <row r="9177" spans="14:50" x14ac:dyDescent="0.25">
      <c r="N9177" s="3"/>
      <c r="AW9177" s="7"/>
      <c r="AX9177" s="7"/>
    </row>
    <row r="9178" spans="14:50" x14ac:dyDescent="0.25">
      <c r="N9178" s="3"/>
      <c r="AW9178" s="7"/>
      <c r="AX9178" s="7"/>
    </row>
    <row r="9179" spans="14:50" x14ac:dyDescent="0.25">
      <c r="N9179" s="3"/>
      <c r="AW9179" s="7"/>
      <c r="AX9179" s="7"/>
    </row>
    <row r="9180" spans="14:50" x14ac:dyDescent="0.25">
      <c r="N9180" s="3"/>
      <c r="AW9180" s="7"/>
      <c r="AX9180" s="7"/>
    </row>
    <row r="9181" spans="14:50" x14ac:dyDescent="0.25">
      <c r="N9181" s="3"/>
      <c r="AW9181" s="7"/>
      <c r="AX9181" s="7"/>
    </row>
    <row r="9182" spans="14:50" x14ac:dyDescent="0.25">
      <c r="N9182" s="3"/>
      <c r="AW9182" s="7"/>
      <c r="AX9182" s="7"/>
    </row>
    <row r="9183" spans="14:50" x14ac:dyDescent="0.25">
      <c r="N9183" s="3"/>
      <c r="AW9183" s="7"/>
      <c r="AX9183" s="7"/>
    </row>
    <row r="9184" spans="14:50" x14ac:dyDescent="0.25">
      <c r="N9184" s="3"/>
      <c r="AW9184" s="7"/>
      <c r="AX9184" s="7"/>
    </row>
    <row r="9185" spans="14:50" x14ac:dyDescent="0.25">
      <c r="N9185" s="3"/>
      <c r="AW9185" s="7"/>
      <c r="AX9185" s="7"/>
    </row>
    <row r="9186" spans="14:50" x14ac:dyDescent="0.25">
      <c r="N9186" s="3"/>
      <c r="AW9186" s="7"/>
      <c r="AX9186" s="7"/>
    </row>
    <row r="9187" spans="14:50" x14ac:dyDescent="0.25">
      <c r="N9187" s="3"/>
      <c r="AW9187" s="7"/>
      <c r="AX9187" s="7"/>
    </row>
    <row r="9188" spans="14:50" x14ac:dyDescent="0.25">
      <c r="N9188" s="3"/>
      <c r="AW9188" s="7"/>
      <c r="AX9188" s="7"/>
    </row>
    <row r="9189" spans="14:50" x14ac:dyDescent="0.25">
      <c r="N9189" s="3"/>
      <c r="AW9189" s="7"/>
      <c r="AX9189" s="7"/>
    </row>
    <row r="9190" spans="14:50" x14ac:dyDescent="0.25">
      <c r="N9190" s="3"/>
      <c r="AW9190" s="7"/>
      <c r="AX9190" s="7"/>
    </row>
    <row r="9191" spans="14:50" x14ac:dyDescent="0.25">
      <c r="N9191" s="3"/>
      <c r="AW9191" s="7"/>
      <c r="AX9191" s="7"/>
    </row>
    <row r="9192" spans="14:50" x14ac:dyDescent="0.25">
      <c r="N9192" s="3"/>
      <c r="AW9192" s="7"/>
      <c r="AX9192" s="7"/>
    </row>
    <row r="9193" spans="14:50" x14ac:dyDescent="0.25">
      <c r="N9193" s="3"/>
      <c r="AW9193" s="7"/>
      <c r="AX9193" s="7"/>
    </row>
    <row r="9194" spans="14:50" x14ac:dyDescent="0.25">
      <c r="N9194" s="3"/>
      <c r="AW9194" s="7"/>
      <c r="AX9194" s="7"/>
    </row>
    <row r="9195" spans="14:50" x14ac:dyDescent="0.25">
      <c r="N9195" s="3"/>
      <c r="AW9195" s="7"/>
      <c r="AX9195" s="7"/>
    </row>
    <row r="9196" spans="14:50" x14ac:dyDescent="0.25">
      <c r="N9196" s="3"/>
      <c r="AW9196" s="7"/>
      <c r="AX9196" s="7"/>
    </row>
    <row r="9197" spans="14:50" x14ac:dyDescent="0.25">
      <c r="N9197" s="3"/>
      <c r="AW9197" s="7"/>
      <c r="AX9197" s="7"/>
    </row>
    <row r="9198" spans="14:50" x14ac:dyDescent="0.25">
      <c r="N9198" s="3"/>
      <c r="AW9198" s="7"/>
      <c r="AX9198" s="7"/>
    </row>
    <row r="9199" spans="14:50" x14ac:dyDescent="0.25">
      <c r="N9199" s="3"/>
      <c r="AW9199" s="7"/>
      <c r="AX9199" s="7"/>
    </row>
    <row r="9200" spans="14:50" x14ac:dyDescent="0.25">
      <c r="N9200" s="3"/>
      <c r="AW9200" s="7"/>
      <c r="AX9200" s="7"/>
    </row>
    <row r="9201" spans="14:50" x14ac:dyDescent="0.25">
      <c r="N9201" s="3"/>
      <c r="AW9201" s="7"/>
      <c r="AX9201" s="7"/>
    </row>
    <row r="9202" spans="14:50" x14ac:dyDescent="0.25">
      <c r="N9202" s="3"/>
      <c r="AW9202" s="7"/>
      <c r="AX9202" s="7"/>
    </row>
    <row r="9203" spans="14:50" x14ac:dyDescent="0.25">
      <c r="N9203" s="3"/>
      <c r="AW9203" s="7"/>
      <c r="AX9203" s="7"/>
    </row>
    <row r="9204" spans="14:50" x14ac:dyDescent="0.25">
      <c r="N9204" s="3"/>
      <c r="AW9204" s="7"/>
      <c r="AX9204" s="7"/>
    </row>
    <row r="9205" spans="14:50" x14ac:dyDescent="0.25">
      <c r="N9205" s="3"/>
      <c r="AW9205" s="7"/>
      <c r="AX9205" s="7"/>
    </row>
    <row r="9206" spans="14:50" x14ac:dyDescent="0.25">
      <c r="N9206" s="3"/>
      <c r="AW9206" s="7"/>
      <c r="AX9206" s="7"/>
    </row>
    <row r="9207" spans="14:50" x14ac:dyDescent="0.25">
      <c r="N9207" s="3"/>
      <c r="AW9207" s="7"/>
      <c r="AX9207" s="7"/>
    </row>
    <row r="9208" spans="14:50" x14ac:dyDescent="0.25">
      <c r="N9208" s="3"/>
      <c r="AW9208" s="7"/>
      <c r="AX9208" s="7"/>
    </row>
    <row r="9209" spans="14:50" x14ac:dyDescent="0.25">
      <c r="N9209" s="3"/>
      <c r="AW9209" s="7"/>
      <c r="AX9209" s="7"/>
    </row>
    <row r="9210" spans="14:50" x14ac:dyDescent="0.25">
      <c r="N9210" s="3"/>
      <c r="AW9210" s="7"/>
      <c r="AX9210" s="7"/>
    </row>
    <row r="9211" spans="14:50" x14ac:dyDescent="0.25">
      <c r="N9211" s="3"/>
      <c r="AW9211" s="7"/>
      <c r="AX9211" s="7"/>
    </row>
    <row r="9212" spans="14:50" x14ac:dyDescent="0.25">
      <c r="N9212" s="3"/>
      <c r="AW9212" s="7"/>
      <c r="AX9212" s="7"/>
    </row>
    <row r="9213" spans="14:50" x14ac:dyDescent="0.25">
      <c r="N9213" s="3"/>
      <c r="AW9213" s="7"/>
      <c r="AX9213" s="7"/>
    </row>
    <row r="9214" spans="14:50" x14ac:dyDescent="0.25">
      <c r="N9214" s="3"/>
      <c r="AW9214" s="7"/>
      <c r="AX9214" s="7"/>
    </row>
    <row r="9215" spans="14:50" x14ac:dyDescent="0.25">
      <c r="N9215" s="3"/>
      <c r="AW9215" s="7"/>
      <c r="AX9215" s="7"/>
    </row>
    <row r="9216" spans="14:50" x14ac:dyDescent="0.25">
      <c r="N9216" s="3"/>
      <c r="AW9216" s="7"/>
      <c r="AX9216" s="7"/>
    </row>
    <row r="9217" spans="14:50" x14ac:dyDescent="0.25">
      <c r="N9217" s="3"/>
      <c r="AW9217" s="7"/>
      <c r="AX9217" s="7"/>
    </row>
    <row r="9218" spans="14:50" x14ac:dyDescent="0.25">
      <c r="N9218" s="3"/>
      <c r="AW9218" s="7"/>
      <c r="AX9218" s="7"/>
    </row>
    <row r="9219" spans="14:50" x14ac:dyDescent="0.25">
      <c r="N9219" s="3"/>
      <c r="AW9219" s="7"/>
      <c r="AX9219" s="7"/>
    </row>
    <row r="9220" spans="14:50" x14ac:dyDescent="0.25">
      <c r="N9220" s="3"/>
      <c r="AW9220" s="7"/>
      <c r="AX9220" s="7"/>
    </row>
    <row r="9221" spans="14:50" x14ac:dyDescent="0.25">
      <c r="N9221" s="3"/>
      <c r="AW9221" s="7"/>
      <c r="AX9221" s="7"/>
    </row>
    <row r="9222" spans="14:50" x14ac:dyDescent="0.25">
      <c r="N9222" s="3"/>
      <c r="AW9222" s="7"/>
      <c r="AX9222" s="7"/>
    </row>
    <row r="9223" spans="14:50" x14ac:dyDescent="0.25">
      <c r="N9223" s="3"/>
      <c r="AW9223" s="7"/>
      <c r="AX9223" s="7"/>
    </row>
    <row r="9224" spans="14:50" x14ac:dyDescent="0.25">
      <c r="N9224" s="3"/>
      <c r="AW9224" s="7"/>
      <c r="AX9224" s="7"/>
    </row>
    <row r="9225" spans="14:50" x14ac:dyDescent="0.25">
      <c r="N9225" s="3"/>
      <c r="AW9225" s="7"/>
      <c r="AX9225" s="7"/>
    </row>
    <row r="9226" spans="14:50" x14ac:dyDescent="0.25">
      <c r="N9226" s="3"/>
      <c r="AW9226" s="7"/>
      <c r="AX9226" s="7"/>
    </row>
    <row r="9227" spans="14:50" x14ac:dyDescent="0.25">
      <c r="N9227" s="3"/>
      <c r="AW9227" s="7"/>
      <c r="AX9227" s="7"/>
    </row>
    <row r="9228" spans="14:50" x14ac:dyDescent="0.25">
      <c r="N9228" s="3"/>
      <c r="AW9228" s="7"/>
      <c r="AX9228" s="7"/>
    </row>
    <row r="9229" spans="14:50" x14ac:dyDescent="0.25">
      <c r="N9229" s="3"/>
      <c r="AW9229" s="7"/>
      <c r="AX9229" s="7"/>
    </row>
    <row r="9230" spans="14:50" x14ac:dyDescent="0.25">
      <c r="N9230" s="3"/>
      <c r="AW9230" s="7"/>
      <c r="AX9230" s="7"/>
    </row>
    <row r="9231" spans="14:50" x14ac:dyDescent="0.25">
      <c r="N9231" s="3"/>
      <c r="AW9231" s="7"/>
      <c r="AX9231" s="7"/>
    </row>
    <row r="9232" spans="14:50" x14ac:dyDescent="0.25">
      <c r="N9232" s="3"/>
      <c r="AW9232" s="7"/>
      <c r="AX9232" s="7"/>
    </row>
    <row r="9233" spans="14:50" x14ac:dyDescent="0.25">
      <c r="N9233" s="3"/>
      <c r="AW9233" s="7"/>
      <c r="AX9233" s="7"/>
    </row>
    <row r="9234" spans="14:50" x14ac:dyDescent="0.25">
      <c r="N9234" s="3"/>
      <c r="AW9234" s="7"/>
      <c r="AX9234" s="7"/>
    </row>
    <row r="9235" spans="14:50" x14ac:dyDescent="0.25">
      <c r="N9235" s="3"/>
      <c r="AW9235" s="7"/>
      <c r="AX9235" s="7"/>
    </row>
    <row r="9236" spans="14:50" x14ac:dyDescent="0.25">
      <c r="N9236" s="3"/>
      <c r="AW9236" s="7"/>
      <c r="AX9236" s="7"/>
    </row>
    <row r="9237" spans="14:50" x14ac:dyDescent="0.25">
      <c r="N9237" s="3"/>
      <c r="AW9237" s="7"/>
      <c r="AX9237" s="7"/>
    </row>
    <row r="9238" spans="14:50" x14ac:dyDescent="0.25">
      <c r="N9238" s="3"/>
      <c r="AW9238" s="7"/>
      <c r="AX9238" s="7"/>
    </row>
    <row r="9239" spans="14:50" x14ac:dyDescent="0.25">
      <c r="N9239" s="3"/>
      <c r="AW9239" s="7"/>
      <c r="AX9239" s="7"/>
    </row>
    <row r="9240" spans="14:50" x14ac:dyDescent="0.25">
      <c r="N9240" s="3"/>
      <c r="AW9240" s="7"/>
      <c r="AX9240" s="7"/>
    </row>
    <row r="9241" spans="14:50" x14ac:dyDescent="0.25">
      <c r="N9241" s="3"/>
      <c r="AW9241" s="7"/>
      <c r="AX9241" s="7"/>
    </row>
    <row r="9242" spans="14:50" x14ac:dyDescent="0.25">
      <c r="N9242" s="3"/>
      <c r="AW9242" s="7"/>
      <c r="AX9242" s="7"/>
    </row>
    <row r="9243" spans="14:50" x14ac:dyDescent="0.25">
      <c r="N9243" s="3"/>
      <c r="AW9243" s="7"/>
      <c r="AX9243" s="7"/>
    </row>
    <row r="9244" spans="14:50" x14ac:dyDescent="0.25">
      <c r="N9244" s="3"/>
      <c r="AW9244" s="7"/>
      <c r="AX9244" s="7"/>
    </row>
    <row r="9245" spans="14:50" x14ac:dyDescent="0.25">
      <c r="N9245" s="3"/>
      <c r="AW9245" s="7"/>
      <c r="AX9245" s="7"/>
    </row>
    <row r="9246" spans="14:50" x14ac:dyDescent="0.25">
      <c r="N9246" s="3"/>
      <c r="AW9246" s="7"/>
      <c r="AX9246" s="7"/>
    </row>
    <row r="9247" spans="14:50" x14ac:dyDescent="0.25">
      <c r="N9247" s="3"/>
      <c r="AW9247" s="7"/>
      <c r="AX9247" s="7"/>
    </row>
    <row r="9248" spans="14:50" x14ac:dyDescent="0.25">
      <c r="N9248" s="3"/>
      <c r="AW9248" s="7"/>
      <c r="AX9248" s="7"/>
    </row>
    <row r="9249" spans="14:50" x14ac:dyDescent="0.25">
      <c r="N9249" s="3"/>
      <c r="AW9249" s="7"/>
      <c r="AX9249" s="7"/>
    </row>
    <row r="9250" spans="14:50" x14ac:dyDescent="0.25">
      <c r="N9250" s="3"/>
      <c r="AW9250" s="7"/>
      <c r="AX9250" s="7"/>
    </row>
    <row r="9251" spans="14:50" x14ac:dyDescent="0.25">
      <c r="N9251" s="3"/>
      <c r="AW9251" s="7"/>
      <c r="AX9251" s="7"/>
    </row>
    <row r="9252" spans="14:50" x14ac:dyDescent="0.25">
      <c r="N9252" s="3"/>
      <c r="AW9252" s="7"/>
      <c r="AX9252" s="7"/>
    </row>
    <row r="9253" spans="14:50" x14ac:dyDescent="0.25">
      <c r="N9253" s="3"/>
      <c r="AW9253" s="7"/>
      <c r="AX9253" s="7"/>
    </row>
    <row r="9254" spans="14:50" x14ac:dyDescent="0.25">
      <c r="N9254" s="3"/>
      <c r="AW9254" s="7"/>
      <c r="AX9254" s="7"/>
    </row>
    <row r="9255" spans="14:50" x14ac:dyDescent="0.25">
      <c r="N9255" s="3"/>
      <c r="AW9255" s="7"/>
      <c r="AX9255" s="7"/>
    </row>
    <row r="9256" spans="14:50" x14ac:dyDescent="0.25">
      <c r="N9256" s="3"/>
      <c r="AW9256" s="7"/>
      <c r="AX9256" s="7"/>
    </row>
    <row r="9257" spans="14:50" x14ac:dyDescent="0.25">
      <c r="N9257" s="3"/>
      <c r="AW9257" s="7"/>
      <c r="AX9257" s="7"/>
    </row>
    <row r="9258" spans="14:50" x14ac:dyDescent="0.25">
      <c r="N9258" s="3"/>
      <c r="AW9258" s="7"/>
      <c r="AX9258" s="7"/>
    </row>
    <row r="9259" spans="14:50" x14ac:dyDescent="0.25">
      <c r="N9259" s="3"/>
      <c r="AW9259" s="7"/>
      <c r="AX9259" s="7"/>
    </row>
    <row r="9260" spans="14:50" x14ac:dyDescent="0.25">
      <c r="N9260" s="3"/>
      <c r="AW9260" s="7"/>
      <c r="AX9260" s="7"/>
    </row>
    <row r="9261" spans="14:50" x14ac:dyDescent="0.25">
      <c r="N9261" s="3"/>
      <c r="AW9261" s="7"/>
      <c r="AX9261" s="7"/>
    </row>
    <row r="9262" spans="14:50" x14ac:dyDescent="0.25">
      <c r="N9262" s="3"/>
      <c r="AW9262" s="7"/>
      <c r="AX9262" s="7"/>
    </row>
    <row r="9263" spans="14:50" x14ac:dyDescent="0.25">
      <c r="N9263" s="3"/>
      <c r="AW9263" s="7"/>
      <c r="AX9263" s="7"/>
    </row>
    <row r="9264" spans="14:50" x14ac:dyDescent="0.25">
      <c r="N9264" s="3"/>
      <c r="AW9264" s="7"/>
      <c r="AX9264" s="7"/>
    </row>
    <row r="9265" spans="14:50" x14ac:dyDescent="0.25">
      <c r="N9265" s="3"/>
      <c r="AW9265" s="7"/>
      <c r="AX9265" s="7"/>
    </row>
    <row r="9266" spans="14:50" x14ac:dyDescent="0.25">
      <c r="N9266" s="3"/>
      <c r="AW9266" s="7"/>
      <c r="AX9266" s="7"/>
    </row>
    <row r="9267" spans="14:50" x14ac:dyDescent="0.25">
      <c r="N9267" s="3"/>
      <c r="AW9267" s="7"/>
      <c r="AX9267" s="7"/>
    </row>
    <row r="9268" spans="14:50" x14ac:dyDescent="0.25">
      <c r="N9268" s="3"/>
      <c r="AW9268" s="7"/>
      <c r="AX9268" s="7"/>
    </row>
    <row r="9269" spans="14:50" x14ac:dyDescent="0.25">
      <c r="N9269" s="3"/>
      <c r="AW9269" s="7"/>
      <c r="AX9269" s="7"/>
    </row>
    <row r="9270" spans="14:50" x14ac:dyDescent="0.25">
      <c r="N9270" s="3"/>
      <c r="AW9270" s="7"/>
      <c r="AX9270" s="7"/>
    </row>
    <row r="9271" spans="14:50" x14ac:dyDescent="0.25">
      <c r="N9271" s="3"/>
      <c r="AW9271" s="7"/>
      <c r="AX9271" s="7"/>
    </row>
    <row r="9272" spans="14:50" x14ac:dyDescent="0.25">
      <c r="N9272" s="3"/>
      <c r="AW9272" s="7"/>
      <c r="AX9272" s="7"/>
    </row>
    <row r="9273" spans="14:50" x14ac:dyDescent="0.25">
      <c r="N9273" s="3"/>
      <c r="AW9273" s="7"/>
      <c r="AX9273" s="7"/>
    </row>
    <row r="9274" spans="14:50" x14ac:dyDescent="0.25">
      <c r="N9274" s="3"/>
      <c r="AW9274" s="7"/>
      <c r="AX9274" s="7"/>
    </row>
    <row r="9275" spans="14:50" x14ac:dyDescent="0.25">
      <c r="N9275" s="3"/>
      <c r="AW9275" s="7"/>
      <c r="AX9275" s="7"/>
    </row>
    <row r="9276" spans="14:50" x14ac:dyDescent="0.25">
      <c r="N9276" s="3"/>
      <c r="AW9276" s="7"/>
      <c r="AX9276" s="7"/>
    </row>
    <row r="9277" spans="14:50" x14ac:dyDescent="0.25">
      <c r="N9277" s="3"/>
      <c r="AW9277" s="7"/>
      <c r="AX9277" s="7"/>
    </row>
    <row r="9278" spans="14:50" x14ac:dyDescent="0.25">
      <c r="N9278" s="3"/>
      <c r="AW9278" s="7"/>
      <c r="AX9278" s="7"/>
    </row>
    <row r="9279" spans="14:50" x14ac:dyDescent="0.25">
      <c r="N9279" s="3"/>
      <c r="AW9279" s="7"/>
      <c r="AX9279" s="7"/>
    </row>
    <row r="9280" spans="14:50" x14ac:dyDescent="0.25">
      <c r="N9280" s="3"/>
      <c r="AW9280" s="7"/>
      <c r="AX9280" s="7"/>
    </row>
    <row r="9281" spans="14:50" x14ac:dyDescent="0.25">
      <c r="N9281" s="3"/>
      <c r="AW9281" s="7"/>
      <c r="AX9281" s="7"/>
    </row>
    <row r="9282" spans="14:50" x14ac:dyDescent="0.25">
      <c r="N9282" s="3"/>
      <c r="AW9282" s="7"/>
      <c r="AX9282" s="7"/>
    </row>
    <row r="9283" spans="14:50" x14ac:dyDescent="0.25">
      <c r="N9283" s="3"/>
      <c r="AW9283" s="7"/>
      <c r="AX9283" s="7"/>
    </row>
    <row r="9284" spans="14:50" x14ac:dyDescent="0.25">
      <c r="N9284" s="3"/>
      <c r="AW9284" s="7"/>
      <c r="AX9284" s="7"/>
    </row>
    <row r="9285" spans="14:50" x14ac:dyDescent="0.25">
      <c r="N9285" s="3"/>
      <c r="AW9285" s="7"/>
      <c r="AX9285" s="7"/>
    </row>
    <row r="9286" spans="14:50" x14ac:dyDescent="0.25">
      <c r="N9286" s="3"/>
      <c r="AW9286" s="7"/>
      <c r="AX9286" s="7"/>
    </row>
    <row r="9287" spans="14:50" x14ac:dyDescent="0.25">
      <c r="N9287" s="3"/>
      <c r="AW9287" s="7"/>
      <c r="AX9287" s="7"/>
    </row>
    <row r="9288" spans="14:50" x14ac:dyDescent="0.25">
      <c r="N9288" s="3"/>
      <c r="AW9288" s="7"/>
      <c r="AX9288" s="7"/>
    </row>
    <row r="9289" spans="14:50" x14ac:dyDescent="0.25">
      <c r="N9289" s="3"/>
      <c r="AW9289" s="7"/>
      <c r="AX9289" s="7"/>
    </row>
    <row r="9290" spans="14:50" x14ac:dyDescent="0.25">
      <c r="N9290" s="3"/>
      <c r="AW9290" s="7"/>
      <c r="AX9290" s="7"/>
    </row>
    <row r="9291" spans="14:50" x14ac:dyDescent="0.25">
      <c r="N9291" s="3"/>
      <c r="AW9291" s="7"/>
      <c r="AX9291" s="7"/>
    </row>
    <row r="9292" spans="14:50" x14ac:dyDescent="0.25">
      <c r="N9292" s="3"/>
      <c r="AW9292" s="7"/>
      <c r="AX9292" s="7"/>
    </row>
    <row r="9293" spans="14:50" x14ac:dyDescent="0.25">
      <c r="N9293" s="3"/>
      <c r="AW9293" s="7"/>
      <c r="AX9293" s="7"/>
    </row>
    <row r="9294" spans="14:50" x14ac:dyDescent="0.25">
      <c r="N9294" s="3"/>
      <c r="AW9294" s="7"/>
      <c r="AX9294" s="7"/>
    </row>
    <row r="9295" spans="14:50" x14ac:dyDescent="0.25">
      <c r="N9295" s="3"/>
      <c r="AW9295" s="7"/>
      <c r="AX9295" s="7"/>
    </row>
    <row r="9296" spans="14:50" x14ac:dyDescent="0.25">
      <c r="N9296" s="3"/>
      <c r="AW9296" s="7"/>
      <c r="AX9296" s="7"/>
    </row>
    <row r="9297" spans="14:50" x14ac:dyDescent="0.25">
      <c r="N9297" s="3"/>
      <c r="AW9297" s="7"/>
      <c r="AX9297" s="7"/>
    </row>
    <row r="9298" spans="14:50" x14ac:dyDescent="0.25">
      <c r="N9298" s="3"/>
      <c r="AW9298" s="7"/>
      <c r="AX9298" s="7"/>
    </row>
    <row r="9299" spans="14:50" x14ac:dyDescent="0.25">
      <c r="N9299" s="3"/>
      <c r="AW9299" s="7"/>
      <c r="AX9299" s="7"/>
    </row>
    <row r="9300" spans="14:50" x14ac:dyDescent="0.25">
      <c r="N9300" s="3"/>
      <c r="AW9300" s="7"/>
      <c r="AX9300" s="7"/>
    </row>
    <row r="9301" spans="14:50" x14ac:dyDescent="0.25">
      <c r="N9301" s="3"/>
      <c r="AW9301" s="7"/>
      <c r="AX9301" s="7"/>
    </row>
    <row r="9302" spans="14:50" x14ac:dyDescent="0.25">
      <c r="N9302" s="3"/>
      <c r="AW9302" s="7"/>
      <c r="AX9302" s="7"/>
    </row>
    <row r="9303" spans="14:50" x14ac:dyDescent="0.25">
      <c r="N9303" s="3"/>
      <c r="AW9303" s="7"/>
      <c r="AX9303" s="7"/>
    </row>
    <row r="9304" spans="14:50" x14ac:dyDescent="0.25">
      <c r="N9304" s="3"/>
      <c r="AW9304" s="7"/>
      <c r="AX9304" s="7"/>
    </row>
    <row r="9305" spans="14:50" x14ac:dyDescent="0.25">
      <c r="N9305" s="3"/>
      <c r="AW9305" s="7"/>
      <c r="AX9305" s="7"/>
    </row>
    <row r="9306" spans="14:50" x14ac:dyDescent="0.25">
      <c r="N9306" s="3"/>
      <c r="AW9306" s="7"/>
      <c r="AX9306" s="7"/>
    </row>
    <row r="9307" spans="14:50" x14ac:dyDescent="0.25">
      <c r="N9307" s="3"/>
      <c r="AW9307" s="7"/>
      <c r="AX9307" s="7"/>
    </row>
    <row r="9308" spans="14:50" x14ac:dyDescent="0.25">
      <c r="N9308" s="3"/>
      <c r="AW9308" s="7"/>
      <c r="AX9308" s="7"/>
    </row>
    <row r="9309" spans="14:50" x14ac:dyDescent="0.25">
      <c r="N9309" s="3"/>
      <c r="AW9309" s="7"/>
      <c r="AX9309" s="7"/>
    </row>
    <row r="9310" spans="14:50" x14ac:dyDescent="0.25">
      <c r="N9310" s="3"/>
      <c r="AW9310" s="7"/>
      <c r="AX9310" s="7"/>
    </row>
    <row r="9311" spans="14:50" x14ac:dyDescent="0.25">
      <c r="N9311" s="3"/>
      <c r="AW9311" s="7"/>
      <c r="AX9311" s="7"/>
    </row>
    <row r="9312" spans="14:50" x14ac:dyDescent="0.25">
      <c r="N9312" s="3"/>
      <c r="AW9312" s="7"/>
      <c r="AX9312" s="7"/>
    </row>
    <row r="9313" spans="14:50" x14ac:dyDescent="0.25">
      <c r="N9313" s="3"/>
      <c r="AW9313" s="7"/>
      <c r="AX9313" s="7"/>
    </row>
    <row r="9314" spans="14:50" x14ac:dyDescent="0.25">
      <c r="N9314" s="3"/>
      <c r="AW9314" s="7"/>
      <c r="AX9314" s="7"/>
    </row>
    <row r="9315" spans="14:50" x14ac:dyDescent="0.25">
      <c r="N9315" s="3"/>
      <c r="AW9315" s="7"/>
      <c r="AX9315" s="7"/>
    </row>
    <row r="9316" spans="14:50" x14ac:dyDescent="0.25">
      <c r="N9316" s="3"/>
      <c r="AW9316" s="7"/>
      <c r="AX9316" s="7"/>
    </row>
    <row r="9317" spans="14:50" x14ac:dyDescent="0.25">
      <c r="N9317" s="3"/>
      <c r="AW9317" s="7"/>
      <c r="AX9317" s="7"/>
    </row>
    <row r="9318" spans="14:50" x14ac:dyDescent="0.25">
      <c r="N9318" s="3"/>
      <c r="AW9318" s="7"/>
      <c r="AX9318" s="7"/>
    </row>
    <row r="9319" spans="14:50" x14ac:dyDescent="0.25">
      <c r="N9319" s="3"/>
      <c r="AW9319" s="7"/>
      <c r="AX9319" s="7"/>
    </row>
    <row r="9320" spans="14:50" x14ac:dyDescent="0.25">
      <c r="N9320" s="3"/>
      <c r="AW9320" s="7"/>
      <c r="AX9320" s="7"/>
    </row>
    <row r="9321" spans="14:50" x14ac:dyDescent="0.25">
      <c r="N9321" s="3"/>
      <c r="AW9321" s="7"/>
      <c r="AX9321" s="7"/>
    </row>
    <row r="9322" spans="14:50" x14ac:dyDescent="0.25">
      <c r="N9322" s="3"/>
      <c r="AW9322" s="7"/>
      <c r="AX9322" s="7"/>
    </row>
    <row r="9323" spans="14:50" x14ac:dyDescent="0.25">
      <c r="N9323" s="3"/>
      <c r="AW9323" s="7"/>
      <c r="AX9323" s="7"/>
    </row>
    <row r="9324" spans="14:50" x14ac:dyDescent="0.25">
      <c r="N9324" s="3"/>
      <c r="AW9324" s="7"/>
      <c r="AX9324" s="7"/>
    </row>
    <row r="9325" spans="14:50" x14ac:dyDescent="0.25">
      <c r="N9325" s="3"/>
      <c r="AW9325" s="7"/>
      <c r="AX9325" s="7"/>
    </row>
    <row r="9326" spans="14:50" x14ac:dyDescent="0.25">
      <c r="N9326" s="3"/>
      <c r="AW9326" s="7"/>
      <c r="AX9326" s="7"/>
    </row>
    <row r="9327" spans="14:50" x14ac:dyDescent="0.25">
      <c r="N9327" s="3"/>
      <c r="AW9327" s="7"/>
      <c r="AX9327" s="7"/>
    </row>
    <row r="9328" spans="14:50" x14ac:dyDescent="0.25">
      <c r="N9328" s="3"/>
      <c r="AW9328" s="7"/>
      <c r="AX9328" s="7"/>
    </row>
    <row r="9329" spans="14:50" x14ac:dyDescent="0.25">
      <c r="N9329" s="3"/>
      <c r="AW9329" s="7"/>
      <c r="AX9329" s="7"/>
    </row>
    <row r="9330" spans="14:50" x14ac:dyDescent="0.25">
      <c r="N9330" s="3"/>
      <c r="AW9330" s="7"/>
      <c r="AX9330" s="7"/>
    </row>
    <row r="9331" spans="14:50" x14ac:dyDescent="0.25">
      <c r="N9331" s="3"/>
      <c r="AW9331" s="7"/>
      <c r="AX9331" s="7"/>
    </row>
    <row r="9332" spans="14:50" x14ac:dyDescent="0.25">
      <c r="N9332" s="3"/>
      <c r="AW9332" s="7"/>
      <c r="AX9332" s="7"/>
    </row>
    <row r="9333" spans="14:50" x14ac:dyDescent="0.25">
      <c r="N9333" s="3"/>
      <c r="AW9333" s="7"/>
      <c r="AX9333" s="7"/>
    </row>
    <row r="9334" spans="14:50" x14ac:dyDescent="0.25">
      <c r="N9334" s="3"/>
      <c r="AW9334" s="7"/>
      <c r="AX9334" s="7"/>
    </row>
    <row r="9335" spans="14:50" x14ac:dyDescent="0.25">
      <c r="N9335" s="3"/>
      <c r="AW9335" s="7"/>
      <c r="AX9335" s="7"/>
    </row>
    <row r="9336" spans="14:50" x14ac:dyDescent="0.25">
      <c r="N9336" s="3"/>
      <c r="AW9336" s="7"/>
      <c r="AX9336" s="7"/>
    </row>
    <row r="9337" spans="14:50" x14ac:dyDescent="0.25">
      <c r="N9337" s="3"/>
      <c r="AW9337" s="7"/>
      <c r="AX9337" s="7"/>
    </row>
    <row r="9338" spans="14:50" x14ac:dyDescent="0.25">
      <c r="N9338" s="3"/>
      <c r="AW9338" s="7"/>
      <c r="AX9338" s="7"/>
    </row>
    <row r="9339" spans="14:50" x14ac:dyDescent="0.25">
      <c r="N9339" s="3"/>
      <c r="AW9339" s="7"/>
      <c r="AX9339" s="7"/>
    </row>
    <row r="9340" spans="14:50" x14ac:dyDescent="0.25">
      <c r="N9340" s="3"/>
      <c r="AW9340" s="7"/>
      <c r="AX9340" s="7"/>
    </row>
    <row r="9341" spans="14:50" x14ac:dyDescent="0.25">
      <c r="N9341" s="3"/>
      <c r="AW9341" s="7"/>
      <c r="AX9341" s="7"/>
    </row>
    <row r="9342" spans="14:50" x14ac:dyDescent="0.25">
      <c r="N9342" s="3"/>
      <c r="AW9342" s="7"/>
      <c r="AX9342" s="7"/>
    </row>
    <row r="9343" spans="14:50" x14ac:dyDescent="0.25">
      <c r="N9343" s="3"/>
      <c r="AW9343" s="7"/>
      <c r="AX9343" s="7"/>
    </row>
    <row r="9344" spans="14:50" x14ac:dyDescent="0.25">
      <c r="N9344" s="3"/>
      <c r="AW9344" s="7"/>
      <c r="AX9344" s="7"/>
    </row>
    <row r="9345" spans="14:50" x14ac:dyDescent="0.25">
      <c r="N9345" s="3"/>
      <c r="AW9345" s="7"/>
      <c r="AX9345" s="7"/>
    </row>
    <row r="9346" spans="14:50" x14ac:dyDescent="0.25">
      <c r="N9346" s="3"/>
      <c r="AW9346" s="7"/>
      <c r="AX9346" s="7"/>
    </row>
    <row r="9347" spans="14:50" x14ac:dyDescent="0.25">
      <c r="N9347" s="3"/>
      <c r="AW9347" s="7"/>
      <c r="AX9347" s="7"/>
    </row>
    <row r="9348" spans="14:50" x14ac:dyDescent="0.25">
      <c r="N9348" s="3"/>
      <c r="AW9348" s="7"/>
      <c r="AX9348" s="7"/>
    </row>
    <row r="9349" spans="14:50" x14ac:dyDescent="0.25">
      <c r="N9349" s="3"/>
      <c r="AW9349" s="7"/>
      <c r="AX9349" s="7"/>
    </row>
    <row r="9350" spans="14:50" x14ac:dyDescent="0.25">
      <c r="N9350" s="3"/>
      <c r="AW9350" s="7"/>
      <c r="AX9350" s="7"/>
    </row>
    <row r="9351" spans="14:50" x14ac:dyDescent="0.25">
      <c r="N9351" s="3"/>
      <c r="AW9351" s="7"/>
      <c r="AX9351" s="7"/>
    </row>
    <row r="9352" spans="14:50" x14ac:dyDescent="0.25">
      <c r="N9352" s="3"/>
      <c r="AW9352" s="7"/>
      <c r="AX9352" s="7"/>
    </row>
    <row r="9353" spans="14:50" x14ac:dyDescent="0.25">
      <c r="N9353" s="3"/>
      <c r="AW9353" s="7"/>
      <c r="AX9353" s="7"/>
    </row>
    <row r="9354" spans="14:50" x14ac:dyDescent="0.25">
      <c r="N9354" s="3"/>
      <c r="AW9354" s="7"/>
      <c r="AX9354" s="7"/>
    </row>
    <row r="9355" spans="14:50" x14ac:dyDescent="0.25">
      <c r="N9355" s="3"/>
      <c r="AW9355" s="7"/>
      <c r="AX9355" s="7"/>
    </row>
    <row r="9356" spans="14:50" x14ac:dyDescent="0.25">
      <c r="N9356" s="3"/>
      <c r="AW9356" s="7"/>
      <c r="AX9356" s="7"/>
    </row>
    <row r="9357" spans="14:50" x14ac:dyDescent="0.25">
      <c r="N9357" s="3"/>
      <c r="AW9357" s="7"/>
      <c r="AX9357" s="7"/>
    </row>
    <row r="9358" spans="14:50" x14ac:dyDescent="0.25">
      <c r="N9358" s="3"/>
      <c r="AW9358" s="7"/>
      <c r="AX9358" s="7"/>
    </row>
    <row r="9359" spans="14:50" x14ac:dyDescent="0.25">
      <c r="N9359" s="3"/>
      <c r="AW9359" s="7"/>
      <c r="AX9359" s="7"/>
    </row>
    <row r="9360" spans="14:50" x14ac:dyDescent="0.25">
      <c r="N9360" s="3"/>
      <c r="AW9360" s="7"/>
      <c r="AX9360" s="7"/>
    </row>
    <row r="9361" spans="14:50" x14ac:dyDescent="0.25">
      <c r="N9361" s="3"/>
      <c r="AW9361" s="7"/>
      <c r="AX9361" s="7"/>
    </row>
    <row r="9362" spans="14:50" x14ac:dyDescent="0.25">
      <c r="N9362" s="3"/>
      <c r="AW9362" s="7"/>
      <c r="AX9362" s="7"/>
    </row>
    <row r="9363" spans="14:50" x14ac:dyDescent="0.25">
      <c r="N9363" s="3"/>
      <c r="AW9363" s="7"/>
      <c r="AX9363" s="7"/>
    </row>
    <row r="9364" spans="14:50" x14ac:dyDescent="0.25">
      <c r="N9364" s="3"/>
      <c r="AW9364" s="7"/>
      <c r="AX9364" s="7"/>
    </row>
    <row r="9365" spans="14:50" x14ac:dyDescent="0.25">
      <c r="N9365" s="3"/>
      <c r="AW9365" s="7"/>
      <c r="AX9365" s="7"/>
    </row>
    <row r="9366" spans="14:50" x14ac:dyDescent="0.25">
      <c r="N9366" s="3"/>
      <c r="AW9366" s="7"/>
      <c r="AX9366" s="7"/>
    </row>
    <row r="9367" spans="14:50" x14ac:dyDescent="0.25">
      <c r="N9367" s="3"/>
      <c r="AW9367" s="7"/>
      <c r="AX9367" s="7"/>
    </row>
    <row r="9368" spans="14:50" x14ac:dyDescent="0.25">
      <c r="N9368" s="3"/>
      <c r="AW9368" s="7"/>
      <c r="AX9368" s="7"/>
    </row>
    <row r="9369" spans="14:50" x14ac:dyDescent="0.25">
      <c r="N9369" s="3"/>
      <c r="AW9369" s="7"/>
      <c r="AX9369" s="7"/>
    </row>
    <row r="9370" spans="14:50" x14ac:dyDescent="0.25">
      <c r="N9370" s="3"/>
      <c r="AW9370" s="7"/>
      <c r="AX9370" s="7"/>
    </row>
    <row r="9371" spans="14:50" x14ac:dyDescent="0.25">
      <c r="N9371" s="3"/>
      <c r="AW9371" s="7"/>
      <c r="AX9371" s="7"/>
    </row>
    <row r="9372" spans="14:50" x14ac:dyDescent="0.25">
      <c r="N9372" s="3"/>
      <c r="AW9372" s="7"/>
      <c r="AX9372" s="7"/>
    </row>
    <row r="9373" spans="14:50" x14ac:dyDescent="0.25">
      <c r="N9373" s="3"/>
      <c r="AW9373" s="7"/>
      <c r="AX9373" s="7"/>
    </row>
    <row r="9374" spans="14:50" x14ac:dyDescent="0.25">
      <c r="N9374" s="3"/>
      <c r="AW9374" s="7"/>
      <c r="AX9374" s="7"/>
    </row>
    <row r="9375" spans="14:50" x14ac:dyDescent="0.25">
      <c r="N9375" s="3"/>
      <c r="AW9375" s="7"/>
      <c r="AX9375" s="7"/>
    </row>
    <row r="9376" spans="14:50" x14ac:dyDescent="0.25">
      <c r="N9376" s="3"/>
      <c r="AW9376" s="7"/>
      <c r="AX9376" s="7"/>
    </row>
    <row r="9377" spans="14:50" x14ac:dyDescent="0.25">
      <c r="N9377" s="3"/>
      <c r="AW9377" s="7"/>
      <c r="AX9377" s="7"/>
    </row>
    <row r="9378" spans="14:50" x14ac:dyDescent="0.25">
      <c r="N9378" s="3"/>
      <c r="AW9378" s="7"/>
      <c r="AX9378" s="7"/>
    </row>
    <row r="9379" spans="14:50" x14ac:dyDescent="0.25">
      <c r="N9379" s="3"/>
      <c r="AW9379" s="7"/>
      <c r="AX9379" s="7"/>
    </row>
    <row r="9380" spans="14:50" x14ac:dyDescent="0.25">
      <c r="N9380" s="3"/>
      <c r="AW9380" s="7"/>
      <c r="AX9380" s="7"/>
    </row>
    <row r="9381" spans="14:50" x14ac:dyDescent="0.25">
      <c r="N9381" s="3"/>
      <c r="AW9381" s="7"/>
      <c r="AX9381" s="7"/>
    </row>
    <row r="9382" spans="14:50" x14ac:dyDescent="0.25">
      <c r="N9382" s="3"/>
      <c r="AW9382" s="7"/>
      <c r="AX9382" s="7"/>
    </row>
    <row r="9383" spans="14:50" x14ac:dyDescent="0.25">
      <c r="N9383" s="3"/>
      <c r="AW9383" s="7"/>
      <c r="AX9383" s="7"/>
    </row>
    <row r="9384" spans="14:50" x14ac:dyDescent="0.25">
      <c r="N9384" s="3"/>
      <c r="AW9384" s="7"/>
      <c r="AX9384" s="7"/>
    </row>
    <row r="9385" spans="14:50" x14ac:dyDescent="0.25">
      <c r="N9385" s="3"/>
      <c r="AW9385" s="7"/>
      <c r="AX9385" s="7"/>
    </row>
    <row r="9386" spans="14:50" x14ac:dyDescent="0.25">
      <c r="N9386" s="3"/>
      <c r="AW9386" s="7"/>
      <c r="AX9386" s="7"/>
    </row>
    <row r="9387" spans="14:50" x14ac:dyDescent="0.25">
      <c r="N9387" s="3"/>
      <c r="AW9387" s="7"/>
      <c r="AX9387" s="7"/>
    </row>
    <row r="9388" spans="14:50" x14ac:dyDescent="0.25">
      <c r="N9388" s="3"/>
      <c r="AW9388" s="7"/>
      <c r="AX9388" s="7"/>
    </row>
    <row r="9389" spans="14:50" x14ac:dyDescent="0.25">
      <c r="N9389" s="3"/>
      <c r="AW9389" s="7"/>
      <c r="AX9389" s="7"/>
    </row>
    <row r="9390" spans="14:50" x14ac:dyDescent="0.25">
      <c r="N9390" s="3"/>
      <c r="AW9390" s="7"/>
      <c r="AX9390" s="7"/>
    </row>
    <row r="9391" spans="14:50" x14ac:dyDescent="0.25">
      <c r="N9391" s="3"/>
      <c r="AW9391" s="7"/>
      <c r="AX9391" s="7"/>
    </row>
    <row r="9392" spans="14:50" x14ac:dyDescent="0.25">
      <c r="N9392" s="3"/>
      <c r="AW9392" s="7"/>
      <c r="AX9392" s="7"/>
    </row>
    <row r="9393" spans="14:50" x14ac:dyDescent="0.25">
      <c r="N9393" s="3"/>
      <c r="AW9393" s="7"/>
      <c r="AX9393" s="7"/>
    </row>
    <row r="9394" spans="14:50" x14ac:dyDescent="0.25">
      <c r="N9394" s="3"/>
      <c r="AW9394" s="7"/>
      <c r="AX9394" s="7"/>
    </row>
    <row r="9395" spans="14:50" x14ac:dyDescent="0.25">
      <c r="N9395" s="3"/>
      <c r="AW9395" s="7"/>
      <c r="AX9395" s="7"/>
    </row>
    <row r="9396" spans="14:50" x14ac:dyDescent="0.25">
      <c r="N9396" s="3"/>
      <c r="AW9396" s="7"/>
      <c r="AX9396" s="7"/>
    </row>
    <row r="9397" spans="14:50" x14ac:dyDescent="0.25">
      <c r="N9397" s="3"/>
      <c r="AW9397" s="7"/>
      <c r="AX9397" s="7"/>
    </row>
    <row r="9398" spans="14:50" x14ac:dyDescent="0.25">
      <c r="N9398" s="3"/>
      <c r="AW9398" s="7"/>
      <c r="AX9398" s="7"/>
    </row>
    <row r="9399" spans="14:50" x14ac:dyDescent="0.25">
      <c r="N9399" s="3"/>
      <c r="AW9399" s="7"/>
      <c r="AX9399" s="7"/>
    </row>
    <row r="9400" spans="14:50" x14ac:dyDescent="0.25">
      <c r="N9400" s="3"/>
      <c r="AW9400" s="7"/>
      <c r="AX9400" s="7"/>
    </row>
    <row r="9401" spans="14:50" x14ac:dyDescent="0.25">
      <c r="N9401" s="3"/>
      <c r="AW9401" s="7"/>
      <c r="AX9401" s="7"/>
    </row>
    <row r="9402" spans="14:50" x14ac:dyDescent="0.25">
      <c r="N9402" s="3"/>
      <c r="AW9402" s="7"/>
      <c r="AX9402" s="7"/>
    </row>
    <row r="9403" spans="14:50" x14ac:dyDescent="0.25">
      <c r="N9403" s="3"/>
      <c r="AW9403" s="7"/>
      <c r="AX9403" s="7"/>
    </row>
    <row r="9404" spans="14:50" x14ac:dyDescent="0.25">
      <c r="N9404" s="3"/>
      <c r="AW9404" s="7"/>
      <c r="AX9404" s="7"/>
    </row>
    <row r="9405" spans="14:50" x14ac:dyDescent="0.25">
      <c r="N9405" s="3"/>
      <c r="AW9405" s="7"/>
      <c r="AX9405" s="7"/>
    </row>
    <row r="9406" spans="14:50" x14ac:dyDescent="0.25">
      <c r="N9406" s="3"/>
      <c r="AW9406" s="7"/>
      <c r="AX9406" s="7"/>
    </row>
    <row r="9407" spans="14:50" x14ac:dyDescent="0.25">
      <c r="N9407" s="3"/>
      <c r="AW9407" s="7"/>
      <c r="AX9407" s="7"/>
    </row>
    <row r="9408" spans="14:50" x14ac:dyDescent="0.25">
      <c r="N9408" s="3"/>
      <c r="AW9408" s="7"/>
      <c r="AX9408" s="7"/>
    </row>
    <row r="9409" spans="14:50" x14ac:dyDescent="0.25">
      <c r="N9409" s="3"/>
      <c r="AW9409" s="7"/>
      <c r="AX9409" s="7"/>
    </row>
    <row r="9410" spans="14:50" x14ac:dyDescent="0.25">
      <c r="N9410" s="3"/>
      <c r="AW9410" s="7"/>
      <c r="AX9410" s="7"/>
    </row>
    <row r="9411" spans="14:50" x14ac:dyDescent="0.25">
      <c r="N9411" s="3"/>
      <c r="AW9411" s="7"/>
      <c r="AX9411" s="7"/>
    </row>
    <row r="9412" spans="14:50" x14ac:dyDescent="0.25">
      <c r="N9412" s="3"/>
      <c r="AW9412" s="7"/>
      <c r="AX9412" s="7"/>
    </row>
    <row r="9413" spans="14:50" x14ac:dyDescent="0.25">
      <c r="N9413" s="3"/>
      <c r="AW9413" s="7"/>
      <c r="AX9413" s="7"/>
    </row>
    <row r="9414" spans="14:50" x14ac:dyDescent="0.25">
      <c r="N9414" s="3"/>
      <c r="AW9414" s="7"/>
      <c r="AX9414" s="7"/>
    </row>
    <row r="9415" spans="14:50" x14ac:dyDescent="0.25">
      <c r="N9415" s="3"/>
      <c r="AW9415" s="7"/>
      <c r="AX9415" s="7"/>
    </row>
    <row r="9416" spans="14:50" x14ac:dyDescent="0.25">
      <c r="N9416" s="3"/>
      <c r="AW9416" s="7"/>
      <c r="AX9416" s="7"/>
    </row>
    <row r="9417" spans="14:50" x14ac:dyDescent="0.25">
      <c r="N9417" s="3"/>
      <c r="AW9417" s="7"/>
      <c r="AX9417" s="7"/>
    </row>
    <row r="9418" spans="14:50" x14ac:dyDescent="0.25">
      <c r="N9418" s="3"/>
      <c r="AW9418" s="7"/>
      <c r="AX9418" s="7"/>
    </row>
    <row r="9419" spans="14:50" x14ac:dyDescent="0.25">
      <c r="N9419" s="3"/>
      <c r="AW9419" s="7"/>
      <c r="AX9419" s="7"/>
    </row>
    <row r="9420" spans="14:50" x14ac:dyDescent="0.25">
      <c r="N9420" s="3"/>
      <c r="AW9420" s="7"/>
      <c r="AX9420" s="7"/>
    </row>
    <row r="9421" spans="14:50" x14ac:dyDescent="0.25">
      <c r="N9421" s="3"/>
      <c r="AW9421" s="7"/>
      <c r="AX9421" s="7"/>
    </row>
    <row r="9422" spans="14:50" x14ac:dyDescent="0.25">
      <c r="N9422" s="3"/>
      <c r="AW9422" s="7"/>
      <c r="AX9422" s="7"/>
    </row>
    <row r="9423" spans="14:50" x14ac:dyDescent="0.25">
      <c r="N9423" s="3"/>
      <c r="AW9423" s="7"/>
      <c r="AX9423" s="7"/>
    </row>
    <row r="9424" spans="14:50" x14ac:dyDescent="0.25">
      <c r="N9424" s="3"/>
      <c r="AW9424" s="7"/>
      <c r="AX9424" s="7"/>
    </row>
    <row r="9425" spans="14:50" x14ac:dyDescent="0.25">
      <c r="N9425" s="3"/>
      <c r="AW9425" s="7"/>
      <c r="AX9425" s="7"/>
    </row>
    <row r="9426" spans="14:50" x14ac:dyDescent="0.25">
      <c r="N9426" s="3"/>
      <c r="AW9426" s="7"/>
      <c r="AX9426" s="7"/>
    </row>
    <row r="9427" spans="14:50" x14ac:dyDescent="0.25">
      <c r="N9427" s="3"/>
      <c r="AW9427" s="7"/>
      <c r="AX9427" s="7"/>
    </row>
    <row r="9428" spans="14:50" x14ac:dyDescent="0.25">
      <c r="N9428" s="3"/>
      <c r="AW9428" s="7"/>
      <c r="AX9428" s="7"/>
    </row>
    <row r="9429" spans="14:50" x14ac:dyDescent="0.25">
      <c r="N9429" s="3"/>
      <c r="AW9429" s="7"/>
      <c r="AX9429" s="7"/>
    </row>
    <row r="9430" spans="14:50" x14ac:dyDescent="0.25">
      <c r="N9430" s="3"/>
      <c r="AW9430" s="7"/>
      <c r="AX9430" s="7"/>
    </row>
    <row r="9431" spans="14:50" x14ac:dyDescent="0.25">
      <c r="N9431" s="3"/>
      <c r="AW9431" s="7"/>
      <c r="AX9431" s="7"/>
    </row>
    <row r="9432" spans="14:50" x14ac:dyDescent="0.25">
      <c r="N9432" s="3"/>
      <c r="AW9432" s="7"/>
      <c r="AX9432" s="7"/>
    </row>
    <row r="9433" spans="14:50" x14ac:dyDescent="0.25">
      <c r="N9433" s="3"/>
      <c r="AW9433" s="7"/>
      <c r="AX9433" s="7"/>
    </row>
    <row r="9434" spans="14:50" x14ac:dyDescent="0.25">
      <c r="N9434" s="3"/>
      <c r="AW9434" s="7"/>
      <c r="AX9434" s="7"/>
    </row>
    <row r="9435" spans="14:50" x14ac:dyDescent="0.25">
      <c r="N9435" s="3"/>
      <c r="AW9435" s="7"/>
      <c r="AX9435" s="7"/>
    </row>
    <row r="9436" spans="14:50" x14ac:dyDescent="0.25">
      <c r="N9436" s="3"/>
      <c r="AW9436" s="7"/>
      <c r="AX9436" s="7"/>
    </row>
    <row r="9437" spans="14:50" x14ac:dyDescent="0.25">
      <c r="N9437" s="3"/>
      <c r="AW9437" s="7"/>
      <c r="AX9437" s="7"/>
    </row>
    <row r="9438" spans="14:50" x14ac:dyDescent="0.25">
      <c r="N9438" s="3"/>
      <c r="AW9438" s="7"/>
      <c r="AX9438" s="7"/>
    </row>
    <row r="9439" spans="14:50" x14ac:dyDescent="0.25">
      <c r="N9439" s="3"/>
      <c r="AW9439" s="7"/>
      <c r="AX9439" s="7"/>
    </row>
    <row r="9440" spans="14:50" x14ac:dyDescent="0.25">
      <c r="N9440" s="3"/>
      <c r="AW9440" s="7"/>
      <c r="AX9440" s="7"/>
    </row>
    <row r="9441" spans="14:50" x14ac:dyDescent="0.25">
      <c r="N9441" s="3"/>
      <c r="AW9441" s="7"/>
      <c r="AX9441" s="7"/>
    </row>
    <row r="9442" spans="14:50" x14ac:dyDescent="0.25">
      <c r="N9442" s="3"/>
      <c r="AW9442" s="7"/>
      <c r="AX9442" s="7"/>
    </row>
    <row r="9443" spans="14:50" x14ac:dyDescent="0.25">
      <c r="N9443" s="3"/>
      <c r="AW9443" s="7"/>
      <c r="AX9443" s="7"/>
    </row>
    <row r="9444" spans="14:50" x14ac:dyDescent="0.25">
      <c r="N9444" s="3"/>
      <c r="AW9444" s="7"/>
      <c r="AX9444" s="7"/>
    </row>
    <row r="9445" spans="14:50" x14ac:dyDescent="0.25">
      <c r="N9445" s="3"/>
      <c r="AW9445" s="7"/>
      <c r="AX9445" s="7"/>
    </row>
    <row r="9446" spans="14:50" x14ac:dyDescent="0.25">
      <c r="N9446" s="3"/>
      <c r="AW9446" s="7"/>
      <c r="AX9446" s="7"/>
    </row>
    <row r="9447" spans="14:50" x14ac:dyDescent="0.25">
      <c r="N9447" s="3"/>
      <c r="AW9447" s="7"/>
      <c r="AX9447" s="7"/>
    </row>
    <row r="9448" spans="14:50" x14ac:dyDescent="0.25">
      <c r="N9448" s="3"/>
      <c r="AW9448" s="7"/>
      <c r="AX9448" s="7"/>
    </row>
    <row r="9449" spans="14:50" x14ac:dyDescent="0.25">
      <c r="N9449" s="3"/>
      <c r="AW9449" s="7"/>
      <c r="AX9449" s="7"/>
    </row>
    <row r="9450" spans="14:50" x14ac:dyDescent="0.25">
      <c r="N9450" s="3"/>
      <c r="AW9450" s="7"/>
      <c r="AX9450" s="7"/>
    </row>
    <row r="9451" spans="14:50" x14ac:dyDescent="0.25">
      <c r="N9451" s="3"/>
      <c r="AW9451" s="7"/>
      <c r="AX9451" s="7"/>
    </row>
    <row r="9452" spans="14:50" x14ac:dyDescent="0.25">
      <c r="N9452" s="3"/>
      <c r="AW9452" s="7"/>
      <c r="AX9452" s="7"/>
    </row>
    <row r="9453" spans="14:50" x14ac:dyDescent="0.25">
      <c r="N9453" s="3"/>
      <c r="AW9453" s="7"/>
      <c r="AX9453" s="7"/>
    </row>
    <row r="9454" spans="14:50" x14ac:dyDescent="0.25">
      <c r="N9454" s="3"/>
      <c r="AW9454" s="7"/>
      <c r="AX9454" s="7"/>
    </row>
    <row r="9455" spans="14:50" x14ac:dyDescent="0.25">
      <c r="N9455" s="3"/>
      <c r="AW9455" s="7"/>
      <c r="AX9455" s="7"/>
    </row>
    <row r="9456" spans="14:50" x14ac:dyDescent="0.25">
      <c r="N9456" s="3"/>
      <c r="AW9456" s="7"/>
      <c r="AX9456" s="7"/>
    </row>
    <row r="9457" spans="14:50" x14ac:dyDescent="0.25">
      <c r="N9457" s="3"/>
      <c r="AW9457" s="7"/>
      <c r="AX9457" s="7"/>
    </row>
    <row r="9458" spans="14:50" x14ac:dyDescent="0.25">
      <c r="N9458" s="3"/>
      <c r="AW9458" s="7"/>
      <c r="AX9458" s="7"/>
    </row>
    <row r="9459" spans="14:50" x14ac:dyDescent="0.25">
      <c r="N9459" s="3"/>
      <c r="AW9459" s="7"/>
      <c r="AX9459" s="7"/>
    </row>
    <row r="9460" spans="14:50" x14ac:dyDescent="0.25">
      <c r="N9460" s="3"/>
      <c r="AW9460" s="7"/>
      <c r="AX9460" s="7"/>
    </row>
    <row r="9461" spans="14:50" x14ac:dyDescent="0.25">
      <c r="N9461" s="3"/>
      <c r="AW9461" s="7"/>
      <c r="AX9461" s="7"/>
    </row>
    <row r="9462" spans="14:50" x14ac:dyDescent="0.25">
      <c r="N9462" s="3"/>
      <c r="AW9462" s="7"/>
      <c r="AX9462" s="7"/>
    </row>
    <row r="9463" spans="14:50" x14ac:dyDescent="0.25">
      <c r="N9463" s="3"/>
      <c r="AW9463" s="7"/>
      <c r="AX9463" s="7"/>
    </row>
    <row r="9464" spans="14:50" x14ac:dyDescent="0.25">
      <c r="N9464" s="3"/>
      <c r="AW9464" s="7"/>
      <c r="AX9464" s="7"/>
    </row>
    <row r="9465" spans="14:50" x14ac:dyDescent="0.25">
      <c r="N9465" s="3"/>
      <c r="AW9465" s="7"/>
      <c r="AX9465" s="7"/>
    </row>
    <row r="9466" spans="14:50" x14ac:dyDescent="0.25">
      <c r="N9466" s="3"/>
      <c r="AW9466" s="7"/>
      <c r="AX9466" s="7"/>
    </row>
    <row r="9467" spans="14:50" x14ac:dyDescent="0.25">
      <c r="N9467" s="3"/>
      <c r="AW9467" s="7"/>
      <c r="AX9467" s="7"/>
    </row>
    <row r="9468" spans="14:50" x14ac:dyDescent="0.25">
      <c r="N9468" s="3"/>
      <c r="AW9468" s="7"/>
      <c r="AX9468" s="7"/>
    </row>
    <row r="9469" spans="14:50" x14ac:dyDescent="0.25">
      <c r="N9469" s="3"/>
      <c r="AW9469" s="7"/>
      <c r="AX9469" s="7"/>
    </row>
    <row r="9470" spans="14:50" x14ac:dyDescent="0.25">
      <c r="N9470" s="3"/>
      <c r="AW9470" s="7"/>
      <c r="AX9470" s="7"/>
    </row>
    <row r="9471" spans="14:50" x14ac:dyDescent="0.25">
      <c r="N9471" s="3"/>
      <c r="AW9471" s="7"/>
      <c r="AX9471" s="7"/>
    </row>
    <row r="9472" spans="14:50" x14ac:dyDescent="0.25">
      <c r="N9472" s="3"/>
      <c r="AW9472" s="7"/>
      <c r="AX9472" s="7"/>
    </row>
    <row r="9473" spans="14:50" x14ac:dyDescent="0.25">
      <c r="N9473" s="3"/>
      <c r="AW9473" s="7"/>
      <c r="AX9473" s="7"/>
    </row>
    <row r="9474" spans="14:50" x14ac:dyDescent="0.25">
      <c r="N9474" s="3"/>
      <c r="AW9474" s="7"/>
      <c r="AX9474" s="7"/>
    </row>
    <row r="9475" spans="14:50" x14ac:dyDescent="0.25">
      <c r="N9475" s="3"/>
      <c r="AW9475" s="7"/>
      <c r="AX9475" s="7"/>
    </row>
    <row r="9476" spans="14:50" x14ac:dyDescent="0.25">
      <c r="N9476" s="3"/>
      <c r="AW9476" s="7"/>
      <c r="AX9476" s="7"/>
    </row>
    <row r="9477" spans="14:50" x14ac:dyDescent="0.25">
      <c r="N9477" s="3"/>
      <c r="AW9477" s="7"/>
      <c r="AX9477" s="7"/>
    </row>
    <row r="9478" spans="14:50" x14ac:dyDescent="0.25">
      <c r="N9478" s="3"/>
      <c r="AW9478" s="7"/>
      <c r="AX9478" s="7"/>
    </row>
    <row r="9479" spans="14:50" x14ac:dyDescent="0.25">
      <c r="N9479" s="3"/>
      <c r="AW9479" s="7"/>
      <c r="AX9479" s="7"/>
    </row>
    <row r="9480" spans="14:50" x14ac:dyDescent="0.25">
      <c r="N9480" s="3"/>
      <c r="AW9480" s="7"/>
      <c r="AX9480" s="7"/>
    </row>
    <row r="9481" spans="14:50" x14ac:dyDescent="0.25">
      <c r="N9481" s="3"/>
      <c r="AW9481" s="7"/>
      <c r="AX9481" s="7"/>
    </row>
    <row r="9482" spans="14:50" x14ac:dyDescent="0.25">
      <c r="N9482" s="3"/>
      <c r="AW9482" s="7"/>
      <c r="AX9482" s="7"/>
    </row>
    <row r="9483" spans="14:50" x14ac:dyDescent="0.25">
      <c r="N9483" s="3"/>
      <c r="AW9483" s="7"/>
      <c r="AX9483" s="7"/>
    </row>
    <row r="9484" spans="14:50" x14ac:dyDescent="0.25">
      <c r="N9484" s="3"/>
      <c r="AW9484" s="7"/>
      <c r="AX9484" s="7"/>
    </row>
    <row r="9485" spans="14:50" x14ac:dyDescent="0.25">
      <c r="N9485" s="3"/>
      <c r="AW9485" s="7"/>
      <c r="AX9485" s="7"/>
    </row>
    <row r="9486" spans="14:50" x14ac:dyDescent="0.25">
      <c r="N9486" s="3"/>
      <c r="AW9486" s="7"/>
      <c r="AX9486" s="7"/>
    </row>
    <row r="9487" spans="14:50" x14ac:dyDescent="0.25">
      <c r="N9487" s="3"/>
      <c r="AW9487" s="7"/>
      <c r="AX9487" s="7"/>
    </row>
    <row r="9488" spans="14:50" x14ac:dyDescent="0.25">
      <c r="N9488" s="3"/>
      <c r="AW9488" s="7"/>
      <c r="AX9488" s="7"/>
    </row>
    <row r="9489" spans="14:50" x14ac:dyDescent="0.25">
      <c r="N9489" s="3"/>
      <c r="AW9489" s="7"/>
      <c r="AX9489" s="7"/>
    </row>
    <row r="9490" spans="14:50" x14ac:dyDescent="0.25">
      <c r="N9490" s="3"/>
      <c r="AW9490" s="7"/>
      <c r="AX9490" s="7"/>
    </row>
    <row r="9491" spans="14:50" x14ac:dyDescent="0.25">
      <c r="N9491" s="3"/>
      <c r="AW9491" s="7"/>
      <c r="AX9491" s="7"/>
    </row>
    <row r="9492" spans="14:50" x14ac:dyDescent="0.25">
      <c r="N9492" s="3"/>
      <c r="AW9492" s="7"/>
      <c r="AX9492" s="7"/>
    </row>
    <row r="9493" spans="14:50" x14ac:dyDescent="0.25">
      <c r="N9493" s="3"/>
      <c r="AW9493" s="7"/>
      <c r="AX9493" s="7"/>
    </row>
    <row r="9494" spans="14:50" x14ac:dyDescent="0.25">
      <c r="N9494" s="3"/>
      <c r="AW9494" s="7"/>
      <c r="AX9494" s="7"/>
    </row>
    <row r="9495" spans="14:50" x14ac:dyDescent="0.25">
      <c r="N9495" s="3"/>
      <c r="AW9495" s="7"/>
      <c r="AX9495" s="7"/>
    </row>
    <row r="9496" spans="14:50" x14ac:dyDescent="0.25">
      <c r="N9496" s="3"/>
      <c r="AW9496" s="7"/>
      <c r="AX9496" s="7"/>
    </row>
    <row r="9497" spans="14:50" x14ac:dyDescent="0.25">
      <c r="N9497" s="3"/>
      <c r="AW9497" s="7"/>
      <c r="AX9497" s="7"/>
    </row>
    <row r="9498" spans="14:50" x14ac:dyDescent="0.25">
      <c r="N9498" s="3"/>
      <c r="AW9498" s="7"/>
      <c r="AX9498" s="7"/>
    </row>
    <row r="9499" spans="14:50" x14ac:dyDescent="0.25">
      <c r="N9499" s="3"/>
      <c r="AW9499" s="7"/>
      <c r="AX9499" s="7"/>
    </row>
    <row r="9500" spans="14:50" x14ac:dyDescent="0.25">
      <c r="N9500" s="3"/>
      <c r="AW9500" s="7"/>
      <c r="AX9500" s="7"/>
    </row>
    <row r="9501" spans="14:50" x14ac:dyDescent="0.25">
      <c r="N9501" s="3"/>
      <c r="AW9501" s="7"/>
      <c r="AX9501" s="7"/>
    </row>
    <row r="9502" spans="14:50" x14ac:dyDescent="0.25">
      <c r="N9502" s="3"/>
      <c r="AW9502" s="7"/>
      <c r="AX9502" s="7"/>
    </row>
    <row r="9503" spans="14:50" x14ac:dyDescent="0.25">
      <c r="N9503" s="3"/>
      <c r="AW9503" s="7"/>
      <c r="AX9503" s="7"/>
    </row>
    <row r="9504" spans="14:50" x14ac:dyDescent="0.25">
      <c r="N9504" s="3"/>
      <c r="AW9504" s="7"/>
      <c r="AX9504" s="7"/>
    </row>
    <row r="9505" spans="14:50" x14ac:dyDescent="0.25">
      <c r="N9505" s="3"/>
      <c r="AW9505" s="7"/>
      <c r="AX9505" s="7"/>
    </row>
    <row r="9506" spans="14:50" x14ac:dyDescent="0.25">
      <c r="N9506" s="3"/>
      <c r="AW9506" s="7"/>
      <c r="AX9506" s="7"/>
    </row>
    <row r="9507" spans="14:50" x14ac:dyDescent="0.25">
      <c r="N9507" s="3"/>
      <c r="AW9507" s="7"/>
      <c r="AX9507" s="7"/>
    </row>
    <row r="9508" spans="14:50" x14ac:dyDescent="0.25">
      <c r="N9508" s="3"/>
      <c r="AW9508" s="7"/>
      <c r="AX9508" s="7"/>
    </row>
    <row r="9509" spans="14:50" x14ac:dyDescent="0.25">
      <c r="N9509" s="3"/>
      <c r="AW9509" s="7"/>
      <c r="AX9509" s="7"/>
    </row>
    <row r="9510" spans="14:50" x14ac:dyDescent="0.25">
      <c r="N9510" s="3"/>
      <c r="AW9510" s="7"/>
      <c r="AX9510" s="7"/>
    </row>
    <row r="9511" spans="14:50" x14ac:dyDescent="0.25">
      <c r="N9511" s="3"/>
      <c r="AW9511" s="7"/>
      <c r="AX9511" s="7"/>
    </row>
    <row r="9512" spans="14:50" x14ac:dyDescent="0.25">
      <c r="N9512" s="3"/>
      <c r="AW9512" s="7"/>
      <c r="AX9512" s="7"/>
    </row>
    <row r="9513" spans="14:50" x14ac:dyDescent="0.25">
      <c r="N9513" s="3"/>
      <c r="AW9513" s="7"/>
      <c r="AX9513" s="7"/>
    </row>
    <row r="9514" spans="14:50" x14ac:dyDescent="0.25">
      <c r="N9514" s="3"/>
      <c r="AW9514" s="7"/>
      <c r="AX9514" s="7"/>
    </row>
    <row r="9515" spans="14:50" x14ac:dyDescent="0.25">
      <c r="N9515" s="3"/>
      <c r="AW9515" s="7"/>
      <c r="AX9515" s="7"/>
    </row>
    <row r="9516" spans="14:50" x14ac:dyDescent="0.25">
      <c r="N9516" s="3"/>
      <c r="AW9516" s="7"/>
      <c r="AX9516" s="7"/>
    </row>
    <row r="9517" spans="14:50" x14ac:dyDescent="0.25">
      <c r="N9517" s="3"/>
      <c r="AW9517" s="7"/>
      <c r="AX9517" s="7"/>
    </row>
    <row r="9518" spans="14:50" x14ac:dyDescent="0.25">
      <c r="N9518" s="3"/>
      <c r="AW9518" s="7"/>
      <c r="AX9518" s="7"/>
    </row>
    <row r="9519" spans="14:50" x14ac:dyDescent="0.25">
      <c r="N9519" s="3"/>
      <c r="AW9519" s="7"/>
      <c r="AX9519" s="7"/>
    </row>
    <row r="9520" spans="14:50" x14ac:dyDescent="0.25">
      <c r="N9520" s="3"/>
      <c r="AW9520" s="7"/>
      <c r="AX9520" s="7"/>
    </row>
    <row r="9521" spans="14:50" x14ac:dyDescent="0.25">
      <c r="N9521" s="3"/>
      <c r="AW9521" s="7"/>
      <c r="AX9521" s="7"/>
    </row>
    <row r="9522" spans="14:50" x14ac:dyDescent="0.25">
      <c r="N9522" s="3"/>
      <c r="AW9522" s="7"/>
      <c r="AX9522" s="7"/>
    </row>
    <row r="9523" spans="14:50" x14ac:dyDescent="0.25">
      <c r="N9523" s="3"/>
      <c r="AW9523" s="7"/>
      <c r="AX9523" s="7"/>
    </row>
    <row r="9524" spans="14:50" x14ac:dyDescent="0.25">
      <c r="N9524" s="3"/>
      <c r="AW9524" s="7"/>
      <c r="AX9524" s="7"/>
    </row>
    <row r="9525" spans="14:50" x14ac:dyDescent="0.25">
      <c r="N9525" s="3"/>
      <c r="AW9525" s="7"/>
      <c r="AX9525" s="7"/>
    </row>
    <row r="9526" spans="14:50" x14ac:dyDescent="0.25">
      <c r="N9526" s="3"/>
      <c r="AW9526" s="7"/>
      <c r="AX9526" s="7"/>
    </row>
    <row r="9527" spans="14:50" x14ac:dyDescent="0.25">
      <c r="N9527" s="3"/>
      <c r="AW9527" s="7"/>
      <c r="AX9527" s="7"/>
    </row>
    <row r="9528" spans="14:50" x14ac:dyDescent="0.25">
      <c r="N9528" s="3"/>
      <c r="AW9528" s="7"/>
      <c r="AX9528" s="7"/>
    </row>
    <row r="9529" spans="14:50" x14ac:dyDescent="0.25">
      <c r="N9529" s="3"/>
      <c r="AW9529" s="7"/>
      <c r="AX9529" s="7"/>
    </row>
    <row r="9530" spans="14:50" x14ac:dyDescent="0.25">
      <c r="N9530" s="3"/>
      <c r="AW9530" s="7"/>
      <c r="AX9530" s="7"/>
    </row>
    <row r="9531" spans="14:50" x14ac:dyDescent="0.25">
      <c r="N9531" s="3"/>
      <c r="AW9531" s="7"/>
      <c r="AX9531" s="7"/>
    </row>
    <row r="9532" spans="14:50" x14ac:dyDescent="0.25">
      <c r="N9532" s="3"/>
      <c r="AW9532" s="7"/>
      <c r="AX9532" s="7"/>
    </row>
    <row r="9533" spans="14:50" x14ac:dyDescent="0.25">
      <c r="N9533" s="3"/>
      <c r="AW9533" s="7"/>
      <c r="AX9533" s="7"/>
    </row>
    <row r="9534" spans="14:50" x14ac:dyDescent="0.25">
      <c r="N9534" s="3"/>
      <c r="AW9534" s="7"/>
      <c r="AX9534" s="7"/>
    </row>
    <row r="9535" spans="14:50" x14ac:dyDescent="0.25">
      <c r="N9535" s="3"/>
      <c r="AW9535" s="7"/>
      <c r="AX9535" s="7"/>
    </row>
    <row r="9536" spans="14:50" x14ac:dyDescent="0.25">
      <c r="N9536" s="3"/>
      <c r="AW9536" s="7"/>
      <c r="AX9536" s="7"/>
    </row>
    <row r="9537" spans="14:50" x14ac:dyDescent="0.25">
      <c r="N9537" s="3"/>
      <c r="AW9537" s="7"/>
      <c r="AX9537" s="7"/>
    </row>
    <row r="9538" spans="14:50" x14ac:dyDescent="0.25">
      <c r="N9538" s="3"/>
      <c r="AW9538" s="7"/>
      <c r="AX9538" s="7"/>
    </row>
    <row r="9539" spans="14:50" x14ac:dyDescent="0.25">
      <c r="N9539" s="3"/>
      <c r="AW9539" s="7"/>
      <c r="AX9539" s="7"/>
    </row>
    <row r="9540" spans="14:50" x14ac:dyDescent="0.25">
      <c r="N9540" s="3"/>
      <c r="AW9540" s="7"/>
      <c r="AX9540" s="7"/>
    </row>
    <row r="9541" spans="14:50" x14ac:dyDescent="0.25">
      <c r="N9541" s="3"/>
      <c r="AW9541" s="7"/>
      <c r="AX9541" s="7"/>
    </row>
    <row r="9542" spans="14:50" x14ac:dyDescent="0.25">
      <c r="N9542" s="3"/>
      <c r="AW9542" s="7"/>
      <c r="AX9542" s="7"/>
    </row>
    <row r="9543" spans="14:50" x14ac:dyDescent="0.25">
      <c r="N9543" s="3"/>
      <c r="AW9543" s="7"/>
      <c r="AX9543" s="7"/>
    </row>
    <row r="9544" spans="14:50" x14ac:dyDescent="0.25">
      <c r="N9544" s="3"/>
      <c r="AW9544" s="7"/>
      <c r="AX9544" s="7"/>
    </row>
    <row r="9545" spans="14:50" x14ac:dyDescent="0.25">
      <c r="N9545" s="3"/>
      <c r="AW9545" s="7"/>
      <c r="AX9545" s="7"/>
    </row>
    <row r="9546" spans="14:50" x14ac:dyDescent="0.25">
      <c r="N9546" s="3"/>
      <c r="AW9546" s="7"/>
      <c r="AX9546" s="7"/>
    </row>
    <row r="9547" spans="14:50" x14ac:dyDescent="0.25">
      <c r="N9547" s="3"/>
      <c r="AW9547" s="7"/>
      <c r="AX9547" s="7"/>
    </row>
    <row r="9548" spans="14:50" x14ac:dyDescent="0.25">
      <c r="N9548" s="3"/>
      <c r="AW9548" s="7"/>
      <c r="AX9548" s="7"/>
    </row>
    <row r="9549" spans="14:50" x14ac:dyDescent="0.25">
      <c r="N9549" s="3"/>
      <c r="AW9549" s="7"/>
      <c r="AX9549" s="7"/>
    </row>
    <row r="9550" spans="14:50" x14ac:dyDescent="0.25">
      <c r="N9550" s="3"/>
      <c r="AW9550" s="7"/>
      <c r="AX9550" s="7"/>
    </row>
    <row r="9551" spans="14:50" x14ac:dyDescent="0.25">
      <c r="N9551" s="3"/>
      <c r="AW9551" s="7"/>
      <c r="AX9551" s="7"/>
    </row>
    <row r="9552" spans="14:50" x14ac:dyDescent="0.25">
      <c r="N9552" s="3"/>
      <c r="AW9552" s="7"/>
      <c r="AX9552" s="7"/>
    </row>
    <row r="9553" spans="14:50" x14ac:dyDescent="0.25">
      <c r="N9553" s="3"/>
      <c r="AW9553" s="7"/>
      <c r="AX9553" s="7"/>
    </row>
    <row r="9554" spans="14:50" x14ac:dyDescent="0.25">
      <c r="N9554" s="3"/>
      <c r="AW9554" s="7"/>
      <c r="AX9554" s="7"/>
    </row>
    <row r="9555" spans="14:50" x14ac:dyDescent="0.25">
      <c r="N9555" s="3"/>
      <c r="AW9555" s="7"/>
      <c r="AX9555" s="7"/>
    </row>
    <row r="9556" spans="14:50" x14ac:dyDescent="0.25">
      <c r="N9556" s="3"/>
      <c r="AW9556" s="7"/>
      <c r="AX9556" s="7"/>
    </row>
    <row r="9557" spans="14:50" x14ac:dyDescent="0.25">
      <c r="N9557" s="3"/>
      <c r="AW9557" s="7"/>
      <c r="AX9557" s="7"/>
    </row>
    <row r="9558" spans="14:50" x14ac:dyDescent="0.25">
      <c r="N9558" s="3"/>
      <c r="AW9558" s="7"/>
      <c r="AX9558" s="7"/>
    </row>
    <row r="9559" spans="14:50" x14ac:dyDescent="0.25">
      <c r="N9559" s="3"/>
      <c r="AW9559" s="7"/>
      <c r="AX9559" s="7"/>
    </row>
    <row r="9560" spans="14:50" x14ac:dyDescent="0.25">
      <c r="N9560" s="3"/>
      <c r="AW9560" s="7"/>
      <c r="AX9560" s="7"/>
    </row>
    <row r="9561" spans="14:50" x14ac:dyDescent="0.25">
      <c r="N9561" s="3"/>
      <c r="AW9561" s="7"/>
      <c r="AX9561" s="7"/>
    </row>
    <row r="9562" spans="14:50" x14ac:dyDescent="0.25">
      <c r="N9562" s="3"/>
      <c r="AW9562" s="7"/>
      <c r="AX9562" s="7"/>
    </row>
    <row r="9563" spans="14:50" x14ac:dyDescent="0.25">
      <c r="N9563" s="3"/>
      <c r="AW9563" s="7"/>
      <c r="AX9563" s="7"/>
    </row>
    <row r="9564" spans="14:50" x14ac:dyDescent="0.25">
      <c r="N9564" s="3"/>
      <c r="AW9564" s="7"/>
      <c r="AX9564" s="7"/>
    </row>
    <row r="9565" spans="14:50" x14ac:dyDescent="0.25">
      <c r="N9565" s="3"/>
      <c r="AW9565" s="7"/>
      <c r="AX9565" s="7"/>
    </row>
    <row r="9566" spans="14:50" x14ac:dyDescent="0.25">
      <c r="N9566" s="3"/>
      <c r="AW9566" s="7"/>
      <c r="AX9566" s="7"/>
    </row>
    <row r="9567" spans="14:50" x14ac:dyDescent="0.25">
      <c r="N9567" s="3"/>
      <c r="AW9567" s="7"/>
      <c r="AX9567" s="7"/>
    </row>
    <row r="9568" spans="14:50" x14ac:dyDescent="0.25">
      <c r="N9568" s="3"/>
      <c r="AW9568" s="7"/>
      <c r="AX9568" s="7"/>
    </row>
    <row r="9569" spans="14:50" x14ac:dyDescent="0.25">
      <c r="N9569" s="3"/>
      <c r="AW9569" s="7"/>
      <c r="AX9569" s="7"/>
    </row>
    <row r="9570" spans="14:50" x14ac:dyDescent="0.25">
      <c r="N9570" s="3"/>
      <c r="AW9570" s="7"/>
      <c r="AX9570" s="7"/>
    </row>
    <row r="9571" spans="14:50" x14ac:dyDescent="0.25">
      <c r="N9571" s="3"/>
      <c r="AW9571" s="7"/>
      <c r="AX9571" s="7"/>
    </row>
    <row r="9572" spans="14:50" x14ac:dyDescent="0.25">
      <c r="N9572" s="3"/>
      <c r="AW9572" s="7"/>
      <c r="AX9572" s="7"/>
    </row>
    <row r="9573" spans="14:50" x14ac:dyDescent="0.25">
      <c r="N9573" s="3"/>
      <c r="AW9573" s="7"/>
      <c r="AX9573" s="7"/>
    </row>
    <row r="9574" spans="14:50" x14ac:dyDescent="0.25">
      <c r="N9574" s="3"/>
      <c r="AW9574" s="7"/>
      <c r="AX9574" s="7"/>
    </row>
    <row r="9575" spans="14:50" x14ac:dyDescent="0.25">
      <c r="N9575" s="3"/>
      <c r="AW9575" s="7"/>
      <c r="AX9575" s="7"/>
    </row>
    <row r="9576" spans="14:50" x14ac:dyDescent="0.25">
      <c r="N9576" s="3"/>
      <c r="AW9576" s="7"/>
      <c r="AX9576" s="7"/>
    </row>
    <row r="9577" spans="14:50" x14ac:dyDescent="0.25">
      <c r="N9577" s="3"/>
      <c r="AW9577" s="7"/>
      <c r="AX9577" s="7"/>
    </row>
    <row r="9578" spans="14:50" x14ac:dyDescent="0.25">
      <c r="N9578" s="3"/>
      <c r="AW9578" s="7"/>
      <c r="AX9578" s="7"/>
    </row>
    <row r="9579" spans="14:50" x14ac:dyDescent="0.25">
      <c r="N9579" s="3"/>
      <c r="AW9579" s="7"/>
      <c r="AX9579" s="7"/>
    </row>
    <row r="9580" spans="14:50" x14ac:dyDescent="0.25">
      <c r="N9580" s="3"/>
      <c r="AW9580" s="7"/>
      <c r="AX9580" s="7"/>
    </row>
    <row r="9581" spans="14:50" x14ac:dyDescent="0.25">
      <c r="N9581" s="3"/>
      <c r="AW9581" s="7"/>
      <c r="AX9581" s="7"/>
    </row>
    <row r="9582" spans="14:50" x14ac:dyDescent="0.25">
      <c r="N9582" s="3"/>
      <c r="AW9582" s="7"/>
      <c r="AX9582" s="7"/>
    </row>
    <row r="9583" spans="14:50" x14ac:dyDescent="0.25">
      <c r="N9583" s="3"/>
      <c r="AW9583" s="7"/>
      <c r="AX9583" s="7"/>
    </row>
    <row r="9584" spans="14:50" x14ac:dyDescent="0.25">
      <c r="N9584" s="3"/>
      <c r="AW9584" s="7"/>
      <c r="AX9584" s="7"/>
    </row>
    <row r="9585" spans="14:50" x14ac:dyDescent="0.25">
      <c r="N9585" s="3"/>
      <c r="AW9585" s="7"/>
      <c r="AX9585" s="7"/>
    </row>
    <row r="9586" spans="14:50" x14ac:dyDescent="0.25">
      <c r="N9586" s="3"/>
      <c r="AW9586" s="7"/>
      <c r="AX9586" s="7"/>
    </row>
    <row r="9587" spans="14:50" x14ac:dyDescent="0.25">
      <c r="N9587" s="3"/>
      <c r="AW9587" s="7"/>
      <c r="AX9587" s="7"/>
    </row>
    <row r="9588" spans="14:50" x14ac:dyDescent="0.25">
      <c r="N9588" s="3"/>
      <c r="AW9588" s="7"/>
      <c r="AX9588" s="7"/>
    </row>
    <row r="9589" spans="14:50" x14ac:dyDescent="0.25">
      <c r="N9589" s="3"/>
      <c r="AW9589" s="7"/>
      <c r="AX9589" s="7"/>
    </row>
    <row r="9590" spans="14:50" x14ac:dyDescent="0.25">
      <c r="N9590" s="3"/>
      <c r="AW9590" s="7"/>
      <c r="AX9590" s="7"/>
    </row>
    <row r="9591" spans="14:50" x14ac:dyDescent="0.25">
      <c r="N9591" s="3"/>
      <c r="AW9591" s="7"/>
      <c r="AX9591" s="7"/>
    </row>
    <row r="9592" spans="14:50" x14ac:dyDescent="0.25">
      <c r="N9592" s="3"/>
      <c r="AW9592" s="7"/>
      <c r="AX9592" s="7"/>
    </row>
    <row r="9593" spans="14:50" x14ac:dyDescent="0.25">
      <c r="N9593" s="3"/>
      <c r="AW9593" s="7"/>
      <c r="AX9593" s="7"/>
    </row>
    <row r="9594" spans="14:50" x14ac:dyDescent="0.25">
      <c r="N9594" s="3"/>
      <c r="AW9594" s="7"/>
      <c r="AX9594" s="7"/>
    </row>
    <row r="9595" spans="14:50" x14ac:dyDescent="0.25">
      <c r="N9595" s="3"/>
      <c r="AW9595" s="7"/>
      <c r="AX9595" s="7"/>
    </row>
    <row r="9596" spans="14:50" x14ac:dyDescent="0.25">
      <c r="N9596" s="3"/>
      <c r="AW9596" s="7"/>
      <c r="AX9596" s="7"/>
    </row>
    <row r="9597" spans="14:50" x14ac:dyDescent="0.25">
      <c r="N9597" s="3"/>
      <c r="AW9597" s="7"/>
      <c r="AX9597" s="7"/>
    </row>
    <row r="9598" spans="14:50" x14ac:dyDescent="0.25">
      <c r="N9598" s="3"/>
      <c r="AW9598" s="7"/>
      <c r="AX9598" s="7"/>
    </row>
    <row r="9599" spans="14:50" x14ac:dyDescent="0.25">
      <c r="N9599" s="3"/>
      <c r="AW9599" s="7"/>
      <c r="AX9599" s="7"/>
    </row>
    <row r="9600" spans="14:50" x14ac:dyDescent="0.25">
      <c r="N9600" s="3"/>
      <c r="AW9600" s="7"/>
      <c r="AX9600" s="7"/>
    </row>
    <row r="9601" spans="14:50" x14ac:dyDescent="0.25">
      <c r="N9601" s="3"/>
      <c r="AW9601" s="7"/>
      <c r="AX9601" s="7"/>
    </row>
    <row r="9602" spans="14:50" x14ac:dyDescent="0.25">
      <c r="N9602" s="3"/>
      <c r="AW9602" s="7"/>
      <c r="AX9602" s="7"/>
    </row>
    <row r="9603" spans="14:50" x14ac:dyDescent="0.25">
      <c r="N9603" s="3"/>
      <c r="AW9603" s="7"/>
      <c r="AX9603" s="7"/>
    </row>
    <row r="9604" spans="14:50" x14ac:dyDescent="0.25">
      <c r="N9604" s="3"/>
      <c r="AW9604" s="7"/>
      <c r="AX9604" s="7"/>
    </row>
    <row r="9605" spans="14:50" x14ac:dyDescent="0.25">
      <c r="N9605" s="3"/>
      <c r="AW9605" s="7"/>
      <c r="AX9605" s="7"/>
    </row>
    <row r="9606" spans="14:50" x14ac:dyDescent="0.25">
      <c r="N9606" s="3"/>
      <c r="AW9606" s="7"/>
      <c r="AX9606" s="7"/>
    </row>
    <row r="9607" spans="14:50" x14ac:dyDescent="0.25">
      <c r="N9607" s="3"/>
      <c r="AW9607" s="7"/>
      <c r="AX9607" s="7"/>
    </row>
    <row r="9608" spans="14:50" x14ac:dyDescent="0.25">
      <c r="N9608" s="3"/>
      <c r="AW9608" s="7"/>
      <c r="AX9608" s="7"/>
    </row>
    <row r="9609" spans="14:50" x14ac:dyDescent="0.25">
      <c r="N9609" s="3"/>
      <c r="AW9609" s="7"/>
      <c r="AX9609" s="7"/>
    </row>
    <row r="9610" spans="14:50" x14ac:dyDescent="0.25">
      <c r="N9610" s="3"/>
      <c r="AW9610" s="7"/>
      <c r="AX9610" s="7"/>
    </row>
    <row r="9611" spans="14:50" x14ac:dyDescent="0.25">
      <c r="N9611" s="3"/>
      <c r="AW9611" s="7"/>
      <c r="AX9611" s="7"/>
    </row>
    <row r="9612" spans="14:50" x14ac:dyDescent="0.25">
      <c r="N9612" s="3"/>
      <c r="AW9612" s="7"/>
      <c r="AX9612" s="7"/>
    </row>
    <row r="9613" spans="14:50" x14ac:dyDescent="0.25">
      <c r="N9613" s="3"/>
      <c r="AW9613" s="7"/>
      <c r="AX9613" s="7"/>
    </row>
    <row r="9614" spans="14:50" x14ac:dyDescent="0.25">
      <c r="N9614" s="3"/>
      <c r="AW9614" s="7"/>
      <c r="AX9614" s="7"/>
    </row>
    <row r="9615" spans="14:50" x14ac:dyDescent="0.25">
      <c r="N9615" s="3"/>
      <c r="AW9615" s="7"/>
      <c r="AX9615" s="7"/>
    </row>
    <row r="9616" spans="14:50" x14ac:dyDescent="0.25">
      <c r="N9616" s="3"/>
      <c r="AW9616" s="7"/>
      <c r="AX9616" s="7"/>
    </row>
    <row r="9617" spans="14:50" x14ac:dyDescent="0.25">
      <c r="N9617" s="3"/>
      <c r="AW9617" s="7"/>
      <c r="AX9617" s="7"/>
    </row>
    <row r="9618" spans="14:50" x14ac:dyDescent="0.25">
      <c r="N9618" s="3"/>
      <c r="AW9618" s="7"/>
      <c r="AX9618" s="7"/>
    </row>
    <row r="9619" spans="14:50" x14ac:dyDescent="0.25">
      <c r="N9619" s="3"/>
      <c r="AW9619" s="7"/>
      <c r="AX9619" s="7"/>
    </row>
    <row r="9620" spans="14:50" x14ac:dyDescent="0.25">
      <c r="N9620" s="3"/>
      <c r="AW9620" s="7"/>
      <c r="AX9620" s="7"/>
    </row>
    <row r="9621" spans="14:50" x14ac:dyDescent="0.25">
      <c r="N9621" s="3"/>
      <c r="AW9621" s="7"/>
      <c r="AX9621" s="7"/>
    </row>
    <row r="9622" spans="14:50" x14ac:dyDescent="0.25">
      <c r="N9622" s="3"/>
      <c r="AW9622" s="7"/>
      <c r="AX9622" s="7"/>
    </row>
    <row r="9623" spans="14:50" x14ac:dyDescent="0.25">
      <c r="N9623" s="3"/>
      <c r="AW9623" s="7"/>
      <c r="AX9623" s="7"/>
    </row>
    <row r="9624" spans="14:50" x14ac:dyDescent="0.25">
      <c r="N9624" s="3"/>
      <c r="AW9624" s="7"/>
      <c r="AX9624" s="7"/>
    </row>
    <row r="9625" spans="14:50" x14ac:dyDescent="0.25">
      <c r="N9625" s="3"/>
      <c r="AW9625" s="7"/>
      <c r="AX9625" s="7"/>
    </row>
    <row r="9626" spans="14:50" x14ac:dyDescent="0.25">
      <c r="N9626" s="3"/>
      <c r="AW9626" s="7"/>
      <c r="AX9626" s="7"/>
    </row>
    <row r="9627" spans="14:50" x14ac:dyDescent="0.25">
      <c r="N9627" s="3"/>
      <c r="AW9627" s="7"/>
      <c r="AX9627" s="7"/>
    </row>
    <row r="9628" spans="14:50" x14ac:dyDescent="0.25">
      <c r="N9628" s="3"/>
      <c r="AW9628" s="7"/>
      <c r="AX9628" s="7"/>
    </row>
    <row r="9629" spans="14:50" x14ac:dyDescent="0.25">
      <c r="N9629" s="3"/>
      <c r="AW9629" s="7"/>
      <c r="AX9629" s="7"/>
    </row>
    <row r="9630" spans="14:50" x14ac:dyDescent="0.25">
      <c r="N9630" s="3"/>
      <c r="AW9630" s="7"/>
      <c r="AX9630" s="7"/>
    </row>
    <row r="9631" spans="14:50" x14ac:dyDescent="0.25">
      <c r="N9631" s="3"/>
      <c r="AW9631" s="7"/>
      <c r="AX9631" s="7"/>
    </row>
    <row r="9632" spans="14:50" x14ac:dyDescent="0.25">
      <c r="N9632" s="3"/>
      <c r="AW9632" s="7"/>
      <c r="AX9632" s="7"/>
    </row>
    <row r="9633" spans="14:50" x14ac:dyDescent="0.25">
      <c r="N9633" s="3"/>
      <c r="AW9633" s="7"/>
      <c r="AX9633" s="7"/>
    </row>
    <row r="9634" spans="14:50" x14ac:dyDescent="0.25">
      <c r="N9634" s="3"/>
      <c r="AW9634" s="7"/>
      <c r="AX9634" s="7"/>
    </row>
    <row r="9635" spans="14:50" x14ac:dyDescent="0.25">
      <c r="N9635" s="3"/>
      <c r="AW9635" s="7"/>
      <c r="AX9635" s="7"/>
    </row>
    <row r="9636" spans="14:50" x14ac:dyDescent="0.25">
      <c r="N9636" s="3"/>
      <c r="AW9636" s="7"/>
      <c r="AX9636" s="7"/>
    </row>
    <row r="9637" spans="14:50" x14ac:dyDescent="0.25">
      <c r="N9637" s="3"/>
      <c r="AW9637" s="7"/>
      <c r="AX9637" s="7"/>
    </row>
    <row r="9638" spans="14:50" x14ac:dyDescent="0.25">
      <c r="N9638" s="3"/>
      <c r="AW9638" s="7"/>
      <c r="AX9638" s="7"/>
    </row>
    <row r="9639" spans="14:50" x14ac:dyDescent="0.25">
      <c r="N9639" s="3"/>
      <c r="AW9639" s="7"/>
      <c r="AX9639" s="7"/>
    </row>
    <row r="9640" spans="14:50" x14ac:dyDescent="0.25">
      <c r="N9640" s="3"/>
      <c r="AW9640" s="7"/>
      <c r="AX9640" s="7"/>
    </row>
    <row r="9641" spans="14:50" x14ac:dyDescent="0.25">
      <c r="N9641" s="3"/>
      <c r="AW9641" s="7"/>
      <c r="AX9641" s="7"/>
    </row>
    <row r="9642" spans="14:50" x14ac:dyDescent="0.25">
      <c r="N9642" s="3"/>
      <c r="AW9642" s="7"/>
      <c r="AX9642" s="7"/>
    </row>
    <row r="9643" spans="14:50" x14ac:dyDescent="0.25">
      <c r="N9643" s="3"/>
      <c r="AW9643" s="7"/>
      <c r="AX9643" s="7"/>
    </row>
    <row r="9644" spans="14:50" x14ac:dyDescent="0.25">
      <c r="N9644" s="3"/>
      <c r="AW9644" s="7"/>
      <c r="AX9644" s="7"/>
    </row>
    <row r="9645" spans="14:50" x14ac:dyDescent="0.25">
      <c r="N9645" s="3"/>
      <c r="AW9645" s="7"/>
      <c r="AX9645" s="7"/>
    </row>
    <row r="9646" spans="14:50" x14ac:dyDescent="0.25">
      <c r="N9646" s="3"/>
      <c r="AW9646" s="7"/>
      <c r="AX9646" s="7"/>
    </row>
    <row r="9647" spans="14:50" x14ac:dyDescent="0.25">
      <c r="N9647" s="3"/>
      <c r="AW9647" s="7"/>
      <c r="AX9647" s="7"/>
    </row>
    <row r="9648" spans="14:50" x14ac:dyDescent="0.25">
      <c r="N9648" s="3"/>
      <c r="AW9648" s="7"/>
      <c r="AX9648" s="7"/>
    </row>
    <row r="9649" spans="14:50" x14ac:dyDescent="0.25">
      <c r="N9649" s="3"/>
      <c r="AW9649" s="7"/>
      <c r="AX9649" s="7"/>
    </row>
    <row r="9650" spans="14:50" x14ac:dyDescent="0.25">
      <c r="N9650" s="3"/>
      <c r="AW9650" s="7"/>
      <c r="AX9650" s="7"/>
    </row>
    <row r="9651" spans="14:50" x14ac:dyDescent="0.25">
      <c r="N9651" s="3"/>
      <c r="AW9651" s="7"/>
      <c r="AX9651" s="7"/>
    </row>
    <row r="9652" spans="14:50" x14ac:dyDescent="0.25">
      <c r="N9652" s="3"/>
      <c r="AW9652" s="7"/>
      <c r="AX9652" s="7"/>
    </row>
    <row r="9653" spans="14:50" x14ac:dyDescent="0.25">
      <c r="N9653" s="3"/>
      <c r="AW9653" s="7"/>
      <c r="AX9653" s="7"/>
    </row>
    <row r="9654" spans="14:50" x14ac:dyDescent="0.25">
      <c r="N9654" s="3"/>
      <c r="AW9654" s="7"/>
      <c r="AX9654" s="7"/>
    </row>
    <row r="9655" spans="14:50" x14ac:dyDescent="0.25">
      <c r="N9655" s="3"/>
      <c r="AW9655" s="7"/>
      <c r="AX9655" s="7"/>
    </row>
    <row r="9656" spans="14:50" x14ac:dyDescent="0.25">
      <c r="N9656" s="3"/>
      <c r="AW9656" s="7"/>
      <c r="AX9656" s="7"/>
    </row>
    <row r="9657" spans="14:50" x14ac:dyDescent="0.25">
      <c r="N9657" s="3"/>
      <c r="AW9657" s="7"/>
      <c r="AX9657" s="7"/>
    </row>
    <row r="9658" spans="14:50" x14ac:dyDescent="0.25">
      <c r="N9658" s="3"/>
      <c r="AW9658" s="7"/>
      <c r="AX9658" s="7"/>
    </row>
    <row r="9659" spans="14:50" x14ac:dyDescent="0.25">
      <c r="N9659" s="3"/>
      <c r="AW9659" s="7"/>
      <c r="AX9659" s="7"/>
    </row>
    <row r="9660" spans="14:50" x14ac:dyDescent="0.25">
      <c r="N9660" s="3"/>
      <c r="AW9660" s="7"/>
      <c r="AX9660" s="7"/>
    </row>
    <row r="9661" spans="14:50" x14ac:dyDescent="0.25">
      <c r="N9661" s="3"/>
      <c r="AW9661" s="7"/>
      <c r="AX9661" s="7"/>
    </row>
    <row r="9662" spans="14:50" x14ac:dyDescent="0.25">
      <c r="N9662" s="3"/>
      <c r="AW9662" s="7"/>
      <c r="AX9662" s="7"/>
    </row>
    <row r="9663" spans="14:50" x14ac:dyDescent="0.25">
      <c r="N9663" s="3"/>
      <c r="AW9663" s="7"/>
      <c r="AX9663" s="7"/>
    </row>
    <row r="9664" spans="14:50" x14ac:dyDescent="0.25">
      <c r="N9664" s="3"/>
      <c r="AW9664" s="7"/>
      <c r="AX9664" s="7"/>
    </row>
    <row r="9665" spans="14:50" x14ac:dyDescent="0.25">
      <c r="N9665" s="3"/>
      <c r="AW9665" s="7"/>
      <c r="AX9665" s="7"/>
    </row>
    <row r="9666" spans="14:50" x14ac:dyDescent="0.25">
      <c r="N9666" s="3"/>
      <c r="AW9666" s="7"/>
      <c r="AX9666" s="7"/>
    </row>
    <row r="9667" spans="14:50" x14ac:dyDescent="0.25">
      <c r="N9667" s="3"/>
      <c r="AW9667" s="7"/>
      <c r="AX9667" s="7"/>
    </row>
    <row r="9668" spans="14:50" x14ac:dyDescent="0.25">
      <c r="N9668" s="3"/>
      <c r="AW9668" s="7"/>
      <c r="AX9668" s="7"/>
    </row>
    <row r="9669" spans="14:50" x14ac:dyDescent="0.25">
      <c r="N9669" s="3"/>
      <c r="AW9669" s="7"/>
      <c r="AX9669" s="7"/>
    </row>
    <row r="9670" spans="14:50" x14ac:dyDescent="0.25">
      <c r="N9670" s="3"/>
      <c r="AW9670" s="7"/>
      <c r="AX9670" s="7"/>
    </row>
    <row r="9671" spans="14:50" x14ac:dyDescent="0.25">
      <c r="N9671" s="3"/>
      <c r="AW9671" s="7"/>
      <c r="AX9671" s="7"/>
    </row>
    <row r="9672" spans="14:50" x14ac:dyDescent="0.25">
      <c r="N9672" s="3"/>
      <c r="AW9672" s="7"/>
      <c r="AX9672" s="7"/>
    </row>
    <row r="9673" spans="14:50" x14ac:dyDescent="0.25">
      <c r="N9673" s="3"/>
      <c r="AW9673" s="7"/>
      <c r="AX9673" s="7"/>
    </row>
    <row r="9674" spans="14:50" x14ac:dyDescent="0.25">
      <c r="N9674" s="3"/>
      <c r="AW9674" s="7"/>
      <c r="AX9674" s="7"/>
    </row>
    <row r="9675" spans="14:50" x14ac:dyDescent="0.25">
      <c r="N9675" s="3"/>
      <c r="AW9675" s="7"/>
      <c r="AX9675" s="7"/>
    </row>
    <row r="9676" spans="14:50" x14ac:dyDescent="0.25">
      <c r="N9676" s="3"/>
      <c r="AW9676" s="7"/>
      <c r="AX9676" s="7"/>
    </row>
    <row r="9677" spans="14:50" x14ac:dyDescent="0.25">
      <c r="N9677" s="3"/>
      <c r="AW9677" s="7"/>
      <c r="AX9677" s="7"/>
    </row>
    <row r="9678" spans="14:50" x14ac:dyDescent="0.25">
      <c r="N9678" s="3"/>
      <c r="AW9678" s="7"/>
      <c r="AX9678" s="7"/>
    </row>
    <row r="9679" spans="14:50" x14ac:dyDescent="0.25">
      <c r="N9679" s="3"/>
      <c r="AW9679" s="7"/>
      <c r="AX9679" s="7"/>
    </row>
    <row r="9680" spans="14:50" x14ac:dyDescent="0.25">
      <c r="N9680" s="3"/>
      <c r="AW9680" s="7"/>
      <c r="AX9680" s="7"/>
    </row>
    <row r="9681" spans="14:50" x14ac:dyDescent="0.25">
      <c r="N9681" s="3"/>
      <c r="AW9681" s="7"/>
      <c r="AX9681" s="7"/>
    </row>
    <row r="9682" spans="14:50" x14ac:dyDescent="0.25">
      <c r="N9682" s="3"/>
      <c r="AW9682" s="7"/>
      <c r="AX9682" s="7"/>
    </row>
    <row r="9683" spans="14:50" x14ac:dyDescent="0.25">
      <c r="N9683" s="3"/>
      <c r="AW9683" s="7"/>
      <c r="AX9683" s="7"/>
    </row>
    <row r="9684" spans="14:50" x14ac:dyDescent="0.25">
      <c r="N9684" s="3"/>
      <c r="AW9684" s="7"/>
      <c r="AX9684" s="7"/>
    </row>
    <row r="9685" spans="14:50" x14ac:dyDescent="0.25">
      <c r="N9685" s="3"/>
      <c r="AW9685" s="7"/>
      <c r="AX9685" s="7"/>
    </row>
    <row r="9686" spans="14:50" x14ac:dyDescent="0.25">
      <c r="N9686" s="3"/>
      <c r="AW9686" s="7"/>
      <c r="AX9686" s="7"/>
    </row>
    <row r="9687" spans="14:50" x14ac:dyDescent="0.25">
      <c r="N9687" s="3"/>
      <c r="AW9687" s="7"/>
      <c r="AX9687" s="7"/>
    </row>
    <row r="9688" spans="14:50" x14ac:dyDescent="0.25">
      <c r="N9688" s="3"/>
      <c r="AW9688" s="7"/>
      <c r="AX9688" s="7"/>
    </row>
    <row r="9689" spans="14:50" x14ac:dyDescent="0.25">
      <c r="N9689" s="3"/>
      <c r="AW9689" s="7"/>
      <c r="AX9689" s="7"/>
    </row>
    <row r="9690" spans="14:50" x14ac:dyDescent="0.25">
      <c r="N9690" s="3"/>
      <c r="AW9690" s="7"/>
      <c r="AX9690" s="7"/>
    </row>
    <row r="9691" spans="14:50" x14ac:dyDescent="0.25">
      <c r="N9691" s="3"/>
      <c r="AW9691" s="7"/>
      <c r="AX9691" s="7"/>
    </row>
    <row r="9692" spans="14:50" x14ac:dyDescent="0.25">
      <c r="N9692" s="3"/>
      <c r="AW9692" s="7"/>
      <c r="AX9692" s="7"/>
    </row>
    <row r="9693" spans="14:50" x14ac:dyDescent="0.25">
      <c r="N9693" s="3"/>
      <c r="AW9693" s="7"/>
      <c r="AX9693" s="7"/>
    </row>
    <row r="9694" spans="14:50" x14ac:dyDescent="0.25">
      <c r="N9694" s="3"/>
      <c r="AW9694" s="7"/>
      <c r="AX9694" s="7"/>
    </row>
    <row r="9695" spans="14:50" x14ac:dyDescent="0.25">
      <c r="N9695" s="3"/>
      <c r="AW9695" s="7"/>
      <c r="AX9695" s="7"/>
    </row>
    <row r="9696" spans="14:50" x14ac:dyDescent="0.25">
      <c r="N9696" s="3"/>
      <c r="AW9696" s="7"/>
      <c r="AX9696" s="7"/>
    </row>
    <row r="9697" spans="14:50" x14ac:dyDescent="0.25">
      <c r="N9697" s="3"/>
      <c r="AW9697" s="7"/>
      <c r="AX9697" s="7"/>
    </row>
    <row r="9698" spans="14:50" x14ac:dyDescent="0.25">
      <c r="N9698" s="3"/>
      <c r="AW9698" s="7"/>
      <c r="AX9698" s="7"/>
    </row>
    <row r="9699" spans="14:50" x14ac:dyDescent="0.25">
      <c r="N9699" s="3"/>
      <c r="AW9699" s="7"/>
      <c r="AX9699" s="7"/>
    </row>
    <row r="9700" spans="14:50" x14ac:dyDescent="0.25">
      <c r="N9700" s="3"/>
      <c r="AW9700" s="7"/>
      <c r="AX9700" s="7"/>
    </row>
    <row r="9701" spans="14:50" x14ac:dyDescent="0.25">
      <c r="N9701" s="3"/>
      <c r="AW9701" s="7"/>
      <c r="AX9701" s="7"/>
    </row>
    <row r="9702" spans="14:50" x14ac:dyDescent="0.25">
      <c r="N9702" s="3"/>
      <c r="AW9702" s="7"/>
      <c r="AX9702" s="7"/>
    </row>
    <row r="9703" spans="14:50" x14ac:dyDescent="0.25">
      <c r="N9703" s="3"/>
      <c r="AW9703" s="7"/>
      <c r="AX9703" s="7"/>
    </row>
    <row r="9704" spans="14:50" x14ac:dyDescent="0.25">
      <c r="N9704" s="3"/>
      <c r="AW9704" s="7"/>
      <c r="AX9704" s="7"/>
    </row>
    <row r="9705" spans="14:50" x14ac:dyDescent="0.25">
      <c r="N9705" s="3"/>
      <c r="AW9705" s="7"/>
      <c r="AX9705" s="7"/>
    </row>
    <row r="9706" spans="14:50" x14ac:dyDescent="0.25">
      <c r="N9706" s="3"/>
      <c r="AW9706" s="7"/>
      <c r="AX9706" s="7"/>
    </row>
    <row r="9707" spans="14:50" x14ac:dyDescent="0.25">
      <c r="N9707" s="3"/>
      <c r="AW9707" s="7"/>
      <c r="AX9707" s="7"/>
    </row>
    <row r="9708" spans="14:50" x14ac:dyDescent="0.25">
      <c r="N9708" s="3"/>
      <c r="AW9708" s="7"/>
      <c r="AX9708" s="7"/>
    </row>
    <row r="9709" spans="14:50" x14ac:dyDescent="0.25">
      <c r="N9709" s="3"/>
      <c r="AW9709" s="7"/>
      <c r="AX9709" s="7"/>
    </row>
    <row r="9710" spans="14:50" x14ac:dyDescent="0.25">
      <c r="N9710" s="3"/>
      <c r="AW9710" s="7"/>
      <c r="AX9710" s="7"/>
    </row>
    <row r="9711" spans="14:50" x14ac:dyDescent="0.25">
      <c r="N9711" s="3"/>
      <c r="AW9711" s="7"/>
      <c r="AX9711" s="7"/>
    </row>
    <row r="9712" spans="14:50" x14ac:dyDescent="0.25">
      <c r="N9712" s="3"/>
      <c r="AW9712" s="7"/>
      <c r="AX9712" s="7"/>
    </row>
    <row r="9713" spans="14:50" x14ac:dyDescent="0.25">
      <c r="N9713" s="3"/>
      <c r="AW9713" s="7"/>
      <c r="AX9713" s="7"/>
    </row>
    <row r="9714" spans="14:50" x14ac:dyDescent="0.25">
      <c r="N9714" s="3"/>
      <c r="AW9714" s="7"/>
      <c r="AX9714" s="7"/>
    </row>
    <row r="9715" spans="14:50" x14ac:dyDescent="0.25">
      <c r="N9715" s="3"/>
      <c r="AW9715" s="7"/>
      <c r="AX9715" s="7"/>
    </row>
    <row r="9716" spans="14:50" x14ac:dyDescent="0.25">
      <c r="N9716" s="3"/>
      <c r="AW9716" s="7"/>
      <c r="AX9716" s="7"/>
    </row>
    <row r="9717" spans="14:50" x14ac:dyDescent="0.25">
      <c r="N9717" s="3"/>
      <c r="AW9717" s="7"/>
      <c r="AX9717" s="7"/>
    </row>
    <row r="9718" spans="14:50" x14ac:dyDescent="0.25">
      <c r="N9718" s="3"/>
      <c r="AW9718" s="7"/>
      <c r="AX9718" s="7"/>
    </row>
    <row r="9719" spans="14:50" x14ac:dyDescent="0.25">
      <c r="N9719" s="3"/>
      <c r="AW9719" s="7"/>
      <c r="AX9719" s="7"/>
    </row>
    <row r="9720" spans="14:50" x14ac:dyDescent="0.25">
      <c r="N9720" s="3"/>
      <c r="AW9720" s="7"/>
      <c r="AX9720" s="7"/>
    </row>
    <row r="9721" spans="14:50" x14ac:dyDescent="0.25">
      <c r="N9721" s="3"/>
      <c r="AW9721" s="7"/>
      <c r="AX9721" s="7"/>
    </row>
    <row r="9722" spans="14:50" x14ac:dyDescent="0.25">
      <c r="N9722" s="3"/>
      <c r="AW9722" s="7"/>
      <c r="AX9722" s="7"/>
    </row>
    <row r="9723" spans="14:50" x14ac:dyDescent="0.25">
      <c r="N9723" s="3"/>
      <c r="AW9723" s="7"/>
      <c r="AX9723" s="7"/>
    </row>
    <row r="9724" spans="14:50" x14ac:dyDescent="0.25">
      <c r="N9724" s="3"/>
      <c r="AW9724" s="7"/>
      <c r="AX9724" s="7"/>
    </row>
    <row r="9725" spans="14:50" x14ac:dyDescent="0.25">
      <c r="N9725" s="3"/>
      <c r="AW9725" s="7"/>
      <c r="AX9725" s="7"/>
    </row>
    <row r="9726" spans="14:50" x14ac:dyDescent="0.25">
      <c r="N9726" s="3"/>
      <c r="AW9726" s="7"/>
      <c r="AX9726" s="7"/>
    </row>
    <row r="9727" spans="14:50" x14ac:dyDescent="0.25">
      <c r="N9727" s="3"/>
      <c r="AW9727" s="7"/>
      <c r="AX9727" s="7"/>
    </row>
    <row r="9728" spans="14:50" x14ac:dyDescent="0.25">
      <c r="N9728" s="3"/>
      <c r="AW9728" s="7"/>
      <c r="AX9728" s="7"/>
    </row>
    <row r="9729" spans="14:50" x14ac:dyDescent="0.25">
      <c r="N9729" s="3"/>
      <c r="AW9729" s="7"/>
      <c r="AX9729" s="7"/>
    </row>
    <row r="9730" spans="14:50" x14ac:dyDescent="0.25">
      <c r="N9730" s="3"/>
      <c r="AW9730" s="7"/>
      <c r="AX9730" s="7"/>
    </row>
    <row r="9731" spans="14:50" x14ac:dyDescent="0.25">
      <c r="N9731" s="3"/>
      <c r="AW9731" s="7"/>
      <c r="AX9731" s="7"/>
    </row>
    <row r="9732" spans="14:50" x14ac:dyDescent="0.25">
      <c r="N9732" s="3"/>
      <c r="AW9732" s="7"/>
      <c r="AX9732" s="7"/>
    </row>
    <row r="9733" spans="14:50" x14ac:dyDescent="0.25">
      <c r="N9733" s="3"/>
      <c r="AW9733" s="7"/>
      <c r="AX9733" s="7"/>
    </row>
    <row r="9734" spans="14:50" x14ac:dyDescent="0.25">
      <c r="N9734" s="3"/>
      <c r="AW9734" s="7"/>
      <c r="AX9734" s="7"/>
    </row>
    <row r="9735" spans="14:50" x14ac:dyDescent="0.25">
      <c r="N9735" s="3"/>
      <c r="AW9735" s="7"/>
      <c r="AX9735" s="7"/>
    </row>
    <row r="9736" spans="14:50" x14ac:dyDescent="0.25">
      <c r="N9736" s="3"/>
      <c r="AW9736" s="7"/>
      <c r="AX9736" s="7"/>
    </row>
    <row r="9737" spans="14:50" x14ac:dyDescent="0.25">
      <c r="N9737" s="3"/>
      <c r="AW9737" s="7"/>
      <c r="AX9737" s="7"/>
    </row>
    <row r="9738" spans="14:50" x14ac:dyDescent="0.25">
      <c r="N9738" s="3"/>
      <c r="AW9738" s="7"/>
      <c r="AX9738" s="7"/>
    </row>
    <row r="9739" spans="14:50" x14ac:dyDescent="0.25">
      <c r="N9739" s="3"/>
      <c r="AW9739" s="7"/>
      <c r="AX9739" s="7"/>
    </row>
    <row r="9740" spans="14:50" x14ac:dyDescent="0.25">
      <c r="N9740" s="3"/>
      <c r="AW9740" s="7"/>
      <c r="AX9740" s="7"/>
    </row>
    <row r="9741" spans="14:50" x14ac:dyDescent="0.25">
      <c r="N9741" s="3"/>
      <c r="AW9741" s="7"/>
      <c r="AX9741" s="7"/>
    </row>
    <row r="9742" spans="14:50" x14ac:dyDescent="0.25">
      <c r="N9742" s="3"/>
      <c r="AW9742" s="7"/>
      <c r="AX9742" s="7"/>
    </row>
    <row r="9743" spans="14:50" x14ac:dyDescent="0.25">
      <c r="N9743" s="3"/>
      <c r="AW9743" s="7"/>
      <c r="AX9743" s="7"/>
    </row>
    <row r="9744" spans="14:50" x14ac:dyDescent="0.25">
      <c r="N9744" s="3"/>
      <c r="AW9744" s="7"/>
      <c r="AX9744" s="7"/>
    </row>
    <row r="9745" spans="14:50" x14ac:dyDescent="0.25">
      <c r="N9745" s="3"/>
      <c r="AW9745" s="7"/>
      <c r="AX9745" s="7"/>
    </row>
    <row r="9746" spans="14:50" x14ac:dyDescent="0.25">
      <c r="N9746" s="3"/>
      <c r="AW9746" s="7"/>
      <c r="AX9746" s="7"/>
    </row>
    <row r="9747" spans="14:50" x14ac:dyDescent="0.25">
      <c r="N9747" s="3"/>
      <c r="AW9747" s="7"/>
      <c r="AX9747" s="7"/>
    </row>
    <row r="9748" spans="14:50" x14ac:dyDescent="0.25">
      <c r="N9748" s="3"/>
      <c r="AW9748" s="7"/>
      <c r="AX9748" s="7"/>
    </row>
    <row r="9749" spans="14:50" x14ac:dyDescent="0.25">
      <c r="N9749" s="3"/>
      <c r="AW9749" s="7"/>
      <c r="AX9749" s="7"/>
    </row>
    <row r="9750" spans="14:50" x14ac:dyDescent="0.25">
      <c r="N9750" s="3"/>
      <c r="AW9750" s="7"/>
      <c r="AX9750" s="7"/>
    </row>
    <row r="9751" spans="14:50" x14ac:dyDescent="0.25">
      <c r="N9751" s="3"/>
      <c r="AW9751" s="7"/>
      <c r="AX9751" s="7"/>
    </row>
    <row r="9752" spans="14:50" x14ac:dyDescent="0.25">
      <c r="N9752" s="3"/>
      <c r="AW9752" s="7"/>
      <c r="AX9752" s="7"/>
    </row>
    <row r="9753" spans="14:50" x14ac:dyDescent="0.25">
      <c r="N9753" s="3"/>
      <c r="AW9753" s="7"/>
      <c r="AX9753" s="7"/>
    </row>
    <row r="9754" spans="14:50" x14ac:dyDescent="0.25">
      <c r="N9754" s="3"/>
      <c r="AW9754" s="7"/>
      <c r="AX9754" s="7"/>
    </row>
    <row r="9755" spans="14:50" x14ac:dyDescent="0.25">
      <c r="N9755" s="3"/>
      <c r="AW9755" s="7"/>
      <c r="AX9755" s="7"/>
    </row>
    <row r="9756" spans="14:50" x14ac:dyDescent="0.25">
      <c r="N9756" s="3"/>
      <c r="AW9756" s="7"/>
      <c r="AX9756" s="7"/>
    </row>
    <row r="9757" spans="14:50" x14ac:dyDescent="0.25">
      <c r="N9757" s="3"/>
      <c r="AW9757" s="7"/>
      <c r="AX9757" s="7"/>
    </row>
    <row r="9758" spans="14:50" x14ac:dyDescent="0.25">
      <c r="N9758" s="3"/>
      <c r="AW9758" s="7"/>
      <c r="AX9758" s="7"/>
    </row>
    <row r="9759" spans="14:50" x14ac:dyDescent="0.25">
      <c r="N9759" s="3"/>
      <c r="AW9759" s="7"/>
      <c r="AX9759" s="7"/>
    </row>
    <row r="9760" spans="14:50" x14ac:dyDescent="0.25">
      <c r="N9760" s="3"/>
      <c r="AW9760" s="7"/>
      <c r="AX9760" s="7"/>
    </row>
    <row r="9761" spans="14:50" x14ac:dyDescent="0.25">
      <c r="N9761" s="3"/>
      <c r="AW9761" s="7"/>
      <c r="AX9761" s="7"/>
    </row>
    <row r="9762" spans="14:50" x14ac:dyDescent="0.25">
      <c r="N9762" s="3"/>
      <c r="AW9762" s="7"/>
      <c r="AX9762" s="7"/>
    </row>
    <row r="9763" spans="14:50" x14ac:dyDescent="0.25">
      <c r="N9763" s="3"/>
      <c r="AW9763" s="7"/>
      <c r="AX9763" s="7"/>
    </row>
    <row r="9764" spans="14:50" x14ac:dyDescent="0.25">
      <c r="N9764" s="3"/>
      <c r="AW9764" s="7"/>
      <c r="AX9764" s="7"/>
    </row>
    <row r="9765" spans="14:50" x14ac:dyDescent="0.25">
      <c r="N9765" s="3"/>
      <c r="AW9765" s="7"/>
      <c r="AX9765" s="7"/>
    </row>
    <row r="9766" spans="14:50" x14ac:dyDescent="0.25">
      <c r="N9766" s="3"/>
      <c r="AW9766" s="7"/>
      <c r="AX9766" s="7"/>
    </row>
    <row r="9767" spans="14:50" x14ac:dyDescent="0.25">
      <c r="N9767" s="3"/>
      <c r="AW9767" s="7"/>
      <c r="AX9767" s="7"/>
    </row>
    <row r="9768" spans="14:50" x14ac:dyDescent="0.25">
      <c r="N9768" s="3"/>
      <c r="AW9768" s="7"/>
      <c r="AX9768" s="7"/>
    </row>
    <row r="9769" spans="14:50" x14ac:dyDescent="0.25">
      <c r="N9769" s="3"/>
      <c r="AW9769" s="7"/>
      <c r="AX9769" s="7"/>
    </row>
    <row r="9770" spans="14:50" x14ac:dyDescent="0.25">
      <c r="N9770" s="3"/>
      <c r="AW9770" s="7"/>
      <c r="AX9770" s="7"/>
    </row>
    <row r="9771" spans="14:50" x14ac:dyDescent="0.25">
      <c r="N9771" s="3"/>
      <c r="AW9771" s="7"/>
      <c r="AX9771" s="7"/>
    </row>
    <row r="9772" spans="14:50" x14ac:dyDescent="0.25">
      <c r="N9772" s="3"/>
      <c r="AW9772" s="7"/>
      <c r="AX9772" s="7"/>
    </row>
    <row r="9773" spans="14:50" x14ac:dyDescent="0.25">
      <c r="N9773" s="3"/>
      <c r="AW9773" s="7"/>
      <c r="AX9773" s="7"/>
    </row>
    <row r="9774" spans="14:50" x14ac:dyDescent="0.25">
      <c r="N9774" s="3"/>
      <c r="AW9774" s="7"/>
      <c r="AX9774" s="7"/>
    </row>
    <row r="9775" spans="14:50" x14ac:dyDescent="0.25">
      <c r="N9775" s="3"/>
      <c r="AW9775" s="7"/>
      <c r="AX9775" s="7"/>
    </row>
    <row r="9776" spans="14:50" x14ac:dyDescent="0.25">
      <c r="N9776" s="3"/>
      <c r="AW9776" s="7"/>
      <c r="AX9776" s="7"/>
    </row>
    <row r="9777" spans="14:50" x14ac:dyDescent="0.25">
      <c r="N9777" s="3"/>
      <c r="AW9777" s="7"/>
      <c r="AX9777" s="7"/>
    </row>
    <row r="9778" spans="14:50" x14ac:dyDescent="0.25">
      <c r="N9778" s="3"/>
      <c r="AW9778" s="7"/>
      <c r="AX9778" s="7"/>
    </row>
    <row r="9779" spans="14:50" x14ac:dyDescent="0.25">
      <c r="N9779" s="3"/>
      <c r="AW9779" s="7"/>
      <c r="AX9779" s="7"/>
    </row>
    <row r="9780" spans="14:50" x14ac:dyDescent="0.25">
      <c r="N9780" s="3"/>
      <c r="AW9780" s="7"/>
      <c r="AX9780" s="7"/>
    </row>
    <row r="9781" spans="14:50" x14ac:dyDescent="0.25">
      <c r="N9781" s="3"/>
      <c r="AW9781" s="7"/>
      <c r="AX9781" s="7"/>
    </row>
    <row r="9782" spans="14:50" x14ac:dyDescent="0.25">
      <c r="N9782" s="3"/>
      <c r="AW9782" s="7"/>
      <c r="AX9782" s="7"/>
    </row>
    <row r="9783" spans="14:50" x14ac:dyDescent="0.25">
      <c r="N9783" s="3"/>
      <c r="AW9783" s="7"/>
      <c r="AX9783" s="7"/>
    </row>
    <row r="9784" spans="14:50" x14ac:dyDescent="0.25">
      <c r="N9784" s="3"/>
      <c r="AW9784" s="7"/>
      <c r="AX9784" s="7"/>
    </row>
    <row r="9785" spans="14:50" x14ac:dyDescent="0.25">
      <c r="N9785" s="3"/>
      <c r="AW9785" s="7"/>
      <c r="AX9785" s="7"/>
    </row>
    <row r="9786" spans="14:50" x14ac:dyDescent="0.25">
      <c r="N9786" s="3"/>
      <c r="AW9786" s="7"/>
      <c r="AX9786" s="7"/>
    </row>
    <row r="9787" spans="14:50" x14ac:dyDescent="0.25">
      <c r="N9787" s="3"/>
      <c r="AW9787" s="7"/>
      <c r="AX9787" s="7"/>
    </row>
    <row r="9788" spans="14:50" x14ac:dyDescent="0.25">
      <c r="N9788" s="3"/>
      <c r="AW9788" s="7"/>
      <c r="AX9788" s="7"/>
    </row>
    <row r="9789" spans="14:50" x14ac:dyDescent="0.25">
      <c r="N9789" s="3"/>
      <c r="AW9789" s="7"/>
      <c r="AX9789" s="7"/>
    </row>
    <row r="9790" spans="14:50" x14ac:dyDescent="0.25">
      <c r="N9790" s="3"/>
      <c r="AW9790" s="7"/>
      <c r="AX9790" s="7"/>
    </row>
    <row r="9791" spans="14:50" x14ac:dyDescent="0.25">
      <c r="N9791" s="3"/>
      <c r="AW9791" s="7"/>
      <c r="AX9791" s="7"/>
    </row>
    <row r="9792" spans="14:50" x14ac:dyDescent="0.25">
      <c r="N9792" s="3"/>
      <c r="AW9792" s="7"/>
      <c r="AX9792" s="7"/>
    </row>
    <row r="9793" spans="14:50" x14ac:dyDescent="0.25">
      <c r="N9793" s="3"/>
      <c r="AW9793" s="7"/>
      <c r="AX9793" s="7"/>
    </row>
    <row r="9794" spans="14:50" x14ac:dyDescent="0.25">
      <c r="N9794" s="3"/>
      <c r="AW9794" s="7"/>
      <c r="AX9794" s="7"/>
    </row>
    <row r="9795" spans="14:50" x14ac:dyDescent="0.25">
      <c r="N9795" s="3"/>
      <c r="AW9795" s="7"/>
      <c r="AX9795" s="7"/>
    </row>
    <row r="9796" spans="14:50" x14ac:dyDescent="0.25">
      <c r="N9796" s="3"/>
      <c r="AW9796" s="7"/>
      <c r="AX9796" s="7"/>
    </row>
    <row r="9797" spans="14:50" x14ac:dyDescent="0.25">
      <c r="N9797" s="3"/>
      <c r="AW9797" s="7"/>
      <c r="AX9797" s="7"/>
    </row>
    <row r="9798" spans="14:50" x14ac:dyDescent="0.25">
      <c r="N9798" s="3"/>
      <c r="AW9798" s="7"/>
      <c r="AX9798" s="7"/>
    </row>
    <row r="9799" spans="14:50" x14ac:dyDescent="0.25">
      <c r="N9799" s="3"/>
      <c r="AW9799" s="7"/>
      <c r="AX9799" s="7"/>
    </row>
    <row r="9800" spans="14:50" x14ac:dyDescent="0.25">
      <c r="N9800" s="3"/>
      <c r="AW9800" s="7"/>
      <c r="AX9800" s="7"/>
    </row>
    <row r="9801" spans="14:50" x14ac:dyDescent="0.25">
      <c r="N9801" s="3"/>
      <c r="AW9801" s="7"/>
      <c r="AX9801" s="7"/>
    </row>
    <row r="9802" spans="14:50" x14ac:dyDescent="0.25">
      <c r="N9802" s="3"/>
      <c r="AW9802" s="7"/>
      <c r="AX9802" s="7"/>
    </row>
    <row r="9803" spans="14:50" x14ac:dyDescent="0.25">
      <c r="N9803" s="3"/>
      <c r="AW9803" s="7"/>
      <c r="AX9803" s="7"/>
    </row>
    <row r="9804" spans="14:50" x14ac:dyDescent="0.25">
      <c r="N9804" s="3"/>
      <c r="AW9804" s="7"/>
      <c r="AX9804" s="7"/>
    </row>
    <row r="9805" spans="14:50" x14ac:dyDescent="0.25">
      <c r="N9805" s="3"/>
      <c r="AW9805" s="7"/>
      <c r="AX9805" s="7"/>
    </row>
    <row r="9806" spans="14:50" x14ac:dyDescent="0.25">
      <c r="N9806" s="3"/>
      <c r="AW9806" s="7"/>
      <c r="AX9806" s="7"/>
    </row>
    <row r="9807" spans="14:50" x14ac:dyDescent="0.25">
      <c r="N9807" s="3"/>
      <c r="AW9807" s="7"/>
      <c r="AX9807" s="7"/>
    </row>
    <row r="9808" spans="14:50" x14ac:dyDescent="0.25">
      <c r="N9808" s="3"/>
      <c r="AW9808" s="7"/>
      <c r="AX9808" s="7"/>
    </row>
    <row r="9809" spans="14:50" x14ac:dyDescent="0.25">
      <c r="N9809" s="3"/>
      <c r="AW9809" s="7"/>
      <c r="AX9809" s="7"/>
    </row>
    <row r="9810" spans="14:50" x14ac:dyDescent="0.25">
      <c r="N9810" s="3"/>
      <c r="AW9810" s="7"/>
      <c r="AX9810" s="7"/>
    </row>
    <row r="9811" spans="14:50" x14ac:dyDescent="0.25">
      <c r="N9811" s="3"/>
      <c r="AW9811" s="7"/>
      <c r="AX9811" s="7"/>
    </row>
    <row r="9812" spans="14:50" x14ac:dyDescent="0.25">
      <c r="N9812" s="3"/>
      <c r="AW9812" s="7"/>
      <c r="AX9812" s="7"/>
    </row>
    <row r="9813" spans="14:50" x14ac:dyDescent="0.25">
      <c r="N9813" s="3"/>
      <c r="AW9813" s="7"/>
      <c r="AX9813" s="7"/>
    </row>
    <row r="9814" spans="14:50" x14ac:dyDescent="0.25">
      <c r="N9814" s="3"/>
      <c r="AW9814" s="7"/>
      <c r="AX9814" s="7"/>
    </row>
    <row r="9815" spans="14:50" x14ac:dyDescent="0.25">
      <c r="N9815" s="3"/>
      <c r="AW9815" s="7"/>
      <c r="AX9815" s="7"/>
    </row>
    <row r="9816" spans="14:50" x14ac:dyDescent="0.25">
      <c r="N9816" s="3"/>
      <c r="AW9816" s="7"/>
      <c r="AX9816" s="7"/>
    </row>
    <row r="9817" spans="14:50" x14ac:dyDescent="0.25">
      <c r="N9817" s="3"/>
      <c r="AW9817" s="7"/>
      <c r="AX9817" s="7"/>
    </row>
    <row r="9818" spans="14:50" x14ac:dyDescent="0.25">
      <c r="N9818" s="3"/>
      <c r="AW9818" s="7"/>
      <c r="AX9818" s="7"/>
    </row>
    <row r="9819" spans="14:50" x14ac:dyDescent="0.25">
      <c r="N9819" s="3"/>
      <c r="AW9819" s="7"/>
      <c r="AX9819" s="7"/>
    </row>
    <row r="9820" spans="14:50" x14ac:dyDescent="0.25">
      <c r="N9820" s="3"/>
      <c r="AW9820" s="7"/>
      <c r="AX9820" s="7"/>
    </row>
    <row r="9821" spans="14:50" x14ac:dyDescent="0.25">
      <c r="N9821" s="3"/>
      <c r="AW9821" s="7"/>
      <c r="AX9821" s="7"/>
    </row>
    <row r="9822" spans="14:50" x14ac:dyDescent="0.25">
      <c r="N9822" s="3"/>
      <c r="AW9822" s="7"/>
      <c r="AX9822" s="7"/>
    </row>
    <row r="9823" spans="14:50" x14ac:dyDescent="0.25">
      <c r="N9823" s="3"/>
      <c r="AW9823" s="7"/>
      <c r="AX9823" s="7"/>
    </row>
    <row r="9824" spans="14:50" x14ac:dyDescent="0.25">
      <c r="N9824" s="3"/>
      <c r="AW9824" s="7"/>
      <c r="AX9824" s="7"/>
    </row>
    <row r="9825" spans="14:50" x14ac:dyDescent="0.25">
      <c r="N9825" s="3"/>
      <c r="AW9825" s="7"/>
      <c r="AX9825" s="7"/>
    </row>
    <row r="9826" spans="14:50" x14ac:dyDescent="0.25">
      <c r="N9826" s="3"/>
      <c r="AW9826" s="7"/>
      <c r="AX9826" s="7"/>
    </row>
    <row r="9827" spans="14:50" x14ac:dyDescent="0.25">
      <c r="N9827" s="3"/>
      <c r="AW9827" s="7"/>
      <c r="AX9827" s="7"/>
    </row>
    <row r="9828" spans="14:50" x14ac:dyDescent="0.25">
      <c r="N9828" s="3"/>
      <c r="AW9828" s="7"/>
      <c r="AX9828" s="7"/>
    </row>
    <row r="9829" spans="14:50" x14ac:dyDescent="0.25">
      <c r="N9829" s="3"/>
      <c r="AW9829" s="7"/>
      <c r="AX9829" s="7"/>
    </row>
    <row r="9830" spans="14:50" x14ac:dyDescent="0.25">
      <c r="N9830" s="3"/>
      <c r="AW9830" s="7"/>
      <c r="AX9830" s="7"/>
    </row>
    <row r="9831" spans="14:50" x14ac:dyDescent="0.25">
      <c r="N9831" s="3"/>
      <c r="AW9831" s="7"/>
      <c r="AX9831" s="7"/>
    </row>
    <row r="9832" spans="14:50" x14ac:dyDescent="0.25">
      <c r="N9832" s="3"/>
      <c r="AW9832" s="7"/>
      <c r="AX9832" s="7"/>
    </row>
    <row r="9833" spans="14:50" x14ac:dyDescent="0.25">
      <c r="N9833" s="3"/>
      <c r="AW9833" s="7"/>
      <c r="AX9833" s="7"/>
    </row>
    <row r="9834" spans="14:50" x14ac:dyDescent="0.25">
      <c r="N9834" s="3"/>
      <c r="AW9834" s="7"/>
      <c r="AX9834" s="7"/>
    </row>
    <row r="9835" spans="14:50" x14ac:dyDescent="0.25">
      <c r="N9835" s="3"/>
      <c r="AW9835" s="7"/>
      <c r="AX9835" s="7"/>
    </row>
    <row r="9836" spans="14:50" x14ac:dyDescent="0.25">
      <c r="N9836" s="3"/>
      <c r="AW9836" s="7"/>
      <c r="AX9836" s="7"/>
    </row>
    <row r="9837" spans="14:50" x14ac:dyDescent="0.25">
      <c r="N9837" s="3"/>
      <c r="AW9837" s="7"/>
      <c r="AX9837" s="7"/>
    </row>
    <row r="9838" spans="14:50" x14ac:dyDescent="0.25">
      <c r="N9838" s="3"/>
      <c r="AW9838" s="7"/>
      <c r="AX9838" s="7"/>
    </row>
    <row r="9839" spans="14:50" x14ac:dyDescent="0.25">
      <c r="N9839" s="3"/>
      <c r="AW9839" s="7"/>
      <c r="AX9839" s="7"/>
    </row>
    <row r="9840" spans="14:50" x14ac:dyDescent="0.25">
      <c r="N9840" s="3"/>
      <c r="AW9840" s="7"/>
      <c r="AX9840" s="7"/>
    </row>
    <row r="9841" spans="14:50" x14ac:dyDescent="0.25">
      <c r="N9841" s="3"/>
      <c r="AW9841" s="7"/>
      <c r="AX9841" s="7"/>
    </row>
    <row r="9842" spans="14:50" x14ac:dyDescent="0.25">
      <c r="N9842" s="3"/>
      <c r="AW9842" s="7"/>
      <c r="AX9842" s="7"/>
    </row>
    <row r="9843" spans="14:50" x14ac:dyDescent="0.25">
      <c r="N9843" s="3"/>
      <c r="AW9843" s="7"/>
      <c r="AX9843" s="7"/>
    </row>
    <row r="9844" spans="14:50" x14ac:dyDescent="0.25">
      <c r="N9844" s="3"/>
      <c r="AW9844" s="7"/>
      <c r="AX9844" s="7"/>
    </row>
    <row r="9845" spans="14:50" x14ac:dyDescent="0.25">
      <c r="N9845" s="3"/>
      <c r="AW9845" s="7"/>
      <c r="AX9845" s="7"/>
    </row>
    <row r="9846" spans="14:50" x14ac:dyDescent="0.25">
      <c r="N9846" s="3"/>
      <c r="AW9846" s="7"/>
      <c r="AX9846" s="7"/>
    </row>
    <row r="9847" spans="14:50" x14ac:dyDescent="0.25">
      <c r="N9847" s="3"/>
      <c r="AW9847" s="7"/>
      <c r="AX9847" s="7"/>
    </row>
    <row r="9848" spans="14:50" x14ac:dyDescent="0.25">
      <c r="N9848" s="3"/>
      <c r="AW9848" s="7"/>
      <c r="AX9848" s="7"/>
    </row>
    <row r="9849" spans="14:50" x14ac:dyDescent="0.25">
      <c r="N9849" s="3"/>
      <c r="AW9849" s="7"/>
      <c r="AX9849" s="7"/>
    </row>
    <row r="9850" spans="14:50" x14ac:dyDescent="0.25">
      <c r="N9850" s="3"/>
      <c r="AW9850" s="7"/>
      <c r="AX9850" s="7"/>
    </row>
    <row r="9851" spans="14:50" x14ac:dyDescent="0.25">
      <c r="N9851" s="3"/>
      <c r="AW9851" s="7"/>
      <c r="AX9851" s="7"/>
    </row>
    <row r="9852" spans="14:50" x14ac:dyDescent="0.25">
      <c r="N9852" s="3"/>
      <c r="AW9852" s="7"/>
      <c r="AX9852" s="7"/>
    </row>
    <row r="9853" spans="14:50" x14ac:dyDescent="0.25">
      <c r="N9853" s="3"/>
      <c r="AW9853" s="7"/>
      <c r="AX9853" s="7"/>
    </row>
    <row r="9854" spans="14:50" x14ac:dyDescent="0.25">
      <c r="N9854" s="3"/>
      <c r="AW9854" s="7"/>
      <c r="AX9854" s="7"/>
    </row>
    <row r="9855" spans="14:50" x14ac:dyDescent="0.25">
      <c r="N9855" s="3"/>
      <c r="AW9855" s="7"/>
      <c r="AX9855" s="7"/>
    </row>
    <row r="9856" spans="14:50" x14ac:dyDescent="0.25">
      <c r="N9856" s="3"/>
      <c r="AW9856" s="7"/>
      <c r="AX9856" s="7"/>
    </row>
    <row r="9857" spans="14:50" x14ac:dyDescent="0.25">
      <c r="N9857" s="3"/>
      <c r="AW9857" s="7"/>
      <c r="AX9857" s="7"/>
    </row>
    <row r="9858" spans="14:50" x14ac:dyDescent="0.25">
      <c r="N9858" s="3"/>
      <c r="AW9858" s="7"/>
      <c r="AX9858" s="7"/>
    </row>
    <row r="9859" spans="14:50" x14ac:dyDescent="0.25">
      <c r="N9859" s="3"/>
      <c r="AW9859" s="7"/>
      <c r="AX9859" s="7"/>
    </row>
    <row r="9860" spans="14:50" x14ac:dyDescent="0.25">
      <c r="N9860" s="3"/>
      <c r="AW9860" s="7"/>
      <c r="AX9860" s="7"/>
    </row>
    <row r="9861" spans="14:50" x14ac:dyDescent="0.25">
      <c r="N9861" s="3"/>
      <c r="AW9861" s="7"/>
      <c r="AX9861" s="7"/>
    </row>
    <row r="9862" spans="14:50" x14ac:dyDescent="0.25">
      <c r="N9862" s="3"/>
      <c r="AW9862" s="7"/>
      <c r="AX9862" s="7"/>
    </row>
    <row r="9863" spans="14:50" x14ac:dyDescent="0.25">
      <c r="N9863" s="3"/>
      <c r="AW9863" s="7"/>
      <c r="AX9863" s="7"/>
    </row>
    <row r="9864" spans="14:50" x14ac:dyDescent="0.25">
      <c r="N9864" s="3"/>
      <c r="AW9864" s="7"/>
      <c r="AX9864" s="7"/>
    </row>
    <row r="9865" spans="14:50" x14ac:dyDescent="0.25">
      <c r="N9865" s="3"/>
      <c r="AW9865" s="7"/>
      <c r="AX9865" s="7"/>
    </row>
    <row r="9866" spans="14:50" x14ac:dyDescent="0.25">
      <c r="N9866" s="3"/>
      <c r="AW9866" s="7"/>
      <c r="AX9866" s="7"/>
    </row>
    <row r="9867" spans="14:50" x14ac:dyDescent="0.25">
      <c r="N9867" s="3"/>
      <c r="AW9867" s="7"/>
      <c r="AX9867" s="7"/>
    </row>
    <row r="9868" spans="14:50" x14ac:dyDescent="0.25">
      <c r="N9868" s="3"/>
      <c r="AW9868" s="7"/>
      <c r="AX9868" s="7"/>
    </row>
    <row r="9869" spans="14:50" x14ac:dyDescent="0.25">
      <c r="N9869" s="3"/>
      <c r="AW9869" s="7"/>
      <c r="AX9869" s="7"/>
    </row>
    <row r="9870" spans="14:50" x14ac:dyDescent="0.25">
      <c r="N9870" s="3"/>
      <c r="AW9870" s="7"/>
      <c r="AX9870" s="7"/>
    </row>
    <row r="9871" spans="14:50" x14ac:dyDescent="0.25">
      <c r="N9871" s="3"/>
      <c r="AW9871" s="7"/>
      <c r="AX9871" s="7"/>
    </row>
    <row r="9872" spans="14:50" x14ac:dyDescent="0.25">
      <c r="N9872" s="3"/>
      <c r="AW9872" s="7"/>
      <c r="AX9872" s="7"/>
    </row>
    <row r="9873" spans="14:50" x14ac:dyDescent="0.25">
      <c r="N9873" s="3"/>
      <c r="AW9873" s="7"/>
      <c r="AX9873" s="7"/>
    </row>
    <row r="9874" spans="14:50" x14ac:dyDescent="0.25">
      <c r="N9874" s="3"/>
      <c r="AW9874" s="7"/>
      <c r="AX9874" s="7"/>
    </row>
    <row r="9875" spans="14:50" x14ac:dyDescent="0.25">
      <c r="N9875" s="3"/>
      <c r="AW9875" s="7"/>
      <c r="AX9875" s="7"/>
    </row>
    <row r="9876" spans="14:50" x14ac:dyDescent="0.25">
      <c r="N9876" s="3"/>
      <c r="AW9876" s="7"/>
      <c r="AX9876" s="7"/>
    </row>
    <row r="9877" spans="14:50" x14ac:dyDescent="0.25">
      <c r="N9877" s="3"/>
      <c r="AW9877" s="7"/>
      <c r="AX9877" s="7"/>
    </row>
    <row r="9878" spans="14:50" x14ac:dyDescent="0.25">
      <c r="N9878" s="3"/>
      <c r="AW9878" s="7"/>
      <c r="AX9878" s="7"/>
    </row>
    <row r="9879" spans="14:50" x14ac:dyDescent="0.25">
      <c r="N9879" s="3"/>
      <c r="AW9879" s="7"/>
      <c r="AX9879" s="7"/>
    </row>
    <row r="9880" spans="14:50" x14ac:dyDescent="0.25">
      <c r="N9880" s="3"/>
      <c r="AW9880" s="7"/>
      <c r="AX9880" s="7"/>
    </row>
    <row r="9881" spans="14:50" x14ac:dyDescent="0.25">
      <c r="N9881" s="3"/>
      <c r="AW9881" s="7"/>
      <c r="AX9881" s="7"/>
    </row>
    <row r="9882" spans="14:50" x14ac:dyDescent="0.25">
      <c r="N9882" s="3"/>
      <c r="AW9882" s="7"/>
      <c r="AX9882" s="7"/>
    </row>
    <row r="9883" spans="14:50" x14ac:dyDescent="0.25">
      <c r="N9883" s="3"/>
      <c r="AW9883" s="7"/>
      <c r="AX9883" s="7"/>
    </row>
    <row r="9884" spans="14:50" x14ac:dyDescent="0.25">
      <c r="N9884" s="3"/>
      <c r="AW9884" s="7"/>
      <c r="AX9884" s="7"/>
    </row>
    <row r="9885" spans="14:50" x14ac:dyDescent="0.25">
      <c r="N9885" s="3"/>
      <c r="AW9885" s="7"/>
      <c r="AX9885" s="7"/>
    </row>
    <row r="9886" spans="14:50" x14ac:dyDescent="0.25">
      <c r="N9886" s="3"/>
      <c r="AW9886" s="7"/>
      <c r="AX9886" s="7"/>
    </row>
    <row r="9887" spans="14:50" x14ac:dyDescent="0.25">
      <c r="N9887" s="3"/>
      <c r="AW9887" s="7"/>
      <c r="AX9887" s="7"/>
    </row>
    <row r="9888" spans="14:50" x14ac:dyDescent="0.25">
      <c r="N9888" s="3"/>
      <c r="AW9888" s="7"/>
      <c r="AX9888" s="7"/>
    </row>
    <row r="9889" spans="14:50" x14ac:dyDescent="0.25">
      <c r="N9889" s="3"/>
      <c r="AW9889" s="7"/>
      <c r="AX9889" s="7"/>
    </row>
    <row r="9890" spans="14:50" x14ac:dyDescent="0.25">
      <c r="N9890" s="3"/>
      <c r="AW9890" s="7"/>
      <c r="AX9890" s="7"/>
    </row>
    <row r="9891" spans="14:50" x14ac:dyDescent="0.25">
      <c r="N9891" s="3"/>
      <c r="AW9891" s="7"/>
      <c r="AX9891" s="7"/>
    </row>
    <row r="9892" spans="14:50" x14ac:dyDescent="0.25">
      <c r="N9892" s="3"/>
      <c r="AW9892" s="7"/>
      <c r="AX9892" s="7"/>
    </row>
    <row r="9893" spans="14:50" x14ac:dyDescent="0.25">
      <c r="N9893" s="3"/>
      <c r="AW9893" s="7"/>
      <c r="AX9893" s="7"/>
    </row>
    <row r="9894" spans="14:50" x14ac:dyDescent="0.25">
      <c r="N9894" s="3"/>
      <c r="AW9894" s="7"/>
      <c r="AX9894" s="7"/>
    </row>
    <row r="9895" spans="14:50" x14ac:dyDescent="0.25">
      <c r="N9895" s="3"/>
      <c r="AW9895" s="7"/>
      <c r="AX9895" s="7"/>
    </row>
    <row r="9896" spans="14:50" x14ac:dyDescent="0.25">
      <c r="N9896" s="3"/>
      <c r="AW9896" s="7"/>
      <c r="AX9896" s="7"/>
    </row>
    <row r="9897" spans="14:50" x14ac:dyDescent="0.25">
      <c r="N9897" s="3"/>
      <c r="AW9897" s="7"/>
      <c r="AX9897" s="7"/>
    </row>
    <row r="9898" spans="14:50" x14ac:dyDescent="0.25">
      <c r="N9898" s="3"/>
      <c r="AW9898" s="7"/>
      <c r="AX9898" s="7"/>
    </row>
    <row r="9899" spans="14:50" x14ac:dyDescent="0.25">
      <c r="N9899" s="3"/>
      <c r="AW9899" s="7"/>
      <c r="AX9899" s="7"/>
    </row>
    <row r="9900" spans="14:50" x14ac:dyDescent="0.25">
      <c r="N9900" s="3"/>
      <c r="AW9900" s="7"/>
      <c r="AX9900" s="7"/>
    </row>
    <row r="9901" spans="14:50" x14ac:dyDescent="0.25">
      <c r="N9901" s="3"/>
      <c r="AW9901" s="7"/>
      <c r="AX9901" s="7"/>
    </row>
    <row r="9902" spans="14:50" x14ac:dyDescent="0.25">
      <c r="N9902" s="3"/>
      <c r="AW9902" s="7"/>
      <c r="AX9902" s="7"/>
    </row>
    <row r="9903" spans="14:50" x14ac:dyDescent="0.25">
      <c r="N9903" s="3"/>
      <c r="AW9903" s="7"/>
      <c r="AX9903" s="7"/>
    </row>
    <row r="9904" spans="14:50" x14ac:dyDescent="0.25">
      <c r="N9904" s="3"/>
      <c r="AW9904" s="7"/>
      <c r="AX9904" s="7"/>
    </row>
    <row r="9905" spans="14:50" x14ac:dyDescent="0.25">
      <c r="N9905" s="3"/>
      <c r="AW9905" s="7"/>
      <c r="AX9905" s="7"/>
    </row>
    <row r="9906" spans="14:50" x14ac:dyDescent="0.25">
      <c r="N9906" s="3"/>
      <c r="AW9906" s="7"/>
      <c r="AX9906" s="7"/>
    </row>
    <row r="9907" spans="14:50" x14ac:dyDescent="0.25">
      <c r="N9907" s="3"/>
      <c r="AW9907" s="7"/>
      <c r="AX9907" s="7"/>
    </row>
    <row r="9908" spans="14:50" x14ac:dyDescent="0.25">
      <c r="N9908" s="3"/>
      <c r="AW9908" s="7"/>
      <c r="AX9908" s="7"/>
    </row>
    <row r="9909" spans="14:50" x14ac:dyDescent="0.25">
      <c r="N9909" s="3"/>
      <c r="AW9909" s="7"/>
      <c r="AX9909" s="7"/>
    </row>
    <row r="9910" spans="14:50" x14ac:dyDescent="0.25">
      <c r="N9910" s="3"/>
      <c r="AW9910" s="7"/>
      <c r="AX9910" s="7"/>
    </row>
    <row r="9911" spans="14:50" x14ac:dyDescent="0.25">
      <c r="N9911" s="3"/>
      <c r="AW9911" s="7"/>
      <c r="AX9911" s="7"/>
    </row>
    <row r="9912" spans="14:50" x14ac:dyDescent="0.25">
      <c r="N9912" s="3"/>
      <c r="AW9912" s="7"/>
      <c r="AX9912" s="7"/>
    </row>
    <row r="9913" spans="14:50" x14ac:dyDescent="0.25">
      <c r="N9913" s="3"/>
      <c r="AW9913" s="7"/>
      <c r="AX9913" s="7"/>
    </row>
    <row r="9914" spans="14:50" x14ac:dyDescent="0.25">
      <c r="N9914" s="3"/>
      <c r="AW9914" s="7"/>
      <c r="AX9914" s="7"/>
    </row>
    <row r="9915" spans="14:50" x14ac:dyDescent="0.25">
      <c r="N9915" s="3"/>
      <c r="AW9915" s="7"/>
      <c r="AX9915" s="7"/>
    </row>
    <row r="9916" spans="14:50" x14ac:dyDescent="0.25">
      <c r="N9916" s="3"/>
      <c r="AW9916" s="7"/>
      <c r="AX9916" s="7"/>
    </row>
    <row r="9917" spans="14:50" x14ac:dyDescent="0.25">
      <c r="N9917" s="3"/>
      <c r="AW9917" s="7"/>
      <c r="AX9917" s="7"/>
    </row>
    <row r="9918" spans="14:50" x14ac:dyDescent="0.25">
      <c r="N9918" s="3"/>
      <c r="AW9918" s="7"/>
      <c r="AX9918" s="7"/>
    </row>
    <row r="9919" spans="14:50" x14ac:dyDescent="0.25">
      <c r="N9919" s="3"/>
      <c r="AW9919" s="7"/>
      <c r="AX9919" s="7"/>
    </row>
    <row r="9920" spans="14:50" x14ac:dyDescent="0.25">
      <c r="N9920" s="3"/>
      <c r="AW9920" s="7"/>
      <c r="AX9920" s="7"/>
    </row>
    <row r="9921" spans="14:50" x14ac:dyDescent="0.25">
      <c r="N9921" s="3"/>
      <c r="AW9921" s="7"/>
      <c r="AX9921" s="7"/>
    </row>
    <row r="9922" spans="14:50" x14ac:dyDescent="0.25">
      <c r="N9922" s="3"/>
      <c r="AW9922" s="7"/>
      <c r="AX9922" s="7"/>
    </row>
    <row r="9923" spans="14:50" x14ac:dyDescent="0.25">
      <c r="N9923" s="3"/>
      <c r="AW9923" s="7"/>
      <c r="AX9923" s="7"/>
    </row>
    <row r="9924" spans="14:50" x14ac:dyDescent="0.25">
      <c r="N9924" s="3"/>
      <c r="AW9924" s="7"/>
      <c r="AX9924" s="7"/>
    </row>
    <row r="9925" spans="14:50" x14ac:dyDescent="0.25">
      <c r="N9925" s="3"/>
      <c r="AW9925" s="7"/>
      <c r="AX9925" s="7"/>
    </row>
    <row r="9926" spans="14:50" x14ac:dyDescent="0.25">
      <c r="N9926" s="3"/>
      <c r="AW9926" s="7"/>
      <c r="AX9926" s="7"/>
    </row>
    <row r="9927" spans="14:50" x14ac:dyDescent="0.25">
      <c r="N9927" s="3"/>
      <c r="AW9927" s="7"/>
      <c r="AX9927" s="7"/>
    </row>
    <row r="9928" spans="14:50" x14ac:dyDescent="0.25">
      <c r="N9928" s="3"/>
      <c r="AW9928" s="7"/>
      <c r="AX9928" s="7"/>
    </row>
    <row r="9929" spans="14:50" x14ac:dyDescent="0.25">
      <c r="N9929" s="3"/>
      <c r="AW9929" s="7"/>
      <c r="AX9929" s="7"/>
    </row>
    <row r="9930" spans="14:50" x14ac:dyDescent="0.25">
      <c r="N9930" s="3"/>
      <c r="AW9930" s="7"/>
      <c r="AX9930" s="7"/>
    </row>
    <row r="9931" spans="14:50" x14ac:dyDescent="0.25">
      <c r="N9931" s="3"/>
      <c r="AW9931" s="7"/>
      <c r="AX9931" s="7"/>
    </row>
    <row r="9932" spans="14:50" x14ac:dyDescent="0.25">
      <c r="N9932" s="3"/>
      <c r="AW9932" s="7"/>
      <c r="AX9932" s="7"/>
    </row>
    <row r="9933" spans="14:50" x14ac:dyDescent="0.25">
      <c r="N9933" s="3"/>
      <c r="AW9933" s="7"/>
      <c r="AX9933" s="7"/>
    </row>
    <row r="9934" spans="14:50" x14ac:dyDescent="0.25">
      <c r="N9934" s="3"/>
      <c r="AW9934" s="7"/>
      <c r="AX9934" s="7"/>
    </row>
    <row r="9935" spans="14:50" x14ac:dyDescent="0.25">
      <c r="N9935" s="3"/>
      <c r="AW9935" s="7"/>
      <c r="AX9935" s="7"/>
    </row>
    <row r="9936" spans="14:50" x14ac:dyDescent="0.25">
      <c r="N9936" s="3"/>
      <c r="AW9936" s="7"/>
      <c r="AX9936" s="7"/>
    </row>
    <row r="9937" spans="14:50" x14ac:dyDescent="0.25">
      <c r="N9937" s="3"/>
      <c r="AW9937" s="7"/>
      <c r="AX9937" s="7"/>
    </row>
    <row r="9938" spans="14:50" x14ac:dyDescent="0.25">
      <c r="N9938" s="3"/>
      <c r="AW9938" s="7"/>
      <c r="AX9938" s="7"/>
    </row>
    <row r="9939" spans="14:50" x14ac:dyDescent="0.25">
      <c r="N9939" s="3"/>
      <c r="AW9939" s="7"/>
      <c r="AX9939" s="7"/>
    </row>
    <row r="9940" spans="14:50" x14ac:dyDescent="0.25">
      <c r="N9940" s="3"/>
      <c r="AW9940" s="7"/>
      <c r="AX9940" s="7"/>
    </row>
    <row r="9941" spans="14:50" x14ac:dyDescent="0.25">
      <c r="N9941" s="3"/>
      <c r="AW9941" s="7"/>
      <c r="AX9941" s="7"/>
    </row>
    <row r="9942" spans="14:50" x14ac:dyDescent="0.25">
      <c r="N9942" s="3"/>
      <c r="AW9942" s="7"/>
      <c r="AX9942" s="7"/>
    </row>
    <row r="9943" spans="14:50" x14ac:dyDescent="0.25">
      <c r="N9943" s="3"/>
      <c r="AW9943" s="7"/>
      <c r="AX9943" s="7"/>
    </row>
    <row r="9944" spans="14:50" x14ac:dyDescent="0.25">
      <c r="N9944" s="3"/>
      <c r="AW9944" s="7"/>
      <c r="AX9944" s="7"/>
    </row>
    <row r="9945" spans="14:50" x14ac:dyDescent="0.25">
      <c r="N9945" s="3"/>
      <c r="AW9945" s="7"/>
      <c r="AX9945" s="7"/>
    </row>
    <row r="9946" spans="14:50" x14ac:dyDescent="0.25">
      <c r="N9946" s="3"/>
      <c r="AW9946" s="7"/>
      <c r="AX9946" s="7"/>
    </row>
    <row r="9947" spans="14:50" x14ac:dyDescent="0.25">
      <c r="N9947" s="3"/>
      <c r="AW9947" s="7"/>
      <c r="AX9947" s="7"/>
    </row>
    <row r="9948" spans="14:50" x14ac:dyDescent="0.25">
      <c r="N9948" s="3"/>
      <c r="AW9948" s="7"/>
      <c r="AX9948" s="7"/>
    </row>
    <row r="9949" spans="14:50" x14ac:dyDescent="0.25">
      <c r="N9949" s="3"/>
      <c r="AW9949" s="7"/>
      <c r="AX9949" s="7"/>
    </row>
    <row r="9950" spans="14:50" x14ac:dyDescent="0.25">
      <c r="N9950" s="3"/>
      <c r="AW9950" s="7"/>
      <c r="AX9950" s="7"/>
    </row>
    <row r="9951" spans="14:50" x14ac:dyDescent="0.25">
      <c r="N9951" s="3"/>
      <c r="AW9951" s="7"/>
      <c r="AX9951" s="7"/>
    </row>
    <row r="9952" spans="14:50" x14ac:dyDescent="0.25">
      <c r="N9952" s="3"/>
      <c r="AW9952" s="7"/>
      <c r="AX9952" s="7"/>
    </row>
    <row r="9953" spans="14:50" x14ac:dyDescent="0.25">
      <c r="N9953" s="3"/>
      <c r="AW9953" s="7"/>
      <c r="AX9953" s="7"/>
    </row>
    <row r="9954" spans="14:50" x14ac:dyDescent="0.25">
      <c r="N9954" s="3"/>
      <c r="AW9954" s="7"/>
      <c r="AX9954" s="7"/>
    </row>
    <row r="9955" spans="14:50" x14ac:dyDescent="0.25">
      <c r="N9955" s="3"/>
      <c r="AW9955" s="7"/>
      <c r="AX9955" s="7"/>
    </row>
    <row r="9956" spans="14:50" x14ac:dyDescent="0.25">
      <c r="N9956" s="3"/>
      <c r="AW9956" s="7"/>
      <c r="AX9956" s="7"/>
    </row>
    <row r="9957" spans="14:50" x14ac:dyDescent="0.25">
      <c r="N9957" s="3"/>
      <c r="AW9957" s="7"/>
      <c r="AX9957" s="7"/>
    </row>
    <row r="9958" spans="14:50" x14ac:dyDescent="0.25">
      <c r="N9958" s="3"/>
      <c r="AW9958" s="7"/>
      <c r="AX9958" s="7"/>
    </row>
    <row r="9959" spans="14:50" x14ac:dyDescent="0.25">
      <c r="N9959" s="3"/>
      <c r="AW9959" s="7"/>
      <c r="AX9959" s="7"/>
    </row>
    <row r="9960" spans="14:50" x14ac:dyDescent="0.25">
      <c r="N9960" s="3"/>
      <c r="AW9960" s="7"/>
      <c r="AX9960" s="7"/>
    </row>
    <row r="9961" spans="14:50" x14ac:dyDescent="0.25">
      <c r="N9961" s="3"/>
      <c r="AW9961" s="7"/>
      <c r="AX9961" s="7"/>
    </row>
    <row r="9962" spans="14:50" x14ac:dyDescent="0.25">
      <c r="N9962" s="3"/>
      <c r="AW9962" s="7"/>
      <c r="AX9962" s="7"/>
    </row>
    <row r="9963" spans="14:50" x14ac:dyDescent="0.25">
      <c r="N9963" s="3"/>
      <c r="AW9963" s="7"/>
      <c r="AX9963" s="7"/>
    </row>
    <row r="9964" spans="14:50" x14ac:dyDescent="0.25">
      <c r="N9964" s="3"/>
      <c r="AW9964" s="7"/>
      <c r="AX9964" s="7"/>
    </row>
    <row r="9965" spans="14:50" x14ac:dyDescent="0.25">
      <c r="N9965" s="3"/>
      <c r="AW9965" s="7"/>
      <c r="AX9965" s="7"/>
    </row>
    <row r="9966" spans="14:50" x14ac:dyDescent="0.25">
      <c r="N9966" s="3"/>
      <c r="AW9966" s="7"/>
      <c r="AX9966" s="7"/>
    </row>
    <row r="9967" spans="14:50" x14ac:dyDescent="0.25">
      <c r="N9967" s="3"/>
      <c r="AW9967" s="7"/>
      <c r="AX9967" s="7"/>
    </row>
    <row r="9968" spans="14:50" x14ac:dyDescent="0.25">
      <c r="N9968" s="3"/>
      <c r="AW9968" s="7"/>
      <c r="AX9968" s="7"/>
    </row>
    <row r="9969" spans="14:50" x14ac:dyDescent="0.25">
      <c r="N9969" s="3"/>
      <c r="AW9969" s="7"/>
      <c r="AX9969" s="7"/>
    </row>
    <row r="9970" spans="14:50" x14ac:dyDescent="0.25">
      <c r="N9970" s="3"/>
      <c r="AW9970" s="7"/>
      <c r="AX9970" s="7"/>
    </row>
    <row r="9971" spans="14:50" x14ac:dyDescent="0.25">
      <c r="N9971" s="3"/>
      <c r="AW9971" s="7"/>
      <c r="AX9971" s="7"/>
    </row>
    <row r="9972" spans="14:50" x14ac:dyDescent="0.25">
      <c r="N9972" s="3"/>
      <c r="AW9972" s="7"/>
      <c r="AX9972" s="7"/>
    </row>
    <row r="9973" spans="14:50" x14ac:dyDescent="0.25">
      <c r="N9973" s="3"/>
      <c r="AW9973" s="7"/>
      <c r="AX9973" s="7"/>
    </row>
    <row r="9974" spans="14:50" x14ac:dyDescent="0.25">
      <c r="N9974" s="3"/>
      <c r="AW9974" s="7"/>
      <c r="AX9974" s="7"/>
    </row>
    <row r="9975" spans="14:50" x14ac:dyDescent="0.25">
      <c r="N9975" s="3"/>
      <c r="AW9975" s="7"/>
      <c r="AX9975" s="7"/>
    </row>
    <row r="9976" spans="14:50" x14ac:dyDescent="0.25">
      <c r="N9976" s="3"/>
      <c r="AW9976" s="7"/>
      <c r="AX9976" s="7"/>
    </row>
    <row r="9977" spans="14:50" x14ac:dyDescent="0.25">
      <c r="N9977" s="3"/>
      <c r="AW9977" s="7"/>
      <c r="AX9977" s="7"/>
    </row>
    <row r="9978" spans="14:50" x14ac:dyDescent="0.25">
      <c r="N9978" s="3"/>
      <c r="AW9978" s="7"/>
      <c r="AX9978" s="7"/>
    </row>
    <row r="9979" spans="14:50" x14ac:dyDescent="0.25">
      <c r="N9979" s="3"/>
      <c r="AW9979" s="7"/>
      <c r="AX9979" s="7"/>
    </row>
    <row r="9980" spans="14:50" x14ac:dyDescent="0.25">
      <c r="N9980" s="3"/>
      <c r="AW9980" s="7"/>
      <c r="AX9980" s="7"/>
    </row>
    <row r="9981" spans="14:50" x14ac:dyDescent="0.25">
      <c r="N9981" s="3"/>
      <c r="AW9981" s="7"/>
      <c r="AX9981" s="7"/>
    </row>
    <row r="9982" spans="14:50" x14ac:dyDescent="0.25">
      <c r="N9982" s="3"/>
      <c r="AW9982" s="7"/>
      <c r="AX9982" s="7"/>
    </row>
    <row r="9983" spans="14:50" x14ac:dyDescent="0.25">
      <c r="N9983" s="3"/>
      <c r="AW9983" s="7"/>
      <c r="AX9983" s="7"/>
    </row>
    <row r="9984" spans="14:50" x14ac:dyDescent="0.25">
      <c r="N9984" s="3"/>
      <c r="AW9984" s="7"/>
      <c r="AX9984" s="7"/>
    </row>
    <row r="9985" spans="14:50" x14ac:dyDescent="0.25">
      <c r="N9985" s="3"/>
      <c r="AW9985" s="7"/>
      <c r="AX9985" s="7"/>
    </row>
    <row r="9986" spans="14:50" x14ac:dyDescent="0.25">
      <c r="N9986" s="3"/>
      <c r="AW9986" s="7"/>
      <c r="AX9986" s="7"/>
    </row>
    <row r="9987" spans="14:50" x14ac:dyDescent="0.25">
      <c r="N9987" s="3"/>
      <c r="AW9987" s="7"/>
      <c r="AX9987" s="7"/>
    </row>
    <row r="9988" spans="14:50" x14ac:dyDescent="0.25">
      <c r="N9988" s="3"/>
      <c r="AW9988" s="7"/>
      <c r="AX9988" s="7"/>
    </row>
    <row r="9989" spans="14:50" x14ac:dyDescent="0.25">
      <c r="N9989" s="3"/>
      <c r="AW9989" s="7"/>
      <c r="AX9989" s="7"/>
    </row>
    <row r="9990" spans="14:50" x14ac:dyDescent="0.25">
      <c r="N9990" s="3"/>
      <c r="AW9990" s="7"/>
      <c r="AX9990" s="7"/>
    </row>
    <row r="9991" spans="14:50" x14ac:dyDescent="0.25">
      <c r="N9991" s="3"/>
      <c r="AW9991" s="7"/>
      <c r="AX9991" s="7"/>
    </row>
    <row r="9992" spans="14:50" x14ac:dyDescent="0.25">
      <c r="N9992" s="3"/>
      <c r="AW9992" s="7"/>
      <c r="AX9992" s="7"/>
    </row>
    <row r="9993" spans="14:50" x14ac:dyDescent="0.25">
      <c r="N9993" s="3"/>
      <c r="AW9993" s="7"/>
      <c r="AX9993" s="7"/>
    </row>
    <row r="9994" spans="14:50" x14ac:dyDescent="0.25">
      <c r="N9994" s="3"/>
      <c r="AW9994" s="7"/>
      <c r="AX9994" s="7"/>
    </row>
    <row r="9995" spans="14:50" x14ac:dyDescent="0.25">
      <c r="N9995" s="3"/>
      <c r="AW9995" s="7"/>
      <c r="AX9995" s="7"/>
    </row>
    <row r="9996" spans="14:50" x14ac:dyDescent="0.25">
      <c r="N9996" s="3"/>
      <c r="AW9996" s="7"/>
      <c r="AX9996" s="7"/>
    </row>
    <row r="9997" spans="14:50" x14ac:dyDescent="0.25">
      <c r="N9997" s="3"/>
      <c r="AW9997" s="7"/>
      <c r="AX9997" s="7"/>
    </row>
    <row r="9998" spans="14:50" x14ac:dyDescent="0.25">
      <c r="N9998" s="3"/>
      <c r="AW9998" s="7"/>
      <c r="AX9998" s="7"/>
    </row>
    <row r="9999" spans="14:50" x14ac:dyDescent="0.25">
      <c r="N9999" s="3"/>
      <c r="AW9999" s="7"/>
      <c r="AX9999" s="7"/>
    </row>
    <row r="10000" spans="14:50" x14ac:dyDescent="0.25">
      <c r="N10000" s="3"/>
      <c r="AW10000" s="7"/>
      <c r="AX10000" s="7"/>
    </row>
    <row r="10001" spans="14:50" x14ac:dyDescent="0.25">
      <c r="N10001" s="3"/>
      <c r="AW10001" s="7"/>
      <c r="AX10001" s="7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topLeftCell="E2" zoomScaleNormal="100" workbookViewId="0">
      <selection activeCell="E22" sqref="E22"/>
    </sheetView>
  </sheetViews>
  <sheetFormatPr defaultColWidth="8.5703125" defaultRowHeight="15" x14ac:dyDescent="0.25"/>
  <cols>
    <col min="1" max="1" width="2.7109375" customWidth="1"/>
    <col min="2" max="2" width="15.7109375" customWidth="1"/>
    <col min="3" max="3" width="5.7109375" customWidth="1"/>
    <col min="4" max="4" width="15.7109375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>
        <v>0</v>
      </c>
      <c r="B2" t="s">
        <v>49</v>
      </c>
      <c r="C2" t="s">
        <v>50</v>
      </c>
      <c r="D2" t="s">
        <v>0</v>
      </c>
    </row>
    <row r="3" spans="1:4" x14ac:dyDescent="0.25">
      <c r="A3">
        <v>1</v>
      </c>
      <c r="B3" t="s">
        <v>51</v>
      </c>
      <c r="C3" t="s">
        <v>50</v>
      </c>
      <c r="D3" t="s">
        <v>1</v>
      </c>
    </row>
    <row r="4" spans="1:4" x14ac:dyDescent="0.25">
      <c r="A4">
        <v>2</v>
      </c>
      <c r="B4" t="s">
        <v>52</v>
      </c>
      <c r="C4" t="s">
        <v>50</v>
      </c>
      <c r="D4" t="s">
        <v>2</v>
      </c>
    </row>
    <row r="5" spans="1:4" x14ac:dyDescent="0.25">
      <c r="A5">
        <v>3</v>
      </c>
      <c r="B5" t="s">
        <v>3</v>
      </c>
      <c r="C5" t="s">
        <v>50</v>
      </c>
      <c r="D5" t="s">
        <v>3</v>
      </c>
    </row>
    <row r="6" spans="1:4" x14ac:dyDescent="0.25">
      <c r="A6">
        <v>4</v>
      </c>
      <c r="B6" t="s">
        <v>4</v>
      </c>
      <c r="C6" t="s">
        <v>50</v>
      </c>
      <c r="D6" t="s">
        <v>4</v>
      </c>
    </row>
    <row r="7" spans="1:4" x14ac:dyDescent="0.25">
      <c r="A7">
        <v>5</v>
      </c>
      <c r="B7" t="s">
        <v>5</v>
      </c>
      <c r="C7" t="s">
        <v>50</v>
      </c>
      <c r="D7" t="s">
        <v>5</v>
      </c>
    </row>
    <row r="8" spans="1:4" x14ac:dyDescent="0.25">
      <c r="A8">
        <v>6</v>
      </c>
      <c r="B8" t="s">
        <v>6</v>
      </c>
      <c r="C8" t="s">
        <v>50</v>
      </c>
      <c r="D8" t="s">
        <v>6</v>
      </c>
    </row>
    <row r="9" spans="1:4" x14ac:dyDescent="0.25">
      <c r="A9">
        <v>7</v>
      </c>
      <c r="B9" t="s">
        <v>7</v>
      </c>
      <c r="C9" t="s">
        <v>50</v>
      </c>
      <c r="D9" t="s">
        <v>7</v>
      </c>
    </row>
    <row r="10" spans="1:4" x14ac:dyDescent="0.25">
      <c r="A10">
        <v>8</v>
      </c>
      <c r="B10" t="s">
        <v>8</v>
      </c>
      <c r="C10" t="s">
        <v>50</v>
      </c>
      <c r="D10" t="s">
        <v>8</v>
      </c>
    </row>
    <row r="11" spans="1:4" x14ac:dyDescent="0.25">
      <c r="A11">
        <v>9</v>
      </c>
      <c r="B11" t="s">
        <v>53</v>
      </c>
      <c r="C11" t="s">
        <v>50</v>
      </c>
      <c r="D11" t="s">
        <v>9</v>
      </c>
    </row>
    <row r="12" spans="1:4" x14ac:dyDescent="0.25">
      <c r="A12">
        <v>10</v>
      </c>
      <c r="B12" t="s">
        <v>54</v>
      </c>
      <c r="C12" t="s">
        <v>50</v>
      </c>
      <c r="D12" t="s">
        <v>10</v>
      </c>
    </row>
    <row r="13" spans="1:4" x14ac:dyDescent="0.25">
      <c r="A13">
        <v>11</v>
      </c>
      <c r="B13" t="s">
        <v>11</v>
      </c>
      <c r="C13" t="s">
        <v>50</v>
      </c>
      <c r="D13" t="s">
        <v>11</v>
      </c>
    </row>
    <row r="14" spans="1:4" x14ac:dyDescent="0.25">
      <c r="A14">
        <v>12</v>
      </c>
      <c r="B14" t="s">
        <v>12</v>
      </c>
      <c r="C14" t="s">
        <v>50</v>
      </c>
      <c r="D14" t="s">
        <v>12</v>
      </c>
    </row>
    <row r="15" spans="1:4" x14ac:dyDescent="0.25">
      <c r="A15">
        <v>13</v>
      </c>
      <c r="B15" t="s">
        <v>13</v>
      </c>
      <c r="C15" t="s">
        <v>50</v>
      </c>
      <c r="D15" t="s">
        <v>13</v>
      </c>
    </row>
    <row r="16" spans="1:4" x14ac:dyDescent="0.25">
      <c r="A16">
        <v>14</v>
      </c>
      <c r="B16" t="s">
        <v>14</v>
      </c>
      <c r="C16" t="s">
        <v>50</v>
      </c>
      <c r="D16" t="s">
        <v>14</v>
      </c>
    </row>
    <row r="17" spans="1:5" x14ac:dyDescent="0.25">
      <c r="A17">
        <v>15</v>
      </c>
      <c r="B17" t="s">
        <v>15</v>
      </c>
      <c r="C17" t="s">
        <v>50</v>
      </c>
      <c r="D17" t="s">
        <v>15</v>
      </c>
    </row>
    <row r="18" spans="1:5" x14ac:dyDescent="0.25">
      <c r="A18">
        <v>16</v>
      </c>
      <c r="B18" t="s">
        <v>16</v>
      </c>
      <c r="C18" t="s">
        <v>50</v>
      </c>
      <c r="D18" t="s">
        <v>16</v>
      </c>
    </row>
    <row r="19" spans="1:5" x14ac:dyDescent="0.25">
      <c r="A19">
        <v>17</v>
      </c>
      <c r="B19" t="s">
        <v>17</v>
      </c>
      <c r="C19" t="s">
        <v>50</v>
      </c>
      <c r="D19" t="s">
        <v>17</v>
      </c>
    </row>
    <row r="20" spans="1:5" x14ac:dyDescent="0.25">
      <c r="A20">
        <v>18</v>
      </c>
      <c r="B20" t="s">
        <v>18</v>
      </c>
      <c r="C20" t="s">
        <v>50</v>
      </c>
      <c r="D20" t="s">
        <v>18</v>
      </c>
    </row>
    <row r="21" spans="1:5" x14ac:dyDescent="0.25">
      <c r="A21">
        <v>19</v>
      </c>
      <c r="B21" t="s">
        <v>19</v>
      </c>
      <c r="C21" t="s">
        <v>50</v>
      </c>
      <c r="D21" t="s">
        <v>19</v>
      </c>
    </row>
    <row r="22" spans="1:5" x14ac:dyDescent="0.25">
      <c r="A22">
        <v>20</v>
      </c>
      <c r="B22" t="s">
        <v>20</v>
      </c>
      <c r="C22" t="s">
        <v>55</v>
      </c>
      <c r="D22" t="s">
        <v>20</v>
      </c>
      <c r="E22">
        <v>0</v>
      </c>
    </row>
    <row r="23" spans="1:5" x14ac:dyDescent="0.25">
      <c r="A23">
        <v>21</v>
      </c>
      <c r="B23" t="s">
        <v>21</v>
      </c>
      <c r="C23" t="s">
        <v>55</v>
      </c>
      <c r="D23" t="s">
        <v>21</v>
      </c>
      <c r="E23">
        <v>1</v>
      </c>
    </row>
    <row r="24" spans="1:5" x14ac:dyDescent="0.25">
      <c r="A24">
        <v>22</v>
      </c>
      <c r="B24" t="s">
        <v>56</v>
      </c>
      <c r="C24" t="s">
        <v>55</v>
      </c>
      <c r="D24" t="s">
        <v>22</v>
      </c>
      <c r="E24">
        <v>2</v>
      </c>
    </row>
    <row r="25" spans="1:5" x14ac:dyDescent="0.25">
      <c r="A25">
        <v>23</v>
      </c>
      <c r="B25" t="s">
        <v>23</v>
      </c>
      <c r="C25" t="s">
        <v>55</v>
      </c>
      <c r="D25" t="s">
        <v>23</v>
      </c>
      <c r="E25">
        <v>3</v>
      </c>
    </row>
    <row r="26" spans="1:5" x14ac:dyDescent="0.25">
      <c r="A26">
        <v>24</v>
      </c>
      <c r="B26" t="s">
        <v>24</v>
      </c>
      <c r="C26" t="s">
        <v>55</v>
      </c>
      <c r="D26" t="s">
        <v>24</v>
      </c>
      <c r="E26">
        <v>4</v>
      </c>
    </row>
    <row r="27" spans="1:5" x14ac:dyDescent="0.25">
      <c r="A27">
        <v>25</v>
      </c>
      <c r="D27" t="s">
        <v>25</v>
      </c>
    </row>
    <row r="28" spans="1:5" x14ac:dyDescent="0.25">
      <c r="A28">
        <v>26</v>
      </c>
      <c r="D28" t="s">
        <v>26</v>
      </c>
    </row>
    <row r="29" spans="1:5" x14ac:dyDescent="0.25">
      <c r="A29">
        <v>27</v>
      </c>
      <c r="D29" t="s">
        <v>27</v>
      </c>
    </row>
    <row r="30" spans="1:5" x14ac:dyDescent="0.25">
      <c r="A30">
        <v>28</v>
      </c>
      <c r="D30" t="s">
        <v>28</v>
      </c>
    </row>
    <row r="31" spans="1:5" x14ac:dyDescent="0.25">
      <c r="A31">
        <v>29</v>
      </c>
      <c r="D31" t="s">
        <v>29</v>
      </c>
    </row>
    <row r="32" spans="1:5" x14ac:dyDescent="0.25">
      <c r="A32">
        <v>30</v>
      </c>
      <c r="D32" t="s">
        <v>30</v>
      </c>
    </row>
    <row r="33" spans="1:5" x14ac:dyDescent="0.25">
      <c r="A33">
        <v>31</v>
      </c>
      <c r="D33" t="s">
        <v>31</v>
      </c>
    </row>
    <row r="34" spans="1:5" x14ac:dyDescent="0.25">
      <c r="A34">
        <v>32</v>
      </c>
      <c r="B34" t="s">
        <v>57</v>
      </c>
      <c r="C34" t="s">
        <v>55</v>
      </c>
      <c r="D34" t="s">
        <v>32</v>
      </c>
      <c r="E34">
        <v>5</v>
      </c>
    </row>
    <row r="35" spans="1:5" x14ac:dyDescent="0.25">
      <c r="A35">
        <v>33</v>
      </c>
      <c r="B35" t="s">
        <v>33</v>
      </c>
      <c r="C35" t="s">
        <v>55</v>
      </c>
      <c r="D35" t="s">
        <v>33</v>
      </c>
      <c r="E35">
        <v>6</v>
      </c>
    </row>
    <row r="36" spans="1:5" x14ac:dyDescent="0.25">
      <c r="A36">
        <v>34</v>
      </c>
      <c r="B36" t="s">
        <v>34</v>
      </c>
      <c r="C36" t="s">
        <v>55</v>
      </c>
      <c r="D36" t="s">
        <v>34</v>
      </c>
      <c r="E36">
        <v>7</v>
      </c>
    </row>
    <row r="37" spans="1:5" x14ac:dyDescent="0.25">
      <c r="A37">
        <v>35</v>
      </c>
      <c r="B37" t="s">
        <v>35</v>
      </c>
      <c r="C37" t="s">
        <v>55</v>
      </c>
      <c r="D37" t="s">
        <v>35</v>
      </c>
      <c r="E37">
        <v>8</v>
      </c>
    </row>
    <row r="38" spans="1:5" x14ac:dyDescent="0.25">
      <c r="A38">
        <v>36</v>
      </c>
      <c r="D38" t="s">
        <v>36</v>
      </c>
    </row>
    <row r="39" spans="1:5" x14ac:dyDescent="0.25">
      <c r="A39">
        <v>37</v>
      </c>
      <c r="D39" t="s">
        <v>37</v>
      </c>
    </row>
    <row r="40" spans="1:5" x14ac:dyDescent="0.25">
      <c r="A40">
        <v>38</v>
      </c>
      <c r="D40" t="s">
        <v>38</v>
      </c>
    </row>
    <row r="41" spans="1:5" x14ac:dyDescent="0.25">
      <c r="A41">
        <v>39</v>
      </c>
      <c r="D41" t="s">
        <v>39</v>
      </c>
    </row>
    <row r="42" spans="1:5" x14ac:dyDescent="0.25">
      <c r="A42">
        <v>40</v>
      </c>
      <c r="B42" t="s">
        <v>58</v>
      </c>
      <c r="C42" t="s">
        <v>55</v>
      </c>
      <c r="D42" t="s">
        <v>40</v>
      </c>
      <c r="E42">
        <v>9</v>
      </c>
    </row>
    <row r="43" spans="1:5" x14ac:dyDescent="0.25">
      <c r="A43">
        <v>41</v>
      </c>
      <c r="B43" t="s">
        <v>41</v>
      </c>
      <c r="C43" t="s">
        <v>55</v>
      </c>
      <c r="D43" t="s">
        <v>41</v>
      </c>
      <c r="E43">
        <v>10</v>
      </c>
    </row>
    <row r="44" spans="1:5" x14ac:dyDescent="0.25">
      <c r="A44">
        <v>42</v>
      </c>
      <c r="B44" t="s">
        <v>42</v>
      </c>
      <c r="C44" t="s">
        <v>55</v>
      </c>
      <c r="D44" t="s">
        <v>42</v>
      </c>
      <c r="E44">
        <v>11</v>
      </c>
    </row>
    <row r="45" spans="1:5" x14ac:dyDescent="0.25">
      <c r="A45">
        <v>43</v>
      </c>
      <c r="B45" t="s">
        <v>43</v>
      </c>
      <c r="C45" t="s">
        <v>55</v>
      </c>
      <c r="D45" t="s">
        <v>43</v>
      </c>
      <c r="E45">
        <v>12</v>
      </c>
    </row>
    <row r="46" spans="1:5" x14ac:dyDescent="0.25">
      <c r="A46">
        <v>44</v>
      </c>
      <c r="B46" t="s">
        <v>44</v>
      </c>
      <c r="C46" t="s">
        <v>55</v>
      </c>
      <c r="D46" t="s">
        <v>44</v>
      </c>
      <c r="E46">
        <v>13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Blad1</vt:lpstr>
      <vt:lpstr>Kolommen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Sander Kapinga</dc:creator>
  <dc:description/>
  <cp:lastModifiedBy>Kapinga, Sander</cp:lastModifiedBy>
  <cp:revision>1</cp:revision>
  <dcterms:created xsi:type="dcterms:W3CDTF">2025-01-06T07:37:14Z</dcterms:created>
  <dcterms:modified xsi:type="dcterms:W3CDTF">2025-10-15T13:34:06Z</dcterms:modified>
  <dc:language>nl-NL</dc:language>
</cp:coreProperties>
</file>